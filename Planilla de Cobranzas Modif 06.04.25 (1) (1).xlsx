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lanilla" sheetId="1" state="visible" r:id="rId3"/>
    <sheet name="REC.PROV" sheetId="2" state="visible" r:id="rId4"/>
    <sheet name="55" sheetId="3" state="visible" r:id="rId5"/>
    <sheet name="72" sheetId="4" state="visible" r:id="rId6"/>
    <sheet name="110" sheetId="5" state="visible" r:id="rId7"/>
    <sheet name="q" sheetId="6" state="visible" r:id="rId8"/>
    <sheet name="mens" sheetId="7" state="visible" r:id="rId9"/>
    <sheet name="prest.canc." sheetId="8" state="visible" r:id="rId10"/>
    <sheet name="estadistica" sheetId="9" state="visible" r:id="rId11"/>
    <sheet name="tabla de prestamos" sheetId="10" state="visible" r:id="rId12"/>
    <sheet name="120" sheetId="11" state="visible" r:id="rId13"/>
    <sheet name="75" sheetId="12" state="visible" r:id="rId14"/>
    <sheet name="80" sheetId="13" state="visible" r:id="rId15"/>
    <sheet name="90" sheetId="14" state="visible" r:id="rId16"/>
    <sheet name="frezzer" sheetId="15" state="visible" r:id="rId17"/>
    <sheet name="Hoja2" sheetId="16" state="visible" r:id="rId18"/>
    <sheet name="Hoja4" sheetId="17" state="visible" r:id="rId19"/>
  </sheets>
  <externalReferences>
    <externalReference r:id="rId20"/>
  </externalReferences>
  <definedNames>
    <definedName function="false" hidden="true" localSheetId="8" name="_xlnm._FilterDatabase" vbProcedure="false">estadistica!$A$1:$L$310</definedName>
    <definedName function="false" hidden="true" localSheetId="0" name="_xlnm._FilterDatabase" vbProcedure="false">planilla!$A$1:$HE$275</definedName>
    <definedName function="false" hidden="true" localSheetId="7" name="_xlnm._FilterDatabase" vbProcedure="false">'prest.canc.'!$A$1:$XDA$1432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Eduardo</author>
    <author>Usuario de Windows</author>
    <author>cresp</author>
  </authors>
  <commentList>
    <comment ref="B119" authorId="1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VIVEN ACTUALMENTE EN JAVA 421. EGUILUZ ES DE LOS PADRES
</t>
        </r>
      </text>
    </comment>
    <comment ref="B260" authorId="1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VIVEN ACTUALMENTE EN JAVA 421. EGUILUZ ES DE LOS PADRES
</t>
        </r>
      </text>
    </comment>
    <comment ref="C4" authorId="1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CASA CON VENTA DE PLANTINES</t>
        </r>
      </text>
    </comment>
    <comment ref="C5" authorId="1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CASA CON VENTA DE PLANTINES</t>
        </r>
      </text>
    </comment>
    <comment ref="C6" authorId="1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CASA CON VENTA DE PLANTINES</t>
        </r>
      </text>
    </comment>
    <comment ref="C159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EL MINIMERCADO SE ENCUENTRA EN CALLE COLORADO Y CUEVAS
</t>
        </r>
      </text>
    </comment>
    <comment ref="C160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EL MINIMERCADO SE ENCUENTRA EN CALLE COLORADO Y CUEVAS
</t>
        </r>
      </text>
    </comment>
    <comment ref="C161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EL MINIMERCADO SE ENCUENTRA EN CALLE COLORADO Y CUEVAS
</t>
        </r>
      </text>
    </comment>
    <comment ref="E115" authorId="2">
      <text>
        <r>
          <rPr>
            <sz val="10"/>
            <rFont val="Arial"/>
            <family val="2"/>
          </rPr>
          <t xml:space="preserve">cresp:
</t>
        </r>
        <r>
          <rPr>
            <sz val="9"/>
            <color rgb="FF000000"/>
            <rFont val="Tahoma"/>
            <family val="0"/>
            <charset val="1"/>
          </rPr>
          <t xml:space="preserve">no se cargo puntualmene en esa fecha. Por tal motivo es que tiene ese numeo de crediito. Se realizo la carga el 25/04/26
</t>
        </r>
      </text>
    </comment>
    <comment ref="J232" authorId="2">
      <text>
        <r>
          <rPr>
            <sz val="10"/>
            <rFont val="Arial"/>
            <family val="2"/>
          </rPr>
          <t xml:space="preserve">cresp:
</t>
        </r>
        <r>
          <rPr>
            <sz val="9"/>
            <color rgb="FF000000"/>
            <rFont val="Tahoma"/>
            <family val="0"/>
            <charset val="1"/>
          </rPr>
          <t xml:space="preserve">hay que aplicar 108000 en cuanto abone</t>
        </r>
      </text>
    </comment>
    <comment ref="J256" authorId="2">
      <text>
        <r>
          <rPr>
            <sz val="10"/>
            <rFont val="Arial"/>
            <family val="2"/>
          </rPr>
          <t xml:space="preserve">cresp:
</t>
        </r>
        <r>
          <rPr>
            <sz val="9"/>
            <color rgb="FF000000"/>
            <rFont val="Tahoma"/>
            <family val="0"/>
            <charset val="1"/>
          </rPr>
          <t xml:space="preserve">hay que aplicar 108000 en cuanto abone</t>
        </r>
      </text>
    </comment>
    <comment ref="L102" authorId="2">
      <text>
        <r>
          <rPr>
            <sz val="10"/>
            <rFont val="Arial"/>
            <family val="2"/>
          </rPr>
          <t xml:space="preserve">cresp:
</t>
        </r>
        <r>
          <rPr>
            <sz val="9"/>
            <color rgb="FF000000"/>
            <rFont val="Tahoma"/>
            <family val="0"/>
            <charset val="1"/>
          </rPr>
          <t xml:space="preserve">100.000. recargo por atraso</t>
        </r>
      </text>
    </comment>
    <comment ref="L188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0"/>
            <charset val="1"/>
          </rPr>
          <t xml:space="preserve">recargo por atraso</t>
        </r>
      </text>
    </comment>
    <comment ref="L226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sesenta mil de recargo se aplico
</t>
        </r>
      </text>
    </comment>
    <comment ref="L231" authorId="0">
      <text>
        <r>
          <rPr>
            <sz val="10"/>
            <rFont val="Arial"/>
            <family val="2"/>
          </rPr>
          <t xml:space="preserve">Eduardo:
</t>
        </r>
      </text>
    </comment>
    <comment ref="L233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0"/>
            <charset val="1"/>
          </rPr>
          <t xml:space="preserve">solo fue abonado por el titular $244,000.-
los ultimos dos pagos son de otras . Es de tapia el este comentario
</t>
        </r>
      </text>
    </comment>
    <comment ref="CL3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ingresos extra. Pago de angel aguero 
</t>
        </r>
      </text>
    </comment>
    <comment ref="CL59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ingresos extra. Pago de angel aguero 
</t>
        </r>
      </text>
    </comment>
    <comment ref="CL85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ingresos extra. Pago de angel aguero 
</t>
        </r>
      </text>
    </comment>
    <comment ref="DV189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va a transferir los 2000
</t>
        </r>
      </text>
    </comment>
    <comment ref="DW189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calculo mal martin. Por eso vuelve a faltar dinero a su cuota
</t>
        </r>
      </text>
    </comment>
    <comment ref="FM231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0"/>
            <charset val="1"/>
          </rPr>
          <t xml:space="preserve">se aplico con plata de lucero ruben</t>
        </r>
      </text>
    </comment>
    <comment ref="GY61" authorId="2">
      <text>
        <r>
          <rPr>
            <sz val="10"/>
            <rFont val="Arial"/>
            <family val="2"/>
          </rPr>
          <t xml:space="preserve">cresp:
</t>
        </r>
        <r>
          <rPr>
            <sz val="9"/>
            <color rgb="FF000000"/>
            <rFont val="Tahoma"/>
            <family val="0"/>
            <charset val="1"/>
          </rPr>
          <t xml:space="preserve">164900
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Eduardo</author>
    <author>Usuario de Windows</author>
    <author>cresp</author>
  </authors>
  <commentList>
    <comment ref="B41" authorId="1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VIVEN ACTUALMENTE EN JAVA 421. EGUILUZ ES DE LOS PADRES
</t>
        </r>
      </text>
    </comment>
    <comment ref="C119" authorId="1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CASA CON VENTA DE PLANTINES</t>
        </r>
      </text>
    </comment>
    <comment ref="C147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EL MINIMERCADO SE ENCUENTRA EN CALLE COLORADO Y CUEVAS
</t>
        </r>
      </text>
    </comment>
    <comment ref="C254" authorId="1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CASA CON VENTA DE PLANTINES</t>
        </r>
      </text>
    </comment>
    <comment ref="C308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EL MINIMERCADO SE ENCUENTRA EN CALLE COLORADO Y CUEVAS
</t>
        </r>
      </text>
    </comment>
    <comment ref="C309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MOTO 110 C MAX PAT.A177DBH
</t>
        </r>
      </text>
    </comment>
    <comment ref="C399" authorId="1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CASA CON VENTA DE PLANTINES</t>
        </r>
      </text>
    </comment>
    <comment ref="C461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EL MINIMERCADO SE ENCUENTRA EN CALLE COLORADO Y CUEVAS
</t>
        </r>
      </text>
    </comment>
    <comment ref="C487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EL MINIMERCADO SE ENCUENTRA EN CALLE COLORADO Y CUEVAS
</t>
        </r>
      </text>
    </comment>
    <comment ref="C488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EL MINIMERCADO SE ENCUENTRA EN CALLE COLORADO Y CUEVAS
</t>
        </r>
      </text>
    </comment>
    <comment ref="C539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EL MINIMERCADO SE ENCUENTRA EN CALLE COLORADO Y CUEVAS
</t>
        </r>
      </text>
    </comment>
    <comment ref="C549" authorId="1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CASA CON VENTA DE PLANTINES</t>
        </r>
      </text>
    </comment>
    <comment ref="C579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EL MINIMERCADO SE ENCUENTRA EN CALLE COLORADO Y CUEVAS
</t>
        </r>
      </text>
    </comment>
    <comment ref="C651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MOTO 110 C MAX PAT.A177DBH
</t>
        </r>
      </text>
    </comment>
    <comment ref="C696" authorId="1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CASA CON VENTA DE PLANTINES</t>
        </r>
      </text>
    </comment>
    <comment ref="C771" authorId="1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CASA CON VENTA DE PLANTINES</t>
        </r>
      </text>
    </comment>
    <comment ref="C812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EL MINIMERCADO SE ENCUENTRA EN CALLE COLORADO Y CUEVAS
</t>
        </r>
      </text>
    </comment>
    <comment ref="C893" authorId="1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CASA CON VENTA DE PLANTINES</t>
        </r>
      </text>
    </comment>
    <comment ref="C978" authorId="1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CASA CON VENTA DE PLANTINES</t>
        </r>
      </text>
    </comment>
    <comment ref="C1029" authorId="1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CASA CON VENTA DE PLANTINES</t>
        </r>
      </text>
    </comment>
    <comment ref="C1113" authorId="1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CASA CON VENTA DE PLANTINES</t>
        </r>
      </text>
    </comment>
    <comment ref="C1155" authorId="1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CASA CON VENTA DE PLANTINES</t>
        </r>
      </text>
    </comment>
    <comment ref="C1264" authorId="1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CASA CON VENTA DE PLANTINES</t>
        </r>
      </text>
    </comment>
    <comment ref="C1266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EL MINIMERCADO SE ENCUENTRA EN CALLE COLORADO Y CUEVAS
</t>
        </r>
      </text>
    </comment>
    <comment ref="C1281" authorId="1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CASA CON VENTA DE PLANTINES</t>
        </r>
      </text>
    </comment>
    <comment ref="C1333" authorId="1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CASA CON VENTA DE PLANTINES</t>
        </r>
      </text>
    </comment>
    <comment ref="E538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PRIMER CUOTA EN JULIO
</t>
        </r>
      </text>
    </comment>
    <comment ref="E629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primer cuota en julio
</t>
        </r>
      </text>
    </comment>
    <comment ref="F518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SOLICITO COMENZAR EN MARZO 24
</t>
        </r>
      </text>
    </comment>
    <comment ref="J402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primer cuota para abril
</t>
        </r>
      </text>
    </comment>
    <comment ref="J994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primer cuota para abril
</t>
        </r>
      </text>
    </comment>
    <comment ref="J1118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se modifico por error al cargarse el plan.
</t>
        </r>
      </text>
    </comment>
    <comment ref="J1244" authorId="0">
      <text>
        <r>
          <rPr>
            <sz val="10"/>
            <rFont val="Arial"/>
            <family val="2"/>
          </rPr>
          <t xml:space="preserve">Eduardo:
</t>
        </r>
      </text>
    </comment>
    <comment ref="J1277" authorId="0">
      <text>
        <r>
          <rPr>
            <sz val="10"/>
            <rFont val="Arial"/>
            <family val="2"/>
          </rPr>
          <t xml:space="preserve">Eduardo:
</t>
        </r>
      </text>
    </comment>
    <comment ref="J1280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el prestamo era de 150 o de 250?</t>
        </r>
      </text>
    </comment>
    <comment ref="J1334" authorId="2">
      <text>
        <r>
          <rPr>
            <sz val="10"/>
            <rFont val="Arial"/>
            <family val="2"/>
          </rPr>
          <t xml:space="preserve">cresp:
</t>
        </r>
        <r>
          <rPr>
            <sz val="9"/>
            <color rgb="FF000000"/>
            <rFont val="Tahoma"/>
            <family val="0"/>
            <charset val="1"/>
          </rPr>
          <t xml:space="preserve">hay que aplicar 108000 en cuanto abone</t>
        </r>
      </text>
    </comment>
    <comment ref="J1403" authorId="2">
      <text>
        <r>
          <rPr>
            <sz val="10"/>
            <rFont val="Arial"/>
            <family val="2"/>
          </rPr>
          <t xml:space="preserve">cresp:
</t>
        </r>
        <r>
          <rPr>
            <sz val="9"/>
            <color rgb="FF000000"/>
            <rFont val="Tahoma"/>
            <family val="0"/>
            <charset val="1"/>
          </rPr>
          <t xml:space="preserve">hay que aplicar 108000 en cuanto abone</t>
        </r>
      </text>
    </comment>
    <comment ref="L3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AUMENTO DE $3000 POR VUELTERA
</t>
        </r>
      </text>
    </comment>
    <comment ref="L30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$4000 intereses
</t>
        </r>
      </text>
    </comment>
    <comment ref="L48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se renovo con solo pago de interes
</t>
        </r>
      </text>
    </comment>
    <comment ref="L56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interes por atraso
</t>
        </r>
      </text>
    </comment>
    <comment ref="L143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RECARGO POR  ATRASO
</t>
        </r>
      </text>
    </comment>
    <comment ref="L148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$4000 intereses
</t>
        </r>
      </text>
    </comment>
    <comment ref="L167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$3000, interes por atraso
</t>
        </r>
      </text>
    </comment>
    <comment ref="L186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se refinancio en 9 cuotas de $4000.-
</t>
        </r>
      </text>
    </comment>
    <comment ref="L189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RECARGO POR ATRASO
</t>
        </r>
      </text>
    </comment>
    <comment ref="L190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RECARGO POR ATRASO
</t>
        </r>
      </text>
    </comment>
    <comment ref="L217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se actualizo interes por atraso al 08/03/24
</t>
        </r>
      </text>
    </comment>
    <comment ref="L218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se actualizo interes por atraso al 08.03.24
</t>
        </r>
      </text>
    </comment>
    <comment ref="L220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75 EL 19.03 Y 75 EL 05.04
</t>
        </r>
      </text>
    </comment>
    <comment ref="L242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75 EL 19.03 Y 75 EL 05.04
</t>
        </r>
      </text>
    </comment>
    <comment ref="L432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se renovo el credito
</t>
        </r>
      </text>
    </comment>
    <comment ref="L611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SE RECARGO $20000
</t>
        </r>
      </text>
    </comment>
    <comment ref="L1034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9500 de recargo
</t>
        </r>
      </text>
    </comment>
    <comment ref="L1164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40000 SUMADOS POR INTERESES DE MORA
sumados mas intereses 17.09.25
</t>
        </r>
      </text>
    </comment>
    <comment ref="L1248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0"/>
            <charset val="1"/>
          </rPr>
          <t xml:space="preserve">recargo por atraso</t>
        </r>
      </text>
    </comment>
    <comment ref="L1286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0"/>
            <charset val="1"/>
          </rPr>
          <t xml:space="preserve">actualizado el interes
</t>
        </r>
      </text>
    </comment>
    <comment ref="M1095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SE REFINANCIO A UN VALOR TOTAL DE $94500 A DEVOLVER EN 9 PAGOS DE $10500
</t>
        </r>
      </text>
    </comment>
    <comment ref="N944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por renovacion
</t>
        </r>
      </text>
    </comment>
    <comment ref="N1006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2"/>
            <charset val="1"/>
          </rPr>
          <t xml:space="preserve">se cancelo a traves del nuevo credito, emitido el 14.08</t>
        </r>
      </text>
    </comment>
    <comment ref="N1110" authorId="0">
      <text>
        <r>
          <rPr>
            <sz val="10"/>
            <rFont val="Arial"/>
            <family val="2"/>
          </rPr>
          <t xml:space="preserve">Eduardo:
</t>
        </r>
        <r>
          <rPr>
            <sz val="9"/>
            <color rgb="FF000000"/>
            <rFont val="Tahoma"/>
            <family val="0"/>
            <charset val="1"/>
          </rPr>
          <t xml:space="preserve">se aplico 50000 al credito de tapia pablo. Extrayendose 
 de los $150000 que brindo lucero
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Usuario de Windows</author>
  </authors>
  <commentList>
    <comment ref="B1" authorId="0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numero antes de descartar los cancelados</t>
        </r>
      </text>
    </comment>
    <comment ref="B7" authorId="0">
      <text>
        <r>
          <rPr>
            <sz val="10"/>
            <rFont val="Arial"/>
            <family val="2"/>
          </rPr>
          <t xml:space="preserve">Usuario de Windows:
</t>
        </r>
        <r>
          <rPr>
            <sz val="9"/>
            <color rgb="FF000000"/>
            <rFont val="Tahoma"/>
            <family val="2"/>
            <charset val="1"/>
          </rPr>
          <t xml:space="preserve">se retiraron 16 cuentas a frezzer </t>
        </r>
      </text>
    </comment>
  </commentList>
</comments>
</file>

<file path=xl/sharedStrings.xml><?xml version="1.0" encoding="utf-8"?>
<sst xmlns="http://schemas.openxmlformats.org/spreadsheetml/2006/main" count="7975" uniqueCount="1639">
  <si>
    <t xml:space="preserve">CTO.</t>
  </si>
  <si>
    <t xml:space="preserve">Nombre y Apellido</t>
  </si>
  <si>
    <t xml:space="preserve">Domicilio part. y laboral</t>
  </si>
  <si>
    <t xml:space="preserve">D.N.I</t>
  </si>
  <si>
    <t xml:space="preserve">Fecha Inicio del credito</t>
  </si>
  <si>
    <t xml:space="preserve">Fecha Final del credito</t>
  </si>
  <si>
    <t xml:space="preserve">dias</t>
  </si>
  <si>
    <t xml:space="preserve">Dias. Abonados</t>
  </si>
  <si>
    <t xml:space="preserve">Dias. Pendientes</t>
  </si>
  <si>
    <t xml:space="preserve">Plan. Pagos</t>
  </si>
  <si>
    <t xml:space="preserve">Capital</t>
  </si>
  <si>
    <t xml:space="preserve">Monto Devolver</t>
  </si>
  <si>
    <t xml:space="preserve">Cuota Semanal</t>
  </si>
  <si>
    <t xml:space="preserve">31.10.22</t>
  </si>
  <si>
    <t xml:space="preserve">07.11.22</t>
  </si>
  <si>
    <t xml:space="preserve">14.11.22</t>
  </si>
  <si>
    <t xml:space="preserve">21.11.22</t>
  </si>
  <si>
    <t xml:space="preserve">28.11.22</t>
  </si>
  <si>
    <t xml:space="preserve">05.12.22</t>
  </si>
  <si>
    <t xml:space="preserve">12.12.22</t>
  </si>
  <si>
    <t xml:space="preserve">19.12.22</t>
  </si>
  <si>
    <t xml:space="preserve">26.12.22</t>
  </si>
  <si>
    <t xml:space="preserve">02.01.23</t>
  </si>
  <si>
    <t xml:space="preserve">09.01.23</t>
  </si>
  <si>
    <t xml:space="preserve">16.01.23</t>
  </si>
  <si>
    <t xml:space="preserve">23.01.23</t>
  </si>
  <si>
    <t xml:space="preserve">30.01.23</t>
  </si>
  <si>
    <t xml:space="preserve">06.02.22</t>
  </si>
  <si>
    <t xml:space="preserve">13.02.23</t>
  </si>
  <si>
    <t xml:space="preserve">20.02.23</t>
  </si>
  <si>
    <t xml:space="preserve">27.02.23</t>
  </si>
  <si>
    <t xml:space="preserve">06.03.23</t>
  </si>
  <si>
    <t xml:space="preserve">13.03.23</t>
  </si>
  <si>
    <t xml:space="preserve">20.03.23</t>
  </si>
  <si>
    <t xml:space="preserve">27.03.23</t>
  </si>
  <si>
    <t xml:space="preserve">03.04.23</t>
  </si>
  <si>
    <t xml:space="preserve">10.04.23</t>
  </si>
  <si>
    <t xml:space="preserve">17.04.23</t>
  </si>
  <si>
    <t xml:space="preserve">24.04.23</t>
  </si>
  <si>
    <t xml:space="preserve">01.05.23</t>
  </si>
  <si>
    <t xml:space="preserve">08.05.23</t>
  </si>
  <si>
    <t xml:space="preserve">14.05.23</t>
  </si>
  <si>
    <t xml:space="preserve">22.05.23</t>
  </si>
  <si>
    <t xml:space="preserve">29.05.23</t>
  </si>
  <si>
    <t xml:space="preserve">5.06.23</t>
  </si>
  <si>
    <t xml:space="preserve">12.06.23</t>
  </si>
  <si>
    <t xml:space="preserve">19.06.23</t>
  </si>
  <si>
    <t xml:space="preserve">26.06.23</t>
  </si>
  <si>
    <t xml:space="preserve">03.07.23</t>
  </si>
  <si>
    <t xml:space="preserve">10.07.23</t>
  </si>
  <si>
    <t xml:space="preserve">17.07.23</t>
  </si>
  <si>
    <t xml:space="preserve">24.07.23</t>
  </si>
  <si>
    <t xml:space="preserve">31.07.23</t>
  </si>
  <si>
    <t xml:space="preserve">07.08.23</t>
  </si>
  <si>
    <t xml:space="preserve">14.08.23</t>
  </si>
  <si>
    <t xml:space="preserve">21.08.23</t>
  </si>
  <si>
    <t xml:space="preserve">28.08.23</t>
  </si>
  <si>
    <t xml:space="preserve">04.09.23</t>
  </si>
  <si>
    <t xml:space="preserve">11.09.23</t>
  </si>
  <si>
    <t xml:space="preserve">18.09.23</t>
  </si>
  <si>
    <t xml:space="preserve">25.09.23</t>
  </si>
  <si>
    <t xml:space="preserve">02.10.23</t>
  </si>
  <si>
    <t xml:space="preserve">09.10.23</t>
  </si>
  <si>
    <t xml:space="preserve">16.10.23</t>
  </si>
  <si>
    <t xml:space="preserve">23.10.23</t>
  </si>
  <si>
    <t xml:space="preserve">30.10.23</t>
  </si>
  <si>
    <t xml:space="preserve">06.11.23</t>
  </si>
  <si>
    <t xml:space="preserve">13.11.23</t>
  </si>
  <si>
    <t xml:space="preserve">20.11.23</t>
  </si>
  <si>
    <t xml:space="preserve">27.11.23</t>
  </si>
  <si>
    <t xml:space="preserve">04.12.23</t>
  </si>
  <si>
    <t xml:space="preserve">11.12.23</t>
  </si>
  <si>
    <t xml:space="preserve">18.12.23</t>
  </si>
  <si>
    <t xml:space="preserve">25.12.23</t>
  </si>
  <si>
    <t xml:space="preserve">01.01.24</t>
  </si>
  <si>
    <t xml:space="preserve">08.01.24</t>
  </si>
  <si>
    <t xml:space="preserve">15.01.24</t>
  </si>
  <si>
    <t xml:space="preserve">22.01.24</t>
  </si>
  <si>
    <t xml:space="preserve">29.01.24</t>
  </si>
  <si>
    <t xml:space="preserve">05.02.24</t>
  </si>
  <si>
    <t xml:space="preserve">12.02.24</t>
  </si>
  <si>
    <t xml:space="preserve">19.02.24</t>
  </si>
  <si>
    <t xml:space="preserve">26.02.24</t>
  </si>
  <si>
    <t xml:space="preserve">04.03.24</t>
  </si>
  <si>
    <t xml:space="preserve">11.03.24</t>
  </si>
  <si>
    <t xml:space="preserve">18.03.24</t>
  </si>
  <si>
    <t xml:space="preserve">25.03.24</t>
  </si>
  <si>
    <t xml:space="preserve">01.04.24</t>
  </si>
  <si>
    <t xml:space="preserve">08.04.24</t>
  </si>
  <si>
    <t xml:space="preserve">15.04.24</t>
  </si>
  <si>
    <t xml:space="preserve">22.04.24</t>
  </si>
  <si>
    <t xml:space="preserve">29.04.24</t>
  </si>
  <si>
    <t xml:space="preserve">06.05.24</t>
  </si>
  <si>
    <t xml:space="preserve">13.05.24</t>
  </si>
  <si>
    <t xml:space="preserve">20.05.24</t>
  </si>
  <si>
    <t xml:space="preserve">27.05.24</t>
  </si>
  <si>
    <t xml:space="preserve">03.06.24</t>
  </si>
  <si>
    <t xml:space="preserve">10.06.24</t>
  </si>
  <si>
    <t xml:space="preserve">17.06.24</t>
  </si>
  <si>
    <t xml:space="preserve">24.06.24</t>
  </si>
  <si>
    <t xml:space="preserve">01.07.24</t>
  </si>
  <si>
    <t xml:space="preserve">08.07.24</t>
  </si>
  <si>
    <t xml:space="preserve">15.07.24</t>
  </si>
  <si>
    <t xml:space="preserve">22.07.24</t>
  </si>
  <si>
    <t xml:space="preserve">29.07.24</t>
  </si>
  <si>
    <t xml:space="preserve">05.08.24</t>
  </si>
  <si>
    <t xml:space="preserve">12.08.24</t>
  </si>
  <si>
    <t xml:space="preserve">19.08.24</t>
  </si>
  <si>
    <t xml:space="preserve">26.08.24</t>
  </si>
  <si>
    <t xml:space="preserve">02.09.24</t>
  </si>
  <si>
    <t xml:space="preserve">09.09.24</t>
  </si>
  <si>
    <t xml:space="preserve">16.09.24</t>
  </si>
  <si>
    <t xml:space="preserve">23.09.24</t>
  </si>
  <si>
    <t xml:space="preserve">30.09.24</t>
  </si>
  <si>
    <t xml:space="preserve">07.10.24</t>
  </si>
  <si>
    <t xml:space="preserve">14.10.24</t>
  </si>
  <si>
    <t xml:space="preserve">21.10.24</t>
  </si>
  <si>
    <t xml:space="preserve">28.10.24</t>
  </si>
  <si>
    <t xml:space="preserve">04.11.24</t>
  </si>
  <si>
    <t xml:space="preserve">11.11.24</t>
  </si>
  <si>
    <t xml:space="preserve">18.11.24</t>
  </si>
  <si>
    <t xml:space="preserve">25.11.24</t>
  </si>
  <si>
    <t xml:space="preserve">02.12.24</t>
  </si>
  <si>
    <t xml:space="preserve">09.12.24</t>
  </si>
  <si>
    <t xml:space="preserve">16.12.24</t>
  </si>
  <si>
    <t xml:space="preserve">23.12.24</t>
  </si>
  <si>
    <t xml:space="preserve">30.12.24</t>
  </si>
  <si>
    <t xml:space="preserve">06.01.25</t>
  </si>
  <si>
    <t xml:space="preserve">13.01.25</t>
  </si>
  <si>
    <t xml:space="preserve">20.01.25</t>
  </si>
  <si>
    <t xml:space="preserve">27.01.25</t>
  </si>
  <si>
    <t xml:space="preserve">03.02.25</t>
  </si>
  <si>
    <t xml:space="preserve">10.02.25</t>
  </si>
  <si>
    <t xml:space="preserve">17.02.25</t>
  </si>
  <si>
    <t xml:space="preserve">24.02.25</t>
  </si>
  <si>
    <t xml:space="preserve">03.03.25</t>
  </si>
  <si>
    <t xml:space="preserve">10.03.25</t>
  </si>
  <si>
    <t xml:space="preserve">17.03.25</t>
  </si>
  <si>
    <t xml:space="preserve">24.03.25</t>
  </si>
  <si>
    <t xml:space="preserve">31.03.25</t>
  </si>
  <si>
    <t xml:space="preserve">07.04.25</t>
  </si>
  <si>
    <t xml:space="preserve">14.04.25</t>
  </si>
  <si>
    <t xml:space="preserve">21.04.25</t>
  </si>
  <si>
    <t xml:space="preserve">28.04.25</t>
  </si>
  <si>
    <t xml:space="preserve">05.05.25</t>
  </si>
  <si>
    <t xml:space="preserve">12.05.25</t>
  </si>
  <si>
    <t xml:space="preserve">19.05.25</t>
  </si>
  <si>
    <t xml:space="preserve">26.05.25</t>
  </si>
  <si>
    <t xml:space="preserve">02.06.25</t>
  </si>
  <si>
    <t xml:space="preserve">09.06.25</t>
  </si>
  <si>
    <t xml:space="preserve">16.6.25</t>
  </si>
  <si>
    <t xml:space="preserve">23.06.25</t>
  </si>
  <si>
    <t xml:space="preserve">30.06.25</t>
  </si>
  <si>
    <t xml:space="preserve">07.07.25</t>
  </si>
  <si>
    <t xml:space="preserve">14.07.25</t>
  </si>
  <si>
    <t xml:space="preserve">21.07.25</t>
  </si>
  <si>
    <t xml:space="preserve">28.07.25</t>
  </si>
  <si>
    <t xml:space="preserve">04.08.25</t>
  </si>
  <si>
    <t xml:space="preserve">11.08.25</t>
  </si>
  <si>
    <t xml:space="preserve">18.08.25</t>
  </si>
  <si>
    <t xml:space="preserve">25.08.25</t>
  </si>
  <si>
    <t xml:space="preserve">01.09.25</t>
  </si>
  <si>
    <t xml:space="preserve">08.09.25</t>
  </si>
  <si>
    <t xml:space="preserve">15.09.25</t>
  </si>
  <si>
    <t xml:space="preserve">22.09.25</t>
  </si>
  <si>
    <t xml:space="preserve">29.09.25</t>
  </si>
  <si>
    <t xml:space="preserve">06.10.25</t>
  </si>
  <si>
    <t xml:space="preserve">13.10.25</t>
  </si>
  <si>
    <t xml:space="preserve">20.10.25</t>
  </si>
  <si>
    <t xml:space="preserve">27.10.25</t>
  </si>
  <si>
    <t xml:space="preserve">03.11.25</t>
  </si>
  <si>
    <t xml:space="preserve">10.11.25</t>
  </si>
  <si>
    <t xml:space="preserve">17.11.25</t>
  </si>
  <si>
    <t xml:space="preserve">24.11.25</t>
  </si>
  <si>
    <t xml:space="preserve">01.12.25</t>
  </si>
  <si>
    <t xml:space="preserve">08.12.25</t>
  </si>
  <si>
    <t xml:space="preserve">15.12.25</t>
  </si>
  <si>
    <t xml:space="preserve">22.12.25</t>
  </si>
  <si>
    <t xml:space="preserve">29.12.25</t>
  </si>
  <si>
    <t xml:space="preserve">05.01.26</t>
  </si>
  <si>
    <t xml:space="preserve">12.01.26</t>
  </si>
  <si>
    <t xml:space="preserve">19.01.26</t>
  </si>
  <si>
    <t xml:space="preserve">26.01.26</t>
  </si>
  <si>
    <t xml:space="preserve">02.02.26</t>
  </si>
  <si>
    <t xml:space="preserve">09.02.26</t>
  </si>
  <si>
    <t xml:space="preserve">16.02.26</t>
  </si>
  <si>
    <t xml:space="preserve">23.02.26</t>
  </si>
  <si>
    <t xml:space="preserve">02.03.26</t>
  </si>
  <si>
    <t xml:space="preserve">09.03.26</t>
  </si>
  <si>
    <t xml:space="preserve">16.03.26</t>
  </si>
  <si>
    <t xml:space="preserve">23.03.26</t>
  </si>
  <si>
    <t xml:space="preserve">30.03.26</t>
  </si>
  <si>
    <t xml:space="preserve">06.04.26</t>
  </si>
  <si>
    <t xml:space="preserve">13.04.26</t>
  </si>
  <si>
    <t xml:space="preserve">20.04.26</t>
  </si>
  <si>
    <t xml:space="preserve">27.04.26</t>
  </si>
  <si>
    <t xml:space="preserve">04.05.26</t>
  </si>
  <si>
    <t xml:space="preserve">11.05.26</t>
  </si>
  <si>
    <t xml:space="preserve">18.05.26</t>
  </si>
  <si>
    <t xml:space="preserve">25.05.26</t>
  </si>
  <si>
    <t xml:space="preserve">01.06.26</t>
  </si>
  <si>
    <t xml:space="preserve">08.06.26</t>
  </si>
  <si>
    <t xml:space="preserve">15.06.26</t>
  </si>
  <si>
    <t xml:space="preserve">22.06.26</t>
  </si>
  <si>
    <t xml:space="preserve">29.06.26</t>
  </si>
  <si>
    <t xml:space="preserve">Acumulado $$$</t>
  </si>
  <si>
    <t xml:space="preserve">Pendiente $$$</t>
  </si>
  <si>
    <t xml:space="preserve">Semanas. Abonadas</t>
  </si>
  <si>
    <t xml:space="preserve">Semanas Pendientes</t>
  </si>
  <si>
    <t xml:space="preserve">Mes abonado</t>
  </si>
  <si>
    <t xml:space="preserve">MES PENDIENTE</t>
  </si>
  <si>
    <t xml:space="preserve"> ALFARO ELIO EMA.</t>
  </si>
  <si>
    <t xml:space="preserve">CHOELE CHOEL 2288-TC.3516070186</t>
  </si>
  <si>
    <t xml:space="preserve">20*$11250</t>
  </si>
  <si>
    <t xml:space="preserve"> </t>
  </si>
  <si>
    <t xml:space="preserve">ABACA DARIO DANIEL  </t>
  </si>
  <si>
    <t xml:space="preserve">VILLA MARIA 6187 TC.3516503711.LAB. LA FALDA 5822</t>
  </si>
  <si>
    <t xml:space="preserve">9 meses$90,000</t>
  </si>
  <si>
    <t xml:space="preserve">ABREGO NORMA MARCELA</t>
  </si>
  <si>
    <t xml:space="preserve">CALAMUCHITA 6087.LT. CONSTITUCION ESQ. TILCARA-TC. 3516 06-4857-3517466859</t>
  </si>
  <si>
    <t xml:space="preserve">8 mes108000</t>
  </si>
  <si>
    <t xml:space="preserve">110*4800</t>
  </si>
  <si>
    <t xml:space="preserve">ABREGO NORMA MARCELA(cuñada)</t>
  </si>
  <si>
    <t xml:space="preserve">8 mes$108000</t>
  </si>
  <si>
    <t xml:space="preserve">ABREGO VICTOR HUGO</t>
  </si>
  <si>
    <t xml:space="preserve">COLORADO 6000</t>
  </si>
  <si>
    <t xml:space="preserve">4 MESES$108.000</t>
  </si>
  <si>
    <t xml:space="preserve">AGÜERO ANGEL NICOLAS</t>
  </si>
  <si>
    <t xml:space="preserve">USHUAIA 1666. STA. ISABEL-3517040995- EDIF. CENIT F.ALCORTA 220</t>
  </si>
  <si>
    <t xml:space="preserve">3mes$64000</t>
  </si>
  <si>
    <t xml:space="preserve">AGÜERO FERNANDO GABRIEL</t>
  </si>
  <si>
    <t xml:space="preserve">USHUAIA 1666. STA. ISABEL-3512180168</t>
  </si>
  <si>
    <t xml:space="preserve">4 MES$21600 </t>
  </si>
  <si>
    <t xml:space="preserve">4 MES$64800</t>
  </si>
  <si>
    <t xml:space="preserve">1 mes$45000</t>
  </si>
  <si>
    <t xml:space="preserve">3 MES$64000</t>
  </si>
  <si>
    <t xml:space="preserve">AGUIRRE ANALIA ISABEL </t>
  </si>
  <si>
    <t xml:space="preserve">ABREU DE FIGUEROA ENTRE TANTI Y POSE</t>
  </si>
  <si>
    <t xml:space="preserve">16 Q.$54.000</t>
  </si>
  <si>
    <t xml:space="preserve">4mes$216000</t>
  </si>
  <si>
    <t xml:space="preserve">ALICANTE LUIS </t>
  </si>
  <si>
    <t xml:space="preserve">MZA.14 LT.9-BARRIO CABILDO</t>
  </si>
  <si>
    <t xml:space="preserve">72*7500</t>
  </si>
  <si>
    <t xml:space="preserve">72*4500</t>
  </si>
  <si>
    <t xml:space="preserve">72*6000</t>
  </si>
  <si>
    <t xml:space="preserve">72*9000</t>
  </si>
  <si>
    <t xml:space="preserve">ANTONUCCI MARCELO RICARDO=megatlon=</t>
  </si>
  <si>
    <t xml:space="preserve">FERNANDO CASADO 1585 B RESIDENCIAL. SUD</t>
  </si>
  <si>
    <t xml:space="preserve">4 MESES DE 135000</t>
  </si>
  <si>
    <t xml:space="preserve">ARCE EDHITH ELIZABETH DEL VALLE</t>
  </si>
  <si>
    <t xml:space="preserve">Bogota   </t>
  </si>
  <si>
    <t xml:space="preserve">ARCE MONICA PILAR</t>
  </si>
  <si>
    <t xml:space="preserve">AMBUL 6076-COMERCIAL-517647824</t>
  </si>
  <si>
    <t xml:space="preserve">27.22220669.9</t>
  </si>
  <si>
    <t xml:space="preserve">8 meses$112,500</t>
  </si>
  <si>
    <t xml:space="preserve">10 mes$312000</t>
  </si>
  <si>
    <t xml:space="preserve">ARCE SILVIA GABRIELA DEL VALLE</t>
  </si>
  <si>
    <t xml:space="preserve">AMBUL 6073-3518113168</t>
  </si>
  <si>
    <t xml:space="preserve">160*9000</t>
  </si>
  <si>
    <t xml:space="preserve">4mes$54000</t>
  </si>
  <si>
    <t xml:space="preserve">ARRIETA SERGIO ALEJANDRO- MARTINEZ GABRIELA</t>
  </si>
  <si>
    <t xml:space="preserve">MZ13 LOTE 5 TERRANOSTRA 2 TC.3518004006</t>
  </si>
  <si>
    <t xml:space="preserve">6 MES$1478400</t>
  </si>
  <si>
    <t xml:space="preserve">4 MES$702000</t>
  </si>
  <si>
    <t xml:space="preserve">BARROS DANIEL MARCELO</t>
  </si>
  <si>
    <t xml:space="preserve">SALTA 347 2PISO DPTO6</t>
  </si>
  <si>
    <t xml:space="preserve">72*3000</t>
  </si>
  <si>
    <t xml:space="preserve">160*7200</t>
  </si>
  <si>
    <t xml:space="preserve">240*21094</t>
  </si>
  <si>
    <t xml:space="preserve">BENGOLEA HUGO MIGUEL</t>
  </si>
  <si>
    <t xml:space="preserve">SOBREMONTE 5778-aviador locateli 111</t>
  </si>
  <si>
    <t xml:space="preserve">110*19200</t>
  </si>
  <si>
    <t xml:space="preserve">BENITEZ TANIA ALEJANDRA</t>
  </si>
  <si>
    <t xml:space="preserve">COLORADO 5765 DPTO.2 EUROCLEAN. MISERICORDIA SALA CLINICA MEDICA TC.3518022824+mza14 lote 28 calle las cuevas</t>
  </si>
  <si>
    <t xml:space="preserve">4 MES$162000</t>
  </si>
  <si>
    <t xml:space="preserve">10 MES$156000</t>
  </si>
  <si>
    <t xml:space="preserve">BLOIN CLAUDIA DEL VALLE</t>
  </si>
  <si>
    <t xml:space="preserve">TUNUYAN 2121-TC.351-287-6204</t>
  </si>
  <si>
    <t xml:space="preserve">16 quin$54,000</t>
  </si>
  <si>
    <t xml:space="preserve">16 quin$36,000</t>
  </si>
  <si>
    <t xml:space="preserve">BRANDAN LUCAS EDUARDO</t>
  </si>
  <si>
    <t xml:space="preserve">TRAB. ANJOR CAMINO SAN CARLOS 5325-TP.3514084052- DP.YACANTO 817- H.IRIGOYEN</t>
  </si>
  <si>
    <t xml:space="preserve">10 mes$156.000</t>
  </si>
  <si>
    <t xml:space="preserve">4mes$43.200</t>
  </si>
  <si>
    <t xml:space="preserve">4mes$135.000</t>
  </si>
  <si>
    <t xml:space="preserve">BROCCA ESTELA GRACIELA</t>
  </si>
  <si>
    <t xml:space="preserve">CABO ALFREDO GONZALEZ 1625 TC.351 6544748</t>
  </si>
  <si>
    <t xml:space="preserve">6mes$66000</t>
  </si>
  <si>
    <t xml:space="preserve">3mes$38400</t>
  </si>
  <si>
    <t xml:space="preserve">3 mes$32000</t>
  </si>
  <si>
    <t xml:space="preserve">4mes$32400</t>
  </si>
  <si>
    <t xml:space="preserve">CABIDO JOSEFA OLGA  </t>
  </si>
  <si>
    <t xml:space="preserve">CALAMUCHITA 5717- TC. M.3513571945</t>
  </si>
  <si>
    <t xml:space="preserve">10 mes$62.400</t>
  </si>
  <si>
    <t xml:space="preserve">11quin$28800</t>
  </si>
  <si>
    <t xml:space="preserve">6 mes$88000</t>
  </si>
  <si>
    <t xml:space="preserve">CABIDO JOSEFA OLGA  (Estela)</t>
  </si>
  <si>
    <t xml:space="preserve">CABIDO JOSEFA OLGA  (martin)</t>
  </si>
  <si>
    <t xml:space="preserve">CABIDO JOSEFA OLGA  )BRAIAN)</t>
  </si>
  <si>
    <t xml:space="preserve">4mes$135,000</t>
  </si>
  <si>
    <t xml:space="preserve">4mes$108,000</t>
  </si>
  <si>
    <t xml:space="preserve">CABIDO JOSEFA OLGA (Natalia) </t>
  </si>
  <si>
    <t xml:space="preserve">8 mes$180.000</t>
  </si>
  <si>
    <t xml:space="preserve">8 mes$54.000</t>
  </si>
  <si>
    <t xml:space="preserve">CASTILLO JESUS FERNANDO(miercoles con refin)</t>
  </si>
  <si>
    <t xml:space="preserve">CALLE 2 MZA.167.LOT.4 .PQUE SANTA ANA-TC.3547460595- VERDULERIA LA PLAZA . 1RO. DE MAYO Y RIO NEGRO -KANSAS ESQ. NUEVA JERSEY. FLIA FLORES</t>
  </si>
  <si>
    <t xml:space="preserve">160*23000</t>
  </si>
  <si>
    <t xml:space="preserve">CASTILLO SILVIA MIRIAM</t>
  </si>
  <si>
    <t xml:space="preserve">pirincha 9634 - barrio arenales - 3512563257-lt. Uruguay 448</t>
  </si>
  <si>
    <t xml:space="preserve">3 meses $166500</t>
  </si>
  <si>
    <t xml:space="preserve">COLAZO MAXIMILIANO GERMAN-MEDRANO MARIANA ROMINA</t>
  </si>
  <si>
    <t xml:space="preserve">LEONISMO ARGENTINO 563- 3547611829(01)</t>
  </si>
  <si>
    <t xml:space="preserve">9 mes $54500</t>
  </si>
  <si>
    <t xml:space="preserve">COLLADO FERNANDO MARTIN</t>
  </si>
  <si>
    <t xml:space="preserve">BLOCK K DP 607 SDO PSO - L.T. MUNGATU Y CASERATTO TC. 152526685</t>
  </si>
  <si>
    <t xml:space="preserve">14 MES$260000</t>
  </si>
  <si>
    <t xml:space="preserve">14 MES$174000</t>
  </si>
  <si>
    <t xml:space="preserve">COLLADO MONTERO CANCELARIA</t>
  </si>
  <si>
    <t xml:space="preserve">8MES$180000</t>
  </si>
  <si>
    <t xml:space="preserve">DIAZ ALBERTO-GODOY SILVANA NOEMI-</t>
  </si>
  <si>
    <t xml:space="preserve">PANAMA 2411- YAPEYU-TC.3515731285</t>
  </si>
  <si>
    <t xml:space="preserve">14 MES$100000</t>
  </si>
  <si>
    <t xml:space="preserve">4 MES$54.000</t>
  </si>
  <si>
    <t xml:space="preserve">ESPAÑON JUAN OSCAR</t>
  </si>
  <si>
    <t xml:space="preserve">PIEDRA PINTADA 348</t>
  </si>
  <si>
    <t xml:space="preserve">4 meses$162000</t>
  </si>
  <si>
    <t xml:space="preserve">FARIAS CAROLINA AYELEN</t>
  </si>
  <si>
    <t xml:space="preserve">MZA.46 LTE. 13-IPV. ITUZAINGO ANEXO- TC.351-7142709- SAN MARTIN 157 LABORAL</t>
  </si>
  <si>
    <t xml:space="preserve">27-32492625-4</t>
  </si>
  <si>
    <t xml:space="preserve">210*8100</t>
  </si>
  <si>
    <t xml:space="preserve">8 MES$150.000</t>
  </si>
  <si>
    <t xml:space="preserve">6 mes$176000</t>
  </si>
  <si>
    <t xml:space="preserve">160*5400</t>
  </si>
  <si>
    <t xml:space="preserve">FARIAS JORGE DANIEL</t>
  </si>
  <si>
    <t xml:space="preserve">GALILAN 4557</t>
  </si>
  <si>
    <t xml:space="preserve">160*18000</t>
  </si>
  <si>
    <t xml:space="preserve">FARIAS JUAN CARLOS</t>
  </si>
  <si>
    <t xml:space="preserve">ARICA 932-3512691013-4933532</t>
  </si>
  <si>
    <t xml:space="preserve">4 mes$27,000</t>
  </si>
  <si>
    <t xml:space="preserve">4 mes$5400 </t>
  </si>
  <si>
    <t xml:space="preserve">6 MES$44000</t>
  </si>
  <si>
    <t xml:space="preserve">4 MES$54000</t>
  </si>
  <si>
    <t xml:space="preserve">FERNANDEZ JESSICA PAOLA</t>
  </si>
  <si>
    <t xml:space="preserve">AYACUCHO 373 PB.(PORTON NEGRO)</t>
  </si>
  <si>
    <t xml:space="preserve">10MES$156000</t>
  </si>
  <si>
    <t xml:space="preserve">FERREYRA CAROLINA GRISELDA</t>
  </si>
  <si>
    <t xml:space="preserve">ADRIAN ESCOBAR 3485, LAS FLORES</t>
  </si>
  <si>
    <t xml:space="preserve">16q$46875</t>
  </si>
  <si>
    <t xml:space="preserve">11q$48000</t>
  </si>
  <si>
    <t xml:space="preserve">7q$9257,1</t>
  </si>
  <si>
    <t xml:space="preserve">FERREYRA NOELIA ALEJ.-FERREYRA PATRICIA N.</t>
  </si>
  <si>
    <t xml:space="preserve">J. VERDI 3925 TP.1885826-351-3009709-351-3463900</t>
  </si>
  <si>
    <t xml:space="preserve">8MES$540000</t>
  </si>
  <si>
    <t xml:space="preserve">FERREYRA PAMELA GISELA-DANIEL GUSTAVO GODOY</t>
  </si>
  <si>
    <t xml:space="preserve">mza.149 lote 19- b. el recreo-USHUAIA 3350- CASA 317. SAN IGNACIO DE HORIZONTE-3517568462-GUSTAVO 3517139886</t>
  </si>
  <si>
    <t xml:space="preserve">8QUINC.$40500</t>
  </si>
  <si>
    <t xml:space="preserve">FERREYRA PATRICIA NOEMI</t>
  </si>
  <si>
    <t xml:space="preserve">J. VERDI 3925 TP.1885826-351-3463900</t>
  </si>
  <si>
    <t xml:space="preserve">27.32925048.8</t>
  </si>
  <si>
    <t xml:space="preserve">7 quinc.30860</t>
  </si>
  <si>
    <t xml:space="preserve">FLORES JUANA TERESA</t>
  </si>
  <si>
    <t xml:space="preserve">CALAMUCHITA 6060- COMERCIAL- TC.3516570936</t>
  </si>
  <si>
    <t xml:space="preserve">110*2400</t>
  </si>
  <si>
    <t xml:space="preserve">FONSECA GUZMAN JAVIER ALEJANDRO</t>
  </si>
  <si>
    <t xml:space="preserve">LA RIOJA 2015 1A-3516500372-TRAB SATSAID-HIPOLITO VIEYTES 1532</t>
  </si>
  <si>
    <t xml:space="preserve">15MES$14290</t>
  </si>
  <si>
    <t xml:space="preserve">12 meses$7000</t>
  </si>
  <si>
    <t xml:space="preserve">12 meses$2350</t>
  </si>
  <si>
    <t xml:space="preserve">6 mes $8800</t>
  </si>
  <si>
    <t xml:space="preserve">FONSECA ROMINA ISABEL</t>
  </si>
  <si>
    <t xml:space="preserve">zapateria constanza- DIR.TRAB. ruta 20 1960-TC.3516965370</t>
  </si>
  <si>
    <t xml:space="preserve">6 mes $66,000</t>
  </si>
  <si>
    <t xml:space="preserve">8 mes$75000</t>
  </si>
  <si>
    <t xml:space="preserve">8mes$75000</t>
  </si>
  <si>
    <t xml:space="preserve">FRONTERA JUAN CARLOS</t>
  </si>
  <si>
    <t xml:space="preserve">lt. juan b justo 3513</t>
  </si>
  <si>
    <t xml:space="preserve">4M*54000</t>
  </si>
  <si>
    <t xml:space="preserve">3M*96000</t>
  </si>
  <si>
    <t xml:space="preserve">10M*187200</t>
  </si>
  <si>
    <t xml:space="preserve">3quinc.$117.000</t>
  </si>
  <si>
    <t xml:space="preserve">FRONTERA NICOLAS</t>
  </si>
  <si>
    <t xml:space="preserve">72*1500</t>
  </si>
  <si>
    <t xml:space="preserve">FUENTES LAURA EDITH</t>
  </si>
  <si>
    <t xml:space="preserve">JOSE MARIA DRAGO 268 -LAS FLORES-3516891749</t>
  </si>
  <si>
    <t xml:space="preserve">10 MES$46800</t>
  </si>
  <si>
    <t xml:space="preserve">FUENTES MABEL LETICIA DEL VALLE</t>
  </si>
  <si>
    <t xml:space="preserve">LUIS MARIA DRAGO 268 -3512911884cbu0200931911000020195876</t>
  </si>
  <si>
    <t xml:space="preserve">6meses$88000</t>
  </si>
  <si>
    <t xml:space="preserve">4meses$27000</t>
  </si>
  <si>
    <t xml:space="preserve">4 meses$37800</t>
  </si>
  <si>
    <t xml:space="preserve">4meses$16200</t>
  </si>
  <si>
    <t xml:space="preserve">FUENTES MABEL LETICIA DEL VALLE (NADIA AILEN SOBRINA)</t>
  </si>
  <si>
    <t xml:space="preserve">FUENTES MARISA RUTH</t>
  </si>
  <si>
    <t xml:space="preserve">SANTA ROSA 1783 PB. A</t>
  </si>
  <si>
    <t xml:space="preserve">8mes$132000</t>
  </si>
  <si>
    <t xml:space="preserve">8mes$108000</t>
  </si>
  <si>
    <t xml:space="preserve">GALLEGUILLO FLORENCIA BELEN</t>
  </si>
  <si>
    <t xml:space="preserve">MONSEÑOR PABLO CABRERA 3794 PB. DPTO.1-TL 4257910-tc.3512951027</t>
  </si>
  <si>
    <t xml:space="preserve">4 meses$150.000</t>
  </si>
  <si>
    <t xml:space="preserve">2 meses$145.000</t>
  </si>
  <si>
    <t xml:space="preserve">3 meses$32.000</t>
  </si>
  <si>
    <t xml:space="preserve">GIMENEZ LUIS ALBERTO</t>
  </si>
  <si>
    <t xml:space="preserve">GERMANIA 2155. TC. 3515184715 Y (3516658132) MELI ESPOSA9</t>
  </si>
  <si>
    <t xml:space="preserve">160*3600</t>
  </si>
  <si>
    <t xml:space="preserve">GIMENEZ MILAGROS ABIGAIL-PAGLIARI LUIS MANUEL </t>
  </si>
  <si>
    <t xml:space="preserve">PIZARRO 6800-  INAUDI TC.3515570528</t>
  </si>
  <si>
    <t xml:space="preserve">27.42894494.7</t>
  </si>
  <si>
    <t xml:space="preserve">GOMEZ DIEGO JAVIER</t>
  </si>
  <si>
    <t xml:space="preserve">11*$84000</t>
  </si>
  <si>
    <t xml:space="preserve">6*$160000</t>
  </si>
  <si>
    <t xml:space="preserve">GOMEZ NATALIA P./LOPEZ WALTER A.</t>
  </si>
  <si>
    <t xml:space="preserve">JOSE EGUILUZ 672-TC.3513899380 - 35115454708 lt av. 1ro de mayo 956 V.L.</t>
  </si>
  <si>
    <t xml:space="preserve">72*15000</t>
  </si>
  <si>
    <t xml:space="preserve">GOMEZ SILVINA ALEJANDRA</t>
  </si>
  <si>
    <t xml:space="preserve">CHICLANA 3423-MULLER TC.156756825-MILA</t>
  </si>
  <si>
    <t xml:space="preserve">4 MES$270000</t>
  </si>
  <si>
    <t xml:space="preserve">GONZALEZ AURELIA FAUSTINA</t>
  </si>
  <si>
    <t xml:space="preserve">J.RIOS 1471 P2-DPTO.9 L.TRAB. ALEM 2055</t>
  </si>
  <si>
    <t xml:space="preserve">6 mes$44000</t>
  </si>
  <si>
    <t xml:space="preserve">GONZALEZ VANESA EUGENIA-VILLALBA TERRESITA BEATRIZ</t>
  </si>
  <si>
    <t xml:space="preserve">HERRERA ATALIVA 4534/ OLEGARIO V ANDRADE</t>
  </si>
  <si>
    <t xml:space="preserve">4 Mes$216000</t>
  </si>
  <si>
    <t xml:space="preserve">6 Mes$264000</t>
  </si>
  <si>
    <t xml:space="preserve">GORI CORTEZ NAHUEL</t>
  </si>
  <si>
    <t xml:space="preserve">USUAHIA 2712-TC.3517411378</t>
  </si>
  <si>
    <t xml:space="preserve">GUSMAN CLAUDIA ALICIA</t>
  </si>
  <si>
    <t xml:space="preserve">LAS CUEVAS 2150 CABILDO-3512 32-8305</t>
  </si>
  <si>
    <t xml:space="preserve">8MESES$144000</t>
  </si>
  <si>
    <t xml:space="preserve">…</t>
  </si>
  <si>
    <t xml:space="preserve">GUTIERREZ MARCOS</t>
  </si>
  <si>
    <t xml:space="preserve">GUTIERREZ MONICA SANDRA</t>
  </si>
  <si>
    <t xml:space="preserve">ESTEBAN BONORINO 4643-R.J.CARCANO- ESPINOSA MALL. TC.3512387037</t>
  </si>
  <si>
    <t xml:space="preserve">6 MESES$88000</t>
  </si>
  <si>
    <t xml:space="preserve">8 MESES$180000</t>
  </si>
  <si>
    <t xml:space="preserve">6 MESES$66.000</t>
  </si>
  <si>
    <t xml:space="preserve">6 MESES$132000</t>
  </si>
  <si>
    <t xml:space="preserve">GUTIERREZ SOLEDAD YOHANA- GUTIERREZ MONICA SANDRA</t>
  </si>
  <si>
    <t xml:space="preserve">SOLDADO PIZARRO 5267- EN LA PUERTA FIGURA 6510</t>
  </si>
  <si>
    <t xml:space="preserve">GUZMAN VERONICA ELIZABETH</t>
  </si>
  <si>
    <t xml:space="preserve">JOSE MARIA EGUILUZ 543-SAN FERNANDO</t>
  </si>
  <si>
    <t xml:space="preserve">HENOT MARIA DE LOS MILAGROS</t>
  </si>
  <si>
    <t xml:space="preserve">AV. ARMADA ARG.2939.3515637498</t>
  </si>
  <si>
    <t xml:space="preserve">10 mes$170000</t>
  </si>
  <si>
    <t xml:space="preserve">7Qunc.$64000</t>
  </si>
  <si>
    <t xml:space="preserve">HENOT SERGIO ALEJANDRO</t>
  </si>
  <si>
    <t xml:space="preserve">AV. ARMADA ARG.2939.TP.4932602. TL. 03543-422853</t>
  </si>
  <si>
    <t xml:space="preserve">110*7200</t>
  </si>
  <si>
    <t xml:space="preserve">HERRERA GIULIANA AGUSTINA</t>
  </si>
  <si>
    <t xml:space="preserve">FRAY MAMERTO ESQUIU  432 2C. GRAL PAZ 351-2545791</t>
  </si>
  <si>
    <t xml:space="preserve">8 mes$216000</t>
  </si>
  <si>
    <t xml:space="preserve">LAZARTE BERTA ROSA</t>
  </si>
  <si>
    <t xml:space="preserve">BOGOTA 1168- 3518172978-TL.461744 (L.LANGER 1155)</t>
  </si>
  <si>
    <t xml:space="preserve">72*900</t>
  </si>
  <si>
    <t xml:space="preserve">LAZARTE BERTA ROSA  </t>
  </si>
  <si>
    <t xml:space="preserve">LAZARTE BERTA ROSA (yesica)</t>
  </si>
  <si>
    <t xml:space="preserve">LAZARTE BERTA ROSA(martin)</t>
  </si>
  <si>
    <t xml:space="preserve">LEGUIZAMON CASTILLO LEANDRO LUCIANO</t>
  </si>
  <si>
    <t xml:space="preserve">BENTEVEO 3638 TC.3516770749- ARENALES LT.MODERAND2 AV. A. CAPDEVILLA 1667 TL.2513777070</t>
  </si>
  <si>
    <t xml:space="preserve">4MES $378000</t>
  </si>
  <si>
    <t xml:space="preserve">LLORENS MARIA CRISTINA </t>
  </si>
  <si>
    <t xml:space="preserve">JUEZ BARRACO MARMOL 267- GRAL BUSTOS. TC.351686-0893- sucre 2828- alta cordoba</t>
  </si>
  <si>
    <t xml:space="preserve">LOPEZ MARINA ALICIA</t>
  </si>
  <si>
    <t xml:space="preserve">7 quinc.$30875</t>
  </si>
  <si>
    <t xml:space="preserve">LUCERO RUBEN DEL CARMEN</t>
  </si>
  <si>
    <t xml:space="preserve">GUILLERMO HUDSON 4572- LICEO II- CPC II. OBRAS PUBLICAS. 2DO PISO- MARIO MEDINA COMPAÑERO</t>
  </si>
  <si>
    <t xml:space="preserve">12 mes$425000</t>
  </si>
  <si>
    <t xml:space="preserve">LUDUEÑA NANCY ALEJANDRA</t>
  </si>
  <si>
    <t xml:space="preserve">SAN ANDRES 3832- EL QUEBRACHO-TC.3512527127-EDIF EL PUENTE. AVELLANEDA 490- EMPLEADOR JUAN IBAÑEZ PADILLA. TC.3515194544</t>
  </si>
  <si>
    <t xml:space="preserve">11quin$48000</t>
  </si>
  <si>
    <t xml:space="preserve">7quin$46300</t>
  </si>
  <si>
    <t xml:space="preserve">4 MES$27000</t>
  </si>
  <si>
    <t xml:space="preserve">7quin$15500</t>
  </si>
  <si>
    <t xml:space="preserve">LUNA MARCIA DANIELA</t>
  </si>
  <si>
    <t xml:space="preserve">CALAMUCHITA 6060- COMERCIAL- TC.3513168470-LAB. EDIFICIO GAMMA, AV, COLON EMPLEADOR FRANCO DI LOLLO 3515902464 - COUNTRY LAS DELICIAS, SR. PABLO COLEONI 3541628563</t>
  </si>
  <si>
    <t xml:space="preserve">11 QUIN$24000</t>
  </si>
  <si>
    <t xml:space="preserve">LUNA ROSA VIVIANA</t>
  </si>
  <si>
    <t xml:space="preserve">MANERO BLOIN AGUSTINA</t>
  </si>
  <si>
    <t xml:space="preserve">TUNUYAN 2139-3516791165-   clinica jardin ex richieri</t>
  </si>
  <si>
    <t xml:space="preserve">15Q$52800</t>
  </si>
  <si>
    <t xml:space="preserve">6Q$64000</t>
  </si>
  <si>
    <t xml:space="preserve">MARTINEZ BARBARA LUCIANA</t>
  </si>
  <si>
    <t xml:space="preserve">ISCHILIN 5918 TC.3515645329 - TL3513398868 AV.TOSCO 1098 TASSI DIAZ PAOLA</t>
  </si>
  <si>
    <t xml:space="preserve">4 MES 43200</t>
  </si>
  <si>
    <t xml:space="preserve">MARTINEZ NATALIA SOLEDAD </t>
  </si>
  <si>
    <t xml:space="preserve">AMBUL 6076-COMERCIAL-3515472342-lab. BS. AS 465 DPTO 8B</t>
  </si>
  <si>
    <t xml:space="preserve">MAS JOSE ADRIAN-AMARANTO ELINA DEL PILAR</t>
  </si>
  <si>
    <t xml:space="preserve">VICENTE FORESTIERI 5721- V.LIBERTADOR TC3516 57-6705</t>
  </si>
  <si>
    <t xml:space="preserve">110*3600</t>
  </si>
  <si>
    <t xml:space="preserve">MORETTI SILVIA (sobrina)</t>
  </si>
  <si>
    <t xml:space="preserve">INCHAUSPE </t>
  </si>
  <si>
    <t xml:space="preserve">1 PAGO$75000</t>
  </si>
  <si>
    <t xml:space="preserve">MOYANO ANA DE LOURDES</t>
  </si>
  <si>
    <t xml:space="preserve">LA FALDA 6058 TC.3513149383</t>
  </si>
  <si>
    <t xml:space="preserve">6 MES$66000</t>
  </si>
  <si>
    <t xml:space="preserve">MOYANO FABIAN ISAAC</t>
  </si>
  <si>
    <t xml:space="preserve">LA FALDA 6058 TC.3515135790 -3513824577</t>
  </si>
  <si>
    <t xml:space="preserve">16Q*$54000</t>
  </si>
  <si>
    <t xml:space="preserve">NORIEGA IRINA MICAELA</t>
  </si>
  <si>
    <t xml:space="preserve">JOSE JAVIER DIAZ 202 343 PB B75- TC.351,6873062</t>
  </si>
  <si>
    <t xml:space="preserve">4 Mes$216,000</t>
  </si>
  <si>
    <t xml:space="preserve">NORIEGA JEMIMAH SOLEDAD- NORIEGA IRINA MICAELA</t>
  </si>
  <si>
    <t xml:space="preserve">EDUARDO CRESPO 3276 Y 3081- PB ESC.B75- OLEO</t>
  </si>
  <si>
    <t xml:space="preserve">160*10286</t>
  </si>
  <si>
    <t xml:space="preserve">OCHOA RAMONA DEL VALLE-ALICANTE LUIS</t>
  </si>
  <si>
    <t xml:space="preserve">OLMOS ELENA  </t>
  </si>
  <si>
    <t xml:space="preserve">6 mes$132000</t>
  </si>
  <si>
    <t xml:space="preserve">12 MES$112500</t>
  </si>
  <si>
    <t xml:space="preserve">PAEZ FERNANDO GABRIEL</t>
  </si>
  <si>
    <t xml:space="preserve">ARICA 1873. SANTA ISABLE SEGUNDA. MZA.14 LT.9-BARRIO CABILDO</t>
  </si>
  <si>
    <t xml:space="preserve">4 MES$81000</t>
  </si>
  <si>
    <t xml:space="preserve">PAEZ WALTER RAMON</t>
  </si>
  <si>
    <t xml:space="preserve">4 mes$108000</t>
  </si>
  <si>
    <t xml:space="preserve">4 mes$216000</t>
  </si>
  <si>
    <t xml:space="preserve">PAEZ WALTER RAMON-PAEZ GIANFRANCO</t>
  </si>
  <si>
    <t xml:space="preserve">REFINANCIACION</t>
  </si>
  <si>
    <t xml:space="preserve">36 MES$550000</t>
  </si>
  <si>
    <t xml:space="preserve">PAEZ WALTER RAMON-ROBLEDO VIVANA DEL VALLE</t>
  </si>
  <si>
    <t xml:space="preserve">MZA.130-LTE.14- FLORESTA SUR 3512831388-3515095125</t>
  </si>
  <si>
    <t xml:space="preserve">12 mes$562500</t>
  </si>
  <si>
    <t xml:space="preserve">PAGLIARI LUIS MANUEL</t>
  </si>
  <si>
    <t xml:space="preserve">TOMAS DE ROCAMORA 2322-PATRICIO NORTE</t>
  </si>
  <si>
    <t xml:space="preserve">72*3900</t>
  </si>
  <si>
    <t xml:space="preserve">PALACIOS MICAELA ABIGAIL</t>
  </si>
  <si>
    <t xml:space="preserve">B. SACHI TC.351 702-5836-GUANASACATE 2931</t>
  </si>
  <si>
    <t xml:space="preserve">PARRA MARTIN GERARDO </t>
  </si>
  <si>
    <t xml:space="preserve">MZA.42-CASA19. COOP VIPRO-calle galindez y entre rios-tc. De su madre 35122223920</t>
  </si>
  <si>
    <t xml:space="preserve">20.3643123.3</t>
  </si>
  <si>
    <t xml:space="preserve">MZA.42-CASA19. COOP VIPRO-lt. San jeronimo y rio primero-galindez y entre rios tc. De la madre 3512223920</t>
  </si>
  <si>
    <t xml:space="preserve">20.36431623.3</t>
  </si>
  <si>
    <t xml:space="preserve">20 q.$75000</t>
  </si>
  <si>
    <t xml:space="preserve">  </t>
  </si>
  <si>
    <t xml:space="preserve">PAZ CESAR ALBERTO</t>
  </si>
  <si>
    <t xml:space="preserve">AMBUL 6066 3517074754 TF.4936836 TL.4633220</t>
  </si>
  <si>
    <t xml:space="preserve">4mes$21600 </t>
  </si>
  <si>
    <t xml:space="preserve">PAZ DANIEL A.- VILLALBA CRISTIAN M.-PAZ MARISA JULIETA</t>
  </si>
  <si>
    <t xml:space="preserve">publica c 3295 - JUJUY 76 PB-3512110973</t>
  </si>
  <si>
    <t xml:space="preserve">8 mes$150000</t>
  </si>
  <si>
    <t xml:space="preserve">PICATTO JESICA</t>
  </si>
  <si>
    <t xml:space="preserve">1 pago</t>
  </si>
  <si>
    <t xml:space="preserve">PICCATTO SOLEDAD</t>
  </si>
  <si>
    <t xml:space="preserve">PUCHI EMILIO DANIEL</t>
  </si>
  <si>
    <t xml:space="preserve">MZA.36 LTE.32 VILLA GRAL SAVIO TC.3518196321 TC. ESPOSA:3513777559 MALDONADO SILVANA VANESA</t>
  </si>
  <si>
    <t xml:space="preserve">20-33699933-3</t>
  </si>
  <si>
    <t xml:space="preserve">QUINTANILLA CLAUDIA MABEL</t>
  </si>
  <si>
    <t xml:space="preserve">8 mes$72000</t>
  </si>
  <si>
    <t xml:space="preserve">RAMIREZ MARIO EZEQUIEL- PAEZ FERNABDI GABRIEL</t>
  </si>
  <si>
    <t xml:space="preserve">AZCONA 1843 - VILLA SAN CARLOS</t>
  </si>
  <si>
    <t xml:space="preserve">6MS$308000</t>
  </si>
  <si>
    <t xml:space="preserve">REYES MATIAS FABIAN</t>
  </si>
  <si>
    <t xml:space="preserve">RIO NEGRO 2860 DPTO.8 TC.3516219312- EPTA ARGENTINA TC.35415225500</t>
  </si>
  <si>
    <t xml:space="preserve">8 MES$252000</t>
  </si>
  <si>
    <t xml:space="preserve">REYNOSO IVAN LEONARDO</t>
  </si>
  <si>
    <t xml:space="preserve">RIO DE JANEIRO 1542 - 3517354470 -TALLER CARLITOS</t>
  </si>
  <si>
    <t xml:space="preserve">72*$4500</t>
  </si>
  <si>
    <t xml:space="preserve">72*$1500</t>
  </si>
  <si>
    <t xml:space="preserve">REYNOSO ROMULA CONSTANZA MABEL </t>
  </si>
  <si>
    <t xml:space="preserve">RIO SECO 5937</t>
  </si>
  <si>
    <t xml:space="preserve">72*12000</t>
  </si>
  <si>
    <t xml:space="preserve">RODI  ALEXIS</t>
  </si>
  <si>
    <t xml:space="preserve">3 MES$135,000</t>
  </si>
  <si>
    <t xml:space="preserve">RODRIGUEZ ANALIA DEL VALLE</t>
  </si>
  <si>
    <t xml:space="preserve">BILBAO 2682- ESC. CORONEL OlmEDO- CARLOS TEJEDOR 2039 (PORTON NEGRO)</t>
  </si>
  <si>
    <t xml:space="preserve">10 MES218400</t>
  </si>
  <si>
    <t xml:space="preserve">RODRIGUEZ WALTER ABEL</t>
  </si>
  <si>
    <t xml:space="preserve">BAREY)JUAN B JUSTO 3071 TC.3515200815 (TUMBES 5310 TC.3512147702- 156343237 -3512454196 </t>
  </si>
  <si>
    <t xml:space="preserve">ROMERO EDGAR RAFAEL</t>
  </si>
  <si>
    <t xml:space="preserve">AV. ARMADA ARG.2939.TP.4932602. TC. 0351-8641772</t>
  </si>
  <si>
    <t xml:space="preserve">6 mes$220000</t>
  </si>
  <si>
    <t xml:space="preserve">ROMERO ROXANA EDITH</t>
  </si>
  <si>
    <t xml:space="preserve">GAIMAN 2244- CABILDO- 3516 52-7744</t>
  </si>
  <si>
    <t xml:space="preserve">10 MES$85000</t>
  </si>
  <si>
    <t xml:space="preserve">10 MES$62400</t>
  </si>
  <si>
    <t xml:space="preserve">16 MES$220000</t>
  </si>
  <si>
    <t xml:space="preserve">160*4500</t>
  </si>
  <si>
    <t xml:space="preserve">ROMERO SILVIA MARINA</t>
  </si>
  <si>
    <t xml:space="preserve">MONZA 434 TC.351614534- LT. GUASAPAMPA 3580-MONZA 452</t>
  </si>
  <si>
    <t xml:space="preserve">ROMERO YESICA MARIEL</t>
  </si>
  <si>
    <t xml:space="preserve">MACACHIN 2285-CABILDO-SINFONDA- ENCARGADO FRANCO</t>
  </si>
  <si>
    <t xml:space="preserve">SAIN MARIA DE LOS ANGELES</t>
  </si>
  <si>
    <t xml:space="preserve">MZA.20 LOTE 11 -AMP. CABILDO</t>
  </si>
  <si>
    <t xml:space="preserve">1 PAGO</t>
  </si>
  <si>
    <t xml:space="preserve">SALDAÑO ERICA ROMINA</t>
  </si>
  <si>
    <t xml:space="preserve">B. VILLA ANGELELI. TC.3513553791</t>
  </si>
  <si>
    <t xml:space="preserve">160*36000</t>
  </si>
  <si>
    <t xml:space="preserve">SENA CARLOS ADRIAN </t>
  </si>
  <si>
    <t xml:space="preserve">DL. POPAYAN Y GOBERNACION TP.4931536 - 4945343-tc.3517 04-3694- esp.tc.3516 17-9021</t>
  </si>
  <si>
    <t xml:space="preserve">16 mes$750000</t>
  </si>
  <si>
    <t xml:space="preserve">16 mes$550000</t>
  </si>
  <si>
    <t xml:space="preserve">160*27000</t>
  </si>
  <si>
    <t xml:space="preserve">55*16058,2</t>
  </si>
  <si>
    <t xml:space="preserve">SENA DIEGO ALEJANDRO</t>
  </si>
  <si>
    <t xml:space="preserve">MZA. H LOTE.22 PUBLICA 1294- VILLA LIBERTADOR-TC.3515163346</t>
  </si>
  <si>
    <t xml:space="preserve">20-39080879-8</t>
  </si>
  <si>
    <t xml:space="preserve">SILVA NORMA B.</t>
  </si>
  <si>
    <t xml:space="preserve">CONSTITUCION 5374 TC.3512498303 -3512479521</t>
  </si>
  <si>
    <t xml:space="preserve">6MES$66000</t>
  </si>
  <si>
    <t xml:space="preserve">SIMES EDUARDO ANTONIO</t>
  </si>
  <si>
    <t xml:space="preserve">NEIVA 5744-TC.3513081181</t>
  </si>
  <si>
    <t xml:space="preserve">110*6000</t>
  </si>
  <si>
    <t xml:space="preserve">SORIA MIRIAM BEATRIZ  </t>
  </si>
  <si>
    <t xml:space="preserve">4 MES75.600</t>
  </si>
  <si>
    <t xml:space="preserve">4 MES54.000</t>
  </si>
  <si>
    <t xml:space="preserve">SORIA MIRIAM BEATRIZ (devora) </t>
  </si>
  <si>
    <t xml:space="preserve">4 MES113400</t>
  </si>
  <si>
    <t xml:space="preserve">SORIA VANESA ELIZABETH</t>
  </si>
  <si>
    <t xml:space="preserve">AVDOR GONZALO ALBARRACIN 4917 1 TC.351-6758780</t>
  </si>
  <si>
    <t xml:space="preserve">4 mes$54000</t>
  </si>
  <si>
    <t xml:space="preserve">TAPIA PABLO REINALDO-HENOT SERGIO A.</t>
  </si>
  <si>
    <t xml:space="preserve">ARMADA ARGENTINA 2939- 3513142989 </t>
  </si>
  <si>
    <t xml:space="preserve">11 quinc.$48,000</t>
  </si>
  <si>
    <t xml:space="preserve">TELLO ARIEL ALEJANDRO</t>
  </si>
  <si>
    <t xml:space="preserve">CALAMUCHITA 5730.3513450397/3524406897 (ESPOSA)</t>
  </si>
  <si>
    <t xml:space="preserve">4mes$81000</t>
  </si>
  <si>
    <t xml:space="preserve">TELLO EVELYN DAYANA</t>
  </si>
  <si>
    <t xml:space="preserve">11 QUINC.$28800</t>
  </si>
  <si>
    <t xml:space="preserve">8 mes.$360000</t>
  </si>
  <si>
    <t xml:space="preserve">VERON ANTONELLA BELEN-ANDINO GONZALO EZEQUIEL</t>
  </si>
  <si>
    <t xml:space="preserve">ALMAGRO 1175 C.LOLA-tc.3515599150 LT.EL BO- los paisanitos-jbjusto 4660</t>
  </si>
  <si>
    <t xml:space="preserve">6MES132000</t>
  </si>
  <si>
    <t xml:space="preserve">VIJARRA JUAN EDUARDO</t>
  </si>
  <si>
    <t xml:space="preserve">PASAJE CASTILLA 3146- VILLA ASPACIA-3517413949</t>
  </si>
  <si>
    <t xml:space="preserve">8 mens.$180000</t>
  </si>
  <si>
    <t xml:space="preserve">VILLAGRA CESAR EUDOSIO</t>
  </si>
  <si>
    <t xml:space="preserve">BOUNGANTHEN 569-3518553637-3515194123</t>
  </si>
  <si>
    <t xml:space="preserve">8 mes$262500</t>
  </si>
  <si>
    <t xml:space="preserve">VILLAGRA CESAR EUDOSIO(monica)</t>
  </si>
  <si>
    <t xml:space="preserve">VILLAGRA MAURICIO RICARDO </t>
  </si>
  <si>
    <t xml:space="preserve">72*1200</t>
  </si>
  <si>
    <t xml:space="preserve">VILLALBA CAROLINA SOLEDAD</t>
  </si>
  <si>
    <t xml:space="preserve">PASAJE CANTILO 381- TC.351-7575879</t>
  </si>
  <si>
    <t xml:space="preserve">14 qui$54000</t>
  </si>
  <si>
    <t xml:space="preserve">VILLALBA TERESITA BEATRIZ</t>
  </si>
  <si>
    <t xml:space="preserve">FELIPE BELTRAME 5451 NEWBERY- rivadavia 66</t>
  </si>
  <si>
    <t xml:space="preserve">2mes$250000</t>
  </si>
  <si>
    <t xml:space="preserve">VIVAS FABIAN GONZALO</t>
  </si>
  <si>
    <t xml:space="preserve">santa rosa1234 dpto 11- trabaja en primo resto bar</t>
  </si>
  <si>
    <t xml:space="preserve">VIZCARRA ANGELINA S </t>
  </si>
  <si>
    <t xml:space="preserve">MZA.35 LTE3 AMP. CABILDO-3512400467 3515596376</t>
  </si>
  <si>
    <t xml:space="preserve">YAÑEZ TOMAS MANUEL</t>
  </si>
  <si>
    <t xml:space="preserve">RODRIGUEZ DE LA TORRE 1424- SUAREZ</t>
  </si>
  <si>
    <t xml:space="preserve">6 MES $33000</t>
  </si>
  <si>
    <t xml:space="preserve">6 MES $22000</t>
  </si>
  <si>
    <t xml:space="preserve">4 MES $27000</t>
  </si>
  <si>
    <t xml:space="preserve">YAÑEZ TOMAS MANUEL (REFIN)/PALACIO RODOLFo  RUBEN</t>
  </si>
  <si>
    <t xml:space="preserve">20,32314270,0 (01)</t>
  </si>
  <si>
    <t xml:space="preserve">6 MES$45000</t>
  </si>
  <si>
    <t xml:space="preserve">4mes$270.000</t>
  </si>
  <si>
    <t xml:space="preserve">4 MESES$54000</t>
  </si>
  <si>
    <t xml:space="preserve">72*18000</t>
  </si>
  <si>
    <t xml:space="preserve">gutierrez monica sandra</t>
  </si>
  <si>
    <t xml:space="preserve">CAP/DOC</t>
  </si>
  <si>
    <t xml:space="preserve">analia aguirre</t>
  </si>
  <si>
    <t xml:space="preserve">%</t>
  </si>
  <si>
    <t xml:space="preserve">carolina ferreyra</t>
  </si>
  <si>
    <t xml:space="preserve">cant-pers</t>
  </si>
  <si>
    <t xml:space="preserve">MELINA HERRERA</t>
  </si>
  <si>
    <t xml:space="preserve">c.nvo.-cobr</t>
  </si>
  <si>
    <t xml:space="preserve">elina amaranto</t>
  </si>
  <si>
    <t xml:space="preserve">pres-inic.</t>
  </si>
  <si>
    <t xml:space="preserve">RECIBO</t>
  </si>
  <si>
    <t xml:space="preserve">PARA EL CLIENTE</t>
  </si>
  <si>
    <t xml:space="preserve">NUMERO DE RECIBO</t>
  </si>
  <si>
    <t xml:space="preserve">CREDITOS JARDIN</t>
  </si>
  <si>
    <t xml:space="preserve">FECHA</t>
  </si>
  <si>
    <t xml:space="preserve">RECIBO PROVISORIO POR PAGOS DE CUOTAS O PARCIALES </t>
  </si>
  <si>
    <t xml:space="preserve">APELLIDO Y NOMBRE</t>
  </si>
  <si>
    <t xml:space="preserve">CONCEPTO -NRO.CREDITO</t>
  </si>
  <si>
    <t xml:space="preserve">UNIDAD</t>
  </si>
  <si>
    <t xml:space="preserve">SUBTOTAL</t>
  </si>
  <si>
    <t xml:space="preserve">TOTAL</t>
  </si>
  <si>
    <t xml:space="preserve">TOTAL ABONADO: QUINCE MIL, PESOS ARGENTINOS</t>
  </si>
  <si>
    <t xml:space="preserve">(PESOS ARG.)</t>
  </si>
  <si>
    <t xml:space="preserve">RECIBIDO POR</t>
  </si>
  <si>
    <t xml:space="preserve">NUMERO DE CREDITO</t>
  </si>
  <si>
    <t xml:space="preserve">Nombre :  </t>
  </si>
  <si>
    <t xml:space="preserve">Plan:55*$16058</t>
  </si>
  <si>
    <t xml:space="preserve">"Prestamo</t>
  </si>
  <si>
    <t xml:space="preserve">Nro.Cuenta: </t>
  </si>
  <si>
    <t xml:space="preserve">Fecha Emision: </t>
  </si>
  <si>
    <t xml:space="preserve">Efectivo "</t>
  </si>
  <si>
    <t xml:space="preserve">Nro. Cto:  </t>
  </si>
  <si>
    <t xml:space="preserve">Fecha de Finalizacion</t>
  </si>
  <si>
    <t xml:space="preserve">351-3251882</t>
  </si>
  <si>
    <t xml:space="preserve">Fecha</t>
  </si>
  <si>
    <t xml:space="preserve">Entrega</t>
  </si>
  <si>
    <t xml:space="preserve">Firma</t>
  </si>
  <si>
    <t xml:space="preserve">TC. </t>
  </si>
  <si>
    <t xml:space="preserve">72*$3000</t>
  </si>
  <si>
    <t xml:space="preserve">"PRESTAMO"</t>
  </si>
  <si>
    <t xml:space="preserve">****</t>
  </si>
  <si>
    <t xml:space="preserve">Fecha Finalizacion:</t>
  </si>
  <si>
    <t xml:space="preserve">TC.   :</t>
  </si>
  <si>
    <t xml:space="preserve">110*$3600</t>
  </si>
  <si>
    <t xml:space="preserve">PRESTAMO</t>
  </si>
  <si>
    <t xml:space="preserve">***</t>
  </si>
  <si>
    <t xml:space="preserve">Fecha Final.:</t>
  </si>
  <si>
    <t xml:space="preserve">TC.SUPERVISOR:</t>
  </si>
  <si>
    <t xml:space="preserve">6 quincenas*$64.000</t>
  </si>
  <si>
    <t xml:space="preserve">Prestamo </t>
  </si>
  <si>
    <t xml:space="preserve">Fecha de Cierre:</t>
  </si>
  <si>
    <t xml:space="preserve">1 quincena</t>
  </si>
  <si>
    <t xml:space="preserve">7 quincena</t>
  </si>
  <si>
    <t xml:space="preserve">2 quincena</t>
  </si>
  <si>
    <t xml:space="preserve">8 quincena</t>
  </si>
  <si>
    <t xml:space="preserve">3 quincena</t>
  </si>
  <si>
    <t xml:space="preserve">9 quincena</t>
  </si>
  <si>
    <t xml:space="preserve">4 quincena</t>
  </si>
  <si>
    <t xml:space="preserve">10 quincena</t>
  </si>
  <si>
    <t xml:space="preserve">5 quincena</t>
  </si>
  <si>
    <t xml:space="preserve">11 quincena</t>
  </si>
  <si>
    <t xml:space="preserve">6 quincena</t>
  </si>
  <si>
    <t xml:space="preserve">12 quincena</t>
  </si>
  <si>
    <t xml:space="preserve">15 quincena</t>
  </si>
  <si>
    <t xml:space="preserve">16 quincena</t>
  </si>
  <si>
    <t xml:space="preserve">6 meses*$220.000</t>
  </si>
  <si>
    <t xml:space="preserve">06.06.26</t>
  </si>
  <si>
    <t xml:space="preserve">5</t>
  </si>
  <si>
    <t xml:space="preserve">2</t>
  </si>
  <si>
    <t xml:space="preserve">6</t>
  </si>
  <si>
    <t xml:space="preserve">3</t>
  </si>
  <si>
    <t xml:space="preserve">7</t>
  </si>
  <si>
    <t xml:space="preserve">4</t>
  </si>
  <si>
    <t xml:space="preserve">8</t>
  </si>
  <si>
    <t xml:space="preserve">14</t>
  </si>
  <si>
    <t xml:space="preserve">15</t>
  </si>
  <si>
    <t xml:space="preserve">16</t>
  </si>
  <si>
    <t xml:space="preserve">17</t>
  </si>
  <si>
    <t xml:space="preserve">9</t>
  </si>
  <si>
    <t xml:space="preserve">18</t>
  </si>
  <si>
    <t xml:space="preserve">pag.1</t>
  </si>
  <si>
    <t xml:space="preserve">Cta</t>
  </si>
  <si>
    <t xml:space="preserve">Domicilio </t>
  </si>
  <si>
    <t xml:space="preserve">F. de Inicio</t>
  </si>
  <si>
    <t xml:space="preserve">F. Final.</t>
  </si>
  <si>
    <t xml:space="preserve">DIAS ABONADOS</t>
  </si>
  <si>
    <t xml:space="preserve">DIAS SIN ABONAR</t>
  </si>
  <si>
    <t xml:space="preserve">Plan. Cta.</t>
  </si>
  <si>
    <t xml:space="preserve"> Devolver</t>
  </si>
  <si>
    <t xml:space="preserve">Cta.sem.a.c</t>
  </si>
  <si>
    <t xml:space="preserve">ult.pago</t>
  </si>
  <si>
    <t xml:space="preserve">acu.clien.</t>
  </si>
  <si>
    <t xml:space="preserve">Pendiente</t>
  </si>
  <si>
    <t xml:space="preserve">f.canc</t>
  </si>
  <si>
    <t xml:space="preserve">6mes$88,000</t>
  </si>
  <si>
    <t xml:space="preserve">ARRASCAETA VALENTINA ALICIA</t>
  </si>
  <si>
    <t xml:space="preserve">DIEGO PAROISSIEN 33364 -LT. GERVASONI 2382 TC.3516099463</t>
  </si>
  <si>
    <t xml:space="preserve">11 QUIN$25000</t>
  </si>
  <si>
    <t xml:space="preserve">GUTIERREZ BERNAL MARCOS WILFREDO</t>
  </si>
  <si>
    <t xml:space="preserve">CONSTITUCION 5095 - MARCOS(gonzalo)</t>
  </si>
  <si>
    <t xml:space="preserve">72*600</t>
  </si>
  <si>
    <t xml:space="preserve">CONSTITUCION 5095 - MARCOS </t>
  </si>
  <si>
    <t xml:space="preserve">1 pago </t>
  </si>
  <si>
    <t xml:space="preserve">MAIDANA MERCEDES JULIANA</t>
  </si>
  <si>
    <t xml:space="preserve">BRASIL 1410 PB.2-TL. 153848561- TC.3512134476</t>
  </si>
  <si>
    <t xml:space="preserve">MORETTI SILVIA YOLANDA</t>
  </si>
  <si>
    <t xml:space="preserve">PEDRO INCHAUSPE 260 -TP.4618497. TC. 3515063489</t>
  </si>
  <si>
    <t xml:space="preserve">OLMOS ELENA GLADYS DEL VALLE</t>
  </si>
  <si>
    <t xml:space="preserve">7 MES$26400</t>
  </si>
  <si>
    <t xml:space="preserve">PICCATTO CARLOS DAMIAN</t>
  </si>
  <si>
    <t xml:space="preserve">CABO ALFREDO GONZALEZ 1825 TC.351 2107553</t>
  </si>
  <si>
    <t xml:space="preserve">PICCATTO JESICA</t>
  </si>
  <si>
    <t xml:space="preserve">SENA CARLOS ADRIAN- AVELLANEDA ANGELA D.</t>
  </si>
  <si>
    <t xml:space="preserve">215*600</t>
  </si>
  <si>
    <t xml:space="preserve">ARAYA PEREZ TOMAS JOAQUIN</t>
  </si>
  <si>
    <t xml:space="preserve">AV. TALLERES 1007 - EVO GYM TC.351-327-2299-ADOLFO CONTTE 974  O 560-PARANA 555 DPTO. T</t>
  </si>
  <si>
    <t xml:space="preserve">ARCE MONICA</t>
  </si>
  <si>
    <t xml:space="preserve">6M5$13200</t>
  </si>
  <si>
    <t xml:space="preserve">BARRETO NICOLE DALILA</t>
  </si>
  <si>
    <t xml:space="preserve">ICHO CRUZ 332- LT.ALGO DISTINTO AV. DE MAYO -TC.3515499856</t>
  </si>
  <si>
    <t xml:space="preserve">72*300</t>
  </si>
  <si>
    <t xml:space="preserve">MZA.46.LT.13 ITUZAINGO II. IPV-TC.3517142709</t>
  </si>
  <si>
    <t xml:space="preserve">6m$8800</t>
  </si>
  <si>
    <t xml:space="preserve">GODOY GRACIELA</t>
  </si>
  <si>
    <t xml:space="preserve">ZONDA 1529--RESIDENCIAL SUD</t>
  </si>
  <si>
    <t xml:space="preserve">72*750</t>
  </si>
  <si>
    <t xml:space="preserve">4MESES$10800</t>
  </si>
  <si>
    <t xml:space="preserve">HENOT MARIA DE LOS MILAGROS-TAPIA JORGE LUIS</t>
  </si>
  <si>
    <t xml:space="preserve">MARTINEZ NATALIA SOLEDAD</t>
  </si>
  <si>
    <t xml:space="preserve">7 quinc 6200</t>
  </si>
  <si>
    <t xml:space="preserve">PAEZ GIANFRANCO- PAEZ WALTER RAMON</t>
  </si>
  <si>
    <t xml:space="preserve">6 mes$10000</t>
  </si>
  <si>
    <t xml:space="preserve">PAZ MARISA</t>
  </si>
  <si>
    <t xml:space="preserve">LOS HORNILLOS 2817 DPTO 62. AMP. SAN PABLO</t>
  </si>
  <si>
    <t xml:space="preserve">6M$8800</t>
  </si>
  <si>
    <t xml:space="preserve">72*150</t>
  </si>
  <si>
    <t xml:space="preserve">GUTIERREZ DEBORA YANINA-RAMOS ISABEL DEL VALLE</t>
  </si>
  <si>
    <t xml:space="preserve">BAHAMAS 4580 -TC.3513943023- TCG.3513887099 LT. F.FRIAS 560-RDE STA.FE 460</t>
  </si>
  <si>
    <t xml:space="preserve">27.33101701.6</t>
  </si>
  <si>
    <t xml:space="preserve">72*450</t>
  </si>
  <si>
    <t xml:space="preserve">MOYANO FABIAN ISAAC-MOYANO VICTOR DAVID</t>
  </si>
  <si>
    <t xml:space="preserve">GUTIERREZ BERNAL MARCOS WILFREDO(ANDREA)</t>
  </si>
  <si>
    <t xml:space="preserve">MARTINEZ ROSA VIVIANA</t>
  </si>
  <si>
    <t xml:space="preserve">72*1800</t>
  </si>
  <si>
    <t xml:space="preserve">VILLAGRA MAURICIO RICARDO-VILLAGRA CESAR EUDOSIO</t>
  </si>
  <si>
    <t xml:space="preserve">ARCE EDITH ELIZABETH DEL VALLE</t>
  </si>
  <si>
    <t xml:space="preserve">BOGOTA 265 SANTA ROSA</t>
  </si>
  <si>
    <t xml:space="preserve">LUIS MARIA DRAGO 268 -3512911884</t>
  </si>
  <si>
    <t xml:space="preserve">6meses$6600</t>
  </si>
  <si>
    <t xml:space="preserve">GOMEZ NATALIA PAOLA/LOPEZ WALTER ARTURO</t>
  </si>
  <si>
    <t xml:space="preserve">110*1320</t>
  </si>
  <si>
    <t xml:space="preserve">ESTEBAN BONORINO 4643 TC3512387037- ESPINOSA MALL</t>
  </si>
  <si>
    <t xml:space="preserve">4M$5400</t>
  </si>
  <si>
    <t xml:space="preserve">ORELLANO JULIETA ABIGAIL-HENOT LUCIANO GABRIEL</t>
  </si>
  <si>
    <t xml:space="preserve">110*720</t>
  </si>
  <si>
    <t xml:space="preserve">GUTIERREZ BERNAL MARCOS WILFREDO </t>
  </si>
  <si>
    <t xml:space="preserve">LAZARTE BERTA ROSA (sebastian)</t>
  </si>
  <si>
    <t xml:space="preserve">OLMOS ELENA DEL VALLE</t>
  </si>
  <si>
    <t xml:space="preserve">23.18328931.4</t>
  </si>
  <si>
    <t xml:space="preserve">SORIA MIRIAM BEATRIZ-PICCATTO ERNESTO NATALIO</t>
  </si>
  <si>
    <t xml:space="preserve">AMBUL 6161 1-COMERCIAL -TC.3513978119 -3516433350 (ESP)</t>
  </si>
  <si>
    <t xml:space="preserve">72*390</t>
  </si>
  <si>
    <t xml:space="preserve">AMARANTO ELINA</t>
  </si>
  <si>
    <t xml:space="preserve">3 QUINC.$8500</t>
  </si>
  <si>
    <t xml:space="preserve">LUNA ESTELA NILDA</t>
  </si>
  <si>
    <t xml:space="preserve">CALAMUCHITA 6036-3512657835-dpsto  DISCO</t>
  </si>
  <si>
    <t xml:space="preserve">7M$11315</t>
  </si>
  <si>
    <t xml:space="preserve">6m $8800</t>
  </si>
  <si>
    <t xml:space="preserve">110*960</t>
  </si>
  <si>
    <t xml:space="preserve">REYNOSO ROMULA CONSTANZA MABEL-TELLO ANGEL GABRIEL</t>
  </si>
  <si>
    <t xml:space="preserve">20.35526114.0</t>
  </si>
  <si>
    <t xml:space="preserve">AGUIRRE ANALIA ISABEL</t>
  </si>
  <si>
    <t xml:space="preserve">RAFAEL GARCIA 3810- TRB. EN ABREU DE FIGUEROA 2784</t>
  </si>
  <si>
    <t xml:space="preserve">ARCE EDITH DEL VALLE</t>
  </si>
  <si>
    <t xml:space="preserve">ARCE MONICA(hija)</t>
  </si>
  <si>
    <t xml:space="preserve">AMBUL 6076-COMERCIAL-517647824 (hija)</t>
  </si>
  <si>
    <t xml:space="preserve">CABIDO OLGA</t>
  </si>
  <si>
    <t xml:space="preserve">110*840</t>
  </si>
  <si>
    <t xml:space="preserve">4*$54000</t>
  </si>
  <si>
    <t xml:space="preserve">8mes$20100</t>
  </si>
  <si>
    <t xml:space="preserve">FRONTERA JUAN</t>
  </si>
  <si>
    <t xml:space="preserve">YERNO DE WALTER PAEZ TC.351-3729453</t>
  </si>
  <si>
    <t xml:space="preserve">6 MESES$13400</t>
  </si>
  <si>
    <t xml:space="preserve">75*1200</t>
  </si>
  <si>
    <t xml:space="preserve">LLORENS MARIA CRISTINA/OVIEDO MARIA CRISTINA</t>
  </si>
  <si>
    <t xml:space="preserve">JUEZ BARRACO MARMOL 267- GRAL BUSTOS. TC.351686-0893</t>
  </si>
  <si>
    <t xml:space="preserve">7 m$12080</t>
  </si>
  <si>
    <t xml:space="preserve">6 meses$8400</t>
  </si>
  <si>
    <t xml:space="preserve">4 m $5400</t>
  </si>
  <si>
    <t xml:space="preserve">PJE TIRANA 3146- VILLA ASPACIA</t>
  </si>
  <si>
    <t xml:space="preserve">CABIDO JOSEFA OLGA (NICOLAS FRONTERA)</t>
  </si>
  <si>
    <t xml:space="preserve">4*$27000</t>
  </si>
  <si>
    <t xml:space="preserve">FONSECA ROMINA ISABEL(MATIAS)</t>
  </si>
  <si>
    <t xml:space="preserve">8 MES$7300</t>
  </si>
  <si>
    <t xml:space="preserve">LOPEZ JESSICA ROSA MARIA</t>
  </si>
  <si>
    <t xml:space="preserve">GUATIMOZIN 264-TC.351-2079928</t>
  </si>
  <si>
    <t xml:space="preserve">6 MES 10050</t>
  </si>
  <si>
    <t xml:space="preserve">130*2000</t>
  </si>
  <si>
    <t xml:space="preserve">MILA</t>
  </si>
  <si>
    <t xml:space="preserve">110*1560</t>
  </si>
  <si>
    <t xml:space="preserve">.</t>
  </si>
  <si>
    <t xml:space="preserve">40*$1000</t>
  </si>
  <si>
    <t xml:space="preserve">110*480</t>
  </si>
  <si>
    <t xml:space="preserve">ALFARO ELIO EMANUEL</t>
  </si>
  <si>
    <t xml:space="preserve">TC.3517 18-4740</t>
  </si>
  <si>
    <t xml:space="preserve">3*8500</t>
  </si>
  <si>
    <t xml:space="preserve">8m$16500</t>
  </si>
  <si>
    <t xml:space="preserve">130*880</t>
  </si>
  <si>
    <t xml:space="preserve">SILVA NORMA B.-MARTINEZ DIAMELA ANAHI(PRIMO)</t>
  </si>
  <si>
    <t xml:space="preserve">7 MES $18900</t>
  </si>
  <si>
    <t xml:space="preserve">VILLA MARIA 6187 TC.3516346811.LAB. LA FALDA 5822</t>
  </si>
  <si>
    <t xml:space="preserve">20 Q.$25000</t>
  </si>
  <si>
    <t xml:space="preserve">OLMOS ELENA</t>
  </si>
  <si>
    <t xml:space="preserve">6 MES$8800</t>
  </si>
  <si>
    <t xml:space="preserve">4MESES$21600</t>
  </si>
  <si>
    <t xml:space="preserve">8MESES$16500</t>
  </si>
  <si>
    <t xml:space="preserve">HENOT MAXIMILIANO ALEJ./ HENOT SERGIO ALEJ.</t>
  </si>
  <si>
    <t xml:space="preserve">AV. ARMADA ARG.2939.TP.4932602. TL. 0351-3551088</t>
  </si>
  <si>
    <t xml:space="preserve">140*2000</t>
  </si>
  <si>
    <t xml:space="preserve">4M$2815</t>
  </si>
  <si>
    <t xml:space="preserve">240*1290</t>
  </si>
  <si>
    <t xml:space="preserve">VILLAGRA PABLO EZEQUIEL- JADRA MONICA EMILIA</t>
  </si>
  <si>
    <t xml:space="preserve">20,32314095.3</t>
  </si>
  <si>
    <t xml:space="preserve">CASTILLO JESUS FERNANDO</t>
  </si>
  <si>
    <t xml:space="preserve">4 MESES $16200</t>
  </si>
  <si>
    <t xml:space="preserve">HENOT LUCIANO GABRIEL-ORELLANO JULIETA ABIGAIL</t>
  </si>
  <si>
    <t xml:space="preserve">YOCSINA 1696-3513919623-3512628606-APEX ISCOT</t>
  </si>
  <si>
    <t xml:space="preserve">LOPEZ JONATAN OMAR</t>
  </si>
  <si>
    <t xml:space="preserve">VIRGINIA  </t>
  </si>
  <si>
    <t xml:space="preserve">72*675</t>
  </si>
  <si>
    <t xml:space="preserve">MARTINEZ NATALIA SOLEDAD (cristian)</t>
  </si>
  <si>
    <t xml:space="preserve">BOGOTA </t>
  </si>
  <si>
    <t xml:space="preserve">FERREYRA PAMELA GISELA</t>
  </si>
  <si>
    <t xml:space="preserve">USHUAIA 3350- CASA 317. SAN IGNACIO DE HORIZONTE-3517568462</t>
  </si>
  <si>
    <t xml:space="preserve">TUNUYAN 2139-3516791165- MINIMERCADO </t>
  </si>
  <si>
    <t xml:space="preserve">20 Q.$12500</t>
  </si>
  <si>
    <t xml:space="preserve">PARRA MARTIN GERARDO- ARRASCAETA VALENTINA ALICIA</t>
  </si>
  <si>
    <t xml:space="preserve">MZA.42-CASA19. COOP VIPRO</t>
  </si>
  <si>
    <t xml:space="preserve">PICCATTO ROBERTO CARLOS</t>
  </si>
  <si>
    <t xml:space="preserve">AMBUL 6161 1-COMERCIAL -TC.351 2081008 3513978119 -3516433350 (ESP)</t>
  </si>
  <si>
    <t xml:space="preserve">SILVA NORMA B.-MARTINEZ DIAMELA ANAHI(Diamela)</t>
  </si>
  <si>
    <t xml:space="preserve">SORIA MIRIAM BEATRIZ (debora)</t>
  </si>
  <si>
    <t xml:space="preserve">6m $13200</t>
  </si>
  <si>
    <t xml:space="preserve">16quin$5450</t>
  </si>
  <si>
    <t xml:space="preserve">70*620</t>
  </si>
  <si>
    <t xml:space="preserve">4*8500</t>
  </si>
  <si>
    <t xml:space="preserve">4meses$21600</t>
  </si>
  <si>
    <t xml:space="preserve">CABIDO JOSEFA OLGA (M)</t>
  </si>
  <si>
    <t xml:space="preserve">6m$35200</t>
  </si>
  <si>
    <t xml:space="preserve">6m$26400</t>
  </si>
  <si>
    <t xml:space="preserve">4 MESES $10800</t>
  </si>
  <si>
    <t xml:space="preserve">8 MES$15000</t>
  </si>
  <si>
    <t xml:space="preserve">6 mes$10050</t>
  </si>
  <si>
    <t xml:space="preserve">8MESES$16900</t>
  </si>
  <si>
    <t xml:space="preserve">VAZQUEZ JOSE DAVID</t>
  </si>
  <si>
    <t xml:space="preserve">CAYUQUEO 2176 A LT. FIAMBRERIA COLORADO Y TUCLAME.TC.3513856498</t>
  </si>
  <si>
    <t xml:space="preserve">110*1680</t>
  </si>
  <si>
    <t xml:space="preserve">CABRERA MELANI AGUSTINA-RAMOS ISABEL DEL VALLE</t>
  </si>
  <si>
    <t xml:space="preserve">MZA.46 LTE. 13-IPV. ITUZAINGO ANEXO</t>
  </si>
  <si>
    <t xml:space="preserve">135*2000</t>
  </si>
  <si>
    <t xml:space="preserve">GODOY DANIEL G.-FERREYRA PAMELA GISELA</t>
  </si>
  <si>
    <t xml:space="preserve">THEA 6043 3513556990-3516795101 (IVANA FERREYRA( ESP.)</t>
  </si>
  <si>
    <t xml:space="preserve">8QUIN.$5400</t>
  </si>
  <si>
    <t xml:space="preserve">8 MES$11315</t>
  </si>
  <si>
    <t xml:space="preserve">8 MES$16500</t>
  </si>
  <si>
    <t xml:space="preserve">CABIDO JOSEFA OLGA (Daiana)</t>
  </si>
  <si>
    <t xml:space="preserve">VILLAGRA CESAR-VILLAGRA MAURICIO</t>
  </si>
  <si>
    <t xml:space="preserve">6 MES$18500</t>
  </si>
  <si>
    <t xml:space="preserve">COLORADO 5765 DPTO.2 EUROCLEAN. MISERICORDIA SALA CLINICA MEDICA TC.3518022824</t>
  </si>
  <si>
    <t xml:space="preserve">27.40298910.1</t>
  </si>
  <si>
    <t xml:space="preserve">27,39833576,6</t>
  </si>
  <si>
    <t xml:space="preserve">6 meses$10800</t>
  </si>
  <si>
    <t xml:space="preserve">6 m.$36000</t>
  </si>
  <si>
    <t xml:space="preserve">12mes$32500</t>
  </si>
  <si>
    <t xml:space="preserve">4 MES $16200</t>
  </si>
  <si>
    <t xml:space="preserve">4MESES$16200</t>
  </si>
  <si>
    <t xml:space="preserve">MONSALVO FABIANA CELESTE</t>
  </si>
  <si>
    <t xml:space="preserve">AV.COLON 1881.PB.G-LT.4647255-TC.3512056786-cajamarca 1528</t>
  </si>
  <si>
    <t xml:space="preserve">27.39071162.5</t>
  </si>
  <si>
    <t xml:space="preserve">72*6750</t>
  </si>
  <si>
    <t xml:space="preserve">VILLAGRA CESAR </t>
  </si>
  <si>
    <t xml:space="preserve">ABACA DARIO DANIEL</t>
  </si>
  <si>
    <t xml:space="preserve">110*1200</t>
  </si>
  <si>
    <t xml:space="preserve">4 MESES$16200</t>
  </si>
  <si>
    <t xml:space="preserve">BILBAO 2682- ESC. CORONEL OL  EDO</t>
  </si>
  <si>
    <t xml:space="preserve">72*1543</t>
  </si>
  <si>
    <t xml:space="preserve">JIMENEZ RODRIGUEZ VIRGINIA </t>
  </si>
  <si>
    <t xml:space="preserve">MZNA. D LT.9. COOP APERBOCH</t>
  </si>
  <si>
    <t xml:space="preserve">27,94047136.8</t>
  </si>
  <si>
    <t xml:space="preserve">70*2500</t>
  </si>
  <si>
    <t xml:space="preserve">ORELLANO JULIETA ABIGAIL</t>
  </si>
  <si>
    <t xml:space="preserve">4 mes$8100</t>
  </si>
  <si>
    <t xml:space="preserve">SILVA NORMA B.-MARTINEZ DIAMELA ANAHI</t>
  </si>
  <si>
    <t xml:space="preserve">1 PAGO $13000</t>
  </si>
  <si>
    <t xml:space="preserve">6m$6600</t>
  </si>
  <si>
    <t xml:space="preserve">4MESES$27000</t>
  </si>
  <si>
    <t xml:space="preserve">13 quin$18470</t>
  </si>
  <si>
    <t xml:space="preserve">LOPEZ JONATHAN OMAR</t>
  </si>
  <si>
    <t xml:space="preserve">6 MESES$8375</t>
  </si>
  <si>
    <t xml:space="preserve">10 mes$24000</t>
  </si>
  <si>
    <t xml:space="preserve">4m$2700</t>
  </si>
  <si>
    <t xml:space="preserve">ROSALES JUAN DARIO</t>
  </si>
  <si>
    <t xml:space="preserve">PEDRO CALDERON DE LA BARCA 1216 PB.C</t>
  </si>
  <si>
    <t xml:space="preserve">20,21330154.4</t>
  </si>
  <si>
    <t xml:space="preserve">6 mes$22000</t>
  </si>
  <si>
    <t xml:space="preserve">4 mes$10800</t>
  </si>
  <si>
    <t xml:space="preserve">SALTA 347 piso 2- dpto6. tc.3513027747- lt. Redis sas- valparaiso 4250 loc.1 SINFONDA</t>
  </si>
  <si>
    <t xml:space="preserve">CASTILLO SILVIA MIRIAM(HIJO)</t>
  </si>
  <si>
    <t xml:space="preserve">3 MES$33500</t>
  </si>
  <si>
    <t xml:space="preserve">NISPO 1510</t>
  </si>
  <si>
    <t xml:space="preserve">AMBUL 6161 1-COMERCIAL -TC.351-6756079</t>
  </si>
  <si>
    <t xml:space="preserve">FERREYRA NOELIA ALEJANDRA-FERREYRA PATRICIA NOEMI</t>
  </si>
  <si>
    <t xml:space="preserve">4 MES.$54000</t>
  </si>
  <si>
    <t xml:space="preserve">FRONTERA NICOLAS EZEQUIEL- TELLO JOSE</t>
  </si>
  <si>
    <t xml:space="preserve">110*1440</t>
  </si>
  <si>
    <t xml:space="preserve">6m $10800</t>
  </si>
  <si>
    <t xml:space="preserve">5*$43200</t>
  </si>
  <si>
    <t xml:space="preserve">70*1750</t>
  </si>
  <si>
    <t xml:space="preserve">LEGUIZAMON ELISA CELINA</t>
  </si>
  <si>
    <t xml:space="preserve">VIRGINIA 5696 -  3515460040</t>
  </si>
  <si>
    <t xml:space="preserve">27,13391646,1</t>
  </si>
  <si>
    <t xml:space="preserve">12Q$9200</t>
  </si>
  <si>
    <t xml:space="preserve">MOLINA ALEJANDRO ROFOLFO </t>
  </si>
  <si>
    <t xml:space="preserve">VICENTE FORESTIERI 5014 DPTO.2- V.LIBERTADOR TC3518562485</t>
  </si>
  <si>
    <t xml:space="preserve">MURUA CLAUDIA ALEJANDRA</t>
  </si>
  <si>
    <t xml:space="preserve">GOBERNACION 1074- V.LIBER- HOSP. PRIV.ROPERIA REC. DE mIRYm- tc.3517359640</t>
  </si>
  <si>
    <t xml:space="preserve">2 MES$18750</t>
  </si>
  <si>
    <t xml:space="preserve">6 MES 18000</t>
  </si>
  <si>
    <t xml:space="preserve">4M$13500</t>
  </si>
  <si>
    <t xml:space="preserve">4M$16200</t>
  </si>
  <si>
    <t xml:space="preserve">SAVID SANDRA KARINA/HENOT SERGIO ALEJAN</t>
  </si>
  <si>
    <t xml:space="preserve">6 M $19500</t>
  </si>
  <si>
    <t xml:space="preserve">HENOT MAXIMILIANO</t>
  </si>
  <si>
    <t xml:space="preserve">AV. ARMADA ARG.2939.TP.4932602. TL. 351-3551088</t>
  </si>
  <si>
    <t xml:space="preserve">20,36680456,1</t>
  </si>
  <si>
    <t xml:space="preserve">PICCATTO JESSICA</t>
  </si>
  <si>
    <t xml:space="preserve">240*1920</t>
  </si>
  <si>
    <t xml:space="preserve">6M$18270</t>
  </si>
  <si>
    <t xml:space="preserve">10 meses$27000</t>
  </si>
  <si>
    <t xml:space="preserve">110*660</t>
  </si>
  <si>
    <t xml:space="preserve">130*2030,76</t>
  </si>
  <si>
    <t xml:space="preserve">4 MESES$10800</t>
  </si>
  <si>
    <t xml:space="preserve">TELLO RAMON ANDRES</t>
  </si>
  <si>
    <t xml:space="preserve">16quin$7800</t>
  </si>
  <si>
    <t xml:space="preserve">1 PAGO $26000</t>
  </si>
  <si>
    <t xml:space="preserve">115*2300</t>
  </si>
  <si>
    <t xml:space="preserve">6 MES$20000</t>
  </si>
  <si>
    <t xml:space="preserve">72*2100</t>
  </si>
  <si>
    <t xml:space="preserve">7 MES$37715</t>
  </si>
  <si>
    <t xml:space="preserve">5 MESES$22000</t>
  </si>
  <si>
    <t xml:space="preserve">5*$86400</t>
  </si>
  <si>
    <t xml:space="preserve">1 PAGO $39000</t>
  </si>
  <si>
    <t xml:space="preserve">4MES$27000</t>
  </si>
  <si>
    <t xml:space="preserve">1 MES$15000</t>
  </si>
  <si>
    <t xml:space="preserve">3MES $21600</t>
  </si>
  <si>
    <t xml:space="preserve">CASTILLO JESUS FERNANDO (VIERNES)</t>
  </si>
  <si>
    <t xml:space="preserve">8 QUIN$18900</t>
  </si>
  <si>
    <t xml:space="preserve">AGUIRRE JUAN CARLOS</t>
  </si>
  <si>
    <t xml:space="preserve">ESTRELLITA 7782- VILLA RIVADAVIA-</t>
  </si>
  <si>
    <t xml:space="preserve">8mes$40200</t>
  </si>
  <si>
    <t xml:space="preserve">3 MESES $33,350</t>
  </si>
  <si>
    <t xml:space="preserve">10 MES $30500</t>
  </si>
  <si>
    <t xml:space="preserve">16/028/24</t>
  </si>
  <si>
    <t xml:space="preserve">7 quin.$9300</t>
  </si>
  <si>
    <t xml:space="preserve">6 MES$23150</t>
  </si>
  <si>
    <t xml:space="preserve">CASTILLO JESUS FERNANDO(domingo)</t>
  </si>
  <si>
    <t xml:space="preserve">SE REFIN</t>
  </si>
  <si>
    <t xml:space="preserve">CASTILLO JESUS FERNANDO(martes)</t>
  </si>
  <si>
    <t xml:space="preserve">72*21000</t>
  </si>
  <si>
    <t xml:space="preserve">7mes$11320</t>
  </si>
  <si>
    <t xml:space="preserve">12meses$20000</t>
  </si>
  <si>
    <t xml:space="preserve">7 MESES$15100</t>
  </si>
  <si>
    <t xml:space="preserve">6M$17600</t>
  </si>
  <si>
    <t xml:space="preserve">PICCATO JESICA</t>
  </si>
  <si>
    <t xml:space="preserve">7 QUIN."30860</t>
  </si>
  <si>
    <t xml:space="preserve">14 quin$25730</t>
  </si>
  <si>
    <t xml:space="preserve">3 MES$54500</t>
  </si>
  <si>
    <t xml:space="preserve">6 mes$13200</t>
  </si>
  <si>
    <t xml:space="preserve">6 MES$57600</t>
  </si>
  <si>
    <t xml:space="preserve">6 MESES $30800</t>
  </si>
  <si>
    <t xml:space="preserve">AGÜERO FERNANDO</t>
  </si>
  <si>
    <t xml:space="preserve">USHUAIA 1666. STA. ISABEL-35131219885- EDIF. CENIT F.ALCORTA 220</t>
  </si>
  <si>
    <t xml:space="preserve">20,35526114,0</t>
  </si>
  <si>
    <t xml:space="preserve">4meses$10800</t>
  </si>
  <si>
    <t xml:space="preserve">72*1350</t>
  </si>
  <si>
    <t xml:space="preserve">1 pago $26000</t>
  </si>
  <si>
    <t xml:space="preserve">1MES$15000</t>
  </si>
  <si>
    <t xml:space="preserve">5 meses$64800</t>
  </si>
  <si>
    <t xml:space="preserve">CUELLO SANTIAGO BERNABE</t>
  </si>
  <si>
    <t xml:space="preserve">RIO ANCASMAYO 1118 - 3516062218 -A.SL CORDOBA SAS- NORES MARTINEZ 3286 1ER P. OF.6</t>
  </si>
  <si>
    <t xml:space="preserve">6 MESES $44000</t>
  </si>
  <si>
    <t xml:space="preserve">42*450</t>
  </si>
  <si>
    <t xml:space="preserve">12quin$9000</t>
  </si>
  <si>
    <t xml:space="preserve">LAZARTE BERTA ROSA (Martin)</t>
  </si>
  <si>
    <t xml:space="preserve">MARTINEZ GABRIELA</t>
  </si>
  <si>
    <t xml:space="preserve">12 MES$24100</t>
  </si>
  <si>
    <t xml:space="preserve">4 MES$21600</t>
  </si>
  <si>
    <t xml:space="preserve">6 meses$17600</t>
  </si>
  <si>
    <t xml:space="preserve">6 MES 20000</t>
  </si>
  <si>
    <t xml:space="preserve">7 mes$37800</t>
  </si>
  <si>
    <t xml:space="preserve">ABACA DARIO DANIEL (Viviana)</t>
  </si>
  <si>
    <t xml:space="preserve">6 meses$44000</t>
  </si>
  <si>
    <t xml:space="preserve">6 MES$44,000</t>
  </si>
  <si>
    <t xml:space="preserve">FUENTES MABEL LETICIA DEL VALLE(HERMANA)</t>
  </si>
  <si>
    <t xml:space="preserve">12 mes$21000</t>
  </si>
  <si>
    <t xml:space="preserve">11m$36000</t>
  </si>
  <si>
    <t xml:space="preserve">LUCERO RUBEN DEL CARMEN- PALACIOS MICAELA ABIGAIL</t>
  </si>
  <si>
    <t xml:space="preserve">12 QUIN$22000</t>
  </si>
  <si>
    <t xml:space="preserve">12Q$44000</t>
  </si>
  <si>
    <t xml:space="preserve">1 PAGO $38000</t>
  </si>
  <si>
    <t xml:space="preserve">130*4400</t>
  </si>
  <si>
    <t xml:space="preserve">JUJUY 76 PB-3512110973</t>
  </si>
  <si>
    <t xml:space="preserve">8 mes$99000</t>
  </si>
  <si>
    <t xml:space="preserve">125*8448</t>
  </si>
  <si>
    <t xml:space="preserve">8 MES$22500</t>
  </si>
  <si>
    <t xml:space="preserve">5 MES$86400</t>
  </si>
  <si>
    <t xml:space="preserve">SORIA MIRIAM BEATRIZ  (hija)</t>
  </si>
  <si>
    <t xml:space="preserve">7 Q.$9300</t>
  </si>
  <si>
    <t xml:space="preserve">120*3300</t>
  </si>
  <si>
    <t xml:space="preserve">J. VERDI 3925 TP.1885826-351-3009709-351-3463900-patente hby978</t>
  </si>
  <si>
    <t xml:space="preserve">4 MES.$81000</t>
  </si>
  <si>
    <t xml:space="preserve">04 meses$27000</t>
  </si>
  <si>
    <t xml:space="preserve">LAZARTE BERTA ROSA(sebastian)</t>
  </si>
  <si>
    <t xml:space="preserve">9 MES $66700</t>
  </si>
  <si>
    <t xml:space="preserve">18 Q.$13900</t>
  </si>
  <si>
    <t xml:space="preserve">12Q$11000</t>
  </si>
  <si>
    <t xml:space="preserve">4m*$54000</t>
  </si>
  <si>
    <t xml:space="preserve">3 MES $32000</t>
  </si>
  <si>
    <t xml:space="preserve">110*$960</t>
  </si>
  <si>
    <t xml:space="preserve">AMBUL 6066 3513934950 TF.4936836 TL.4633220</t>
  </si>
  <si>
    <t xml:space="preserve">25/03/214</t>
  </si>
  <si>
    <t xml:space="preserve">4M$10800</t>
  </si>
  <si>
    <t xml:space="preserve">REYNOSO ROMULA CONSTANZA MABEL-TELLO ANGEL GABRIEL </t>
  </si>
  <si>
    <t xml:space="preserve">REYNOSO ROMULA CONSTANZA MABEL-TELLO ANGEL GABRIEL(melani)</t>
  </si>
  <si>
    <t xml:space="preserve">SERRA HILDA JUDITH</t>
  </si>
  <si>
    <t xml:space="preserve">CORRIENTES 4466- EMPALME-TC.3513718901</t>
  </si>
  <si>
    <t xml:space="preserve">70*2160</t>
  </si>
  <si>
    <t xml:space="preserve">ANDINO GONZALO EZEQUIEL</t>
  </si>
  <si>
    <t xml:space="preserve">PEDRO J. FRIAS 354-PASO DE LOS ANDES-3516203041- MILA- distribuidora los paisanitos  j.b.justo 4660</t>
  </si>
  <si>
    <t xml:space="preserve">GIMENEZ SERGIO ALEJANDRO</t>
  </si>
  <si>
    <t xml:space="preserve">ADRIAN ESCOBAR 3485, LAS FLORES-3512369427</t>
  </si>
  <si>
    <t xml:space="preserve">18 quin.$26000</t>
  </si>
  <si>
    <t xml:space="preserve">3 MES$300.000</t>
  </si>
  <si>
    <t xml:space="preserve">12 quin$44000</t>
  </si>
  <si>
    <t xml:space="preserve">6M$44,000</t>
  </si>
  <si>
    <t xml:space="preserve">4 M$5400</t>
  </si>
  <si>
    <t xml:space="preserve">4 M$10800</t>
  </si>
  <si>
    <t xml:space="preserve">72*$2400</t>
  </si>
  <si>
    <t xml:space="preserve">RIO SECO 5937-canals 5883- tl.03515103434 rechi sabina</t>
  </si>
  <si>
    <t xml:space="preserve">11 quinc.$14.400</t>
  </si>
  <si>
    <t xml:space="preserve">5*$172800</t>
  </si>
  <si>
    <t xml:space="preserve">7 QUIN.$15000</t>
  </si>
  <si>
    <t xml:space="preserve">FUENTES MABEL LETICIA DEL VALLE (REFIN)</t>
  </si>
  <si>
    <t xml:space="preserve">6m $26400</t>
  </si>
  <si>
    <t xml:space="preserve">6 MESES$22,000</t>
  </si>
  <si>
    <t xml:space="preserve">4 MESES$27000</t>
  </si>
  <si>
    <t xml:space="preserve">8Q$13500</t>
  </si>
  <si>
    <t xml:space="preserve">MORETTI SILVIA</t>
  </si>
  <si>
    <t xml:space="preserve">4m$21600</t>
  </si>
  <si>
    <t xml:space="preserve">6 MES $52800</t>
  </si>
  <si>
    <t xml:space="preserve">4 MES $18900</t>
  </si>
  <si>
    <t xml:space="preserve">3MES $3600</t>
  </si>
  <si>
    <t xml:space="preserve">4MESES$37800</t>
  </si>
  <si>
    <t xml:space="preserve">5 mes$129600</t>
  </si>
  <si>
    <t xml:space="preserve">1 PAGO 32000</t>
  </si>
  <si>
    <t xml:space="preserve">1 PAGO 22500</t>
  </si>
  <si>
    <t xml:space="preserve">1 pago$150000</t>
  </si>
  <si>
    <t xml:space="preserve">HENOT MAXIMILIANO- CANDELA</t>
  </si>
  <si>
    <t xml:space="preserve">AV. ARMADA ARG.2939.351-3551088. 3514591095</t>
  </si>
  <si>
    <t xml:space="preserve">7QUIN$9500</t>
  </si>
  <si>
    <t xml:space="preserve">7 Q.$9500</t>
  </si>
  <si>
    <t xml:space="preserve">7 mes$80000</t>
  </si>
  <si>
    <t xml:space="preserve">3 MES$599,990</t>
  </si>
  <si>
    <t xml:space="preserve">04 meses$54000</t>
  </si>
  <si>
    <t xml:space="preserve">72*2400</t>
  </si>
  <si>
    <t xml:space="preserve">6 mes$25920</t>
  </si>
  <si>
    <t xml:space="preserve">06 meses$44000</t>
  </si>
  <si>
    <t xml:space="preserve">30 Q.$19700</t>
  </si>
  <si>
    <t xml:space="preserve">120*$3103</t>
  </si>
  <si>
    <t xml:space="preserve">7 MES$11315</t>
  </si>
  <si>
    <t xml:space="preserve">7mes$22630</t>
  </si>
  <si>
    <t xml:space="preserve">encargado en Oleo Sabores</t>
  </si>
  <si>
    <t xml:space="preserve">5MES$108000</t>
  </si>
  <si>
    <t xml:space="preserve">4 MES$108000</t>
  </si>
  <si>
    <t xml:space="preserve">1PAGO</t>
  </si>
  <si>
    <t xml:space="preserve">1 PAGO 23000</t>
  </si>
  <si>
    <t xml:space="preserve">4 meses$54800</t>
  </si>
  <si>
    <t xml:space="preserve">BAZAN ELBA LILIA-REYNOSO ROMULA</t>
  </si>
  <si>
    <t xml:space="preserve">RIO SECO 5943-TC.3512524380</t>
  </si>
  <si>
    <t xml:space="preserve">4 meses $108000</t>
  </si>
  <si>
    <t xml:space="preserve">FARIAS ROMINA V./ FARIAS CAROLINA</t>
  </si>
  <si>
    <t xml:space="preserve">MZA. 46 LT.13 ITUZAINGO IPV. TL.4283089- TC.3518574887</t>
  </si>
  <si>
    <t xml:space="preserve">30q$21875</t>
  </si>
  <si>
    <t xml:space="preserve">6 MES$15000</t>
  </si>
  <si>
    <t xml:space="preserve">115*5740</t>
  </si>
  <si>
    <t xml:space="preserve">paz marisa- VILLALBA CRISTIAN M. </t>
  </si>
  <si>
    <t xml:space="preserve">6mes$44000</t>
  </si>
  <si>
    <t xml:space="preserve">RICCIO MIRIAM ELIZABETH -  FARIAS CAROLINA</t>
  </si>
  <si>
    <t xml:space="preserve">20 Q*25000</t>
  </si>
  <si>
    <t xml:space="preserve">SORIA MIRIAM BEATRIZ  (DEVORA)</t>
  </si>
  <si>
    <t xml:space="preserve">7 Q.$15500</t>
  </si>
  <si>
    <t xml:space="preserve">9 MES$45000</t>
  </si>
  <si>
    <t xml:space="preserve">GONZALEZ NATALIA DEOLINDA-SANTILLAN FRANCO</t>
  </si>
  <si>
    <t xml:space="preserve">mza.21 lte.10-TC.3517 18-4740</t>
  </si>
  <si>
    <t xml:space="preserve">120*11000</t>
  </si>
  <si>
    <t xml:space="preserve">TORRES LEANDRO MARTIN</t>
  </si>
  <si>
    <t xml:space="preserve">CARLOS GERVASONI 2382-TALLERES S. TC.3513118483</t>
  </si>
  <si>
    <t xml:space="preserve">55*1910</t>
  </si>
  <si>
    <t xml:space="preserve">12 QUIN$33000</t>
  </si>
  <si>
    <t xml:space="preserve">4 MES$32400</t>
  </si>
  <si>
    <t xml:space="preserve">6 meses$22000</t>
  </si>
  <si>
    <t xml:space="preserve">70*1545</t>
  </si>
  <si>
    <t xml:space="preserve">9 MES$68000</t>
  </si>
  <si>
    <t xml:space="preserve">7 MES $37800</t>
  </si>
  <si>
    <t xml:space="preserve">5 MES$43200</t>
  </si>
  <si>
    <t xml:space="preserve">8 QUIN$36000</t>
  </si>
  <si>
    <t xml:space="preserve">7 MES$75,000</t>
  </si>
  <si>
    <t xml:space="preserve">1 Pago</t>
  </si>
  <si>
    <t xml:space="preserve">7 quinc$9500</t>
  </si>
  <si>
    <t xml:space="preserve">10 mes$30800</t>
  </si>
  <si>
    <t xml:space="preserve">22 Q.$27280</t>
  </si>
  <si>
    <t xml:space="preserve">11 quinc.$26.400</t>
  </si>
  <si>
    <t xml:space="preserve">6 MESES $35200</t>
  </si>
  <si>
    <t xml:space="preserve">7 Q.$12350</t>
  </si>
  <si>
    <t xml:space="preserve">70*3100</t>
  </si>
  <si>
    <t xml:space="preserve">8 MES$82500</t>
  </si>
  <si>
    <t xml:space="preserve">6 MES$22000</t>
  </si>
  <si>
    <t xml:space="preserve">4 MES$108.000</t>
  </si>
  <si>
    <t xml:space="preserve">120*5503</t>
  </si>
  <si>
    <t xml:space="preserve">4MES $108,000</t>
  </si>
  <si>
    <t xml:space="preserve">SAIN MAIRA DE LOS ANGELES</t>
  </si>
  <si>
    <t xml:space="preserve">4 MES $35100</t>
  </si>
  <si>
    <t xml:space="preserve">10 MES$105000</t>
  </si>
  <si>
    <t xml:space="preserve">FLORES JUANA</t>
  </si>
  <si>
    <t xml:space="preserve">7 QUIN15450</t>
  </si>
  <si>
    <t xml:space="preserve">6 meses$30800</t>
  </si>
  <si>
    <t xml:space="preserve">ABREGO DARIO FABIAN</t>
  </si>
  <si>
    <t xml:space="preserve">CALAMUCHITA 5668.3512659896</t>
  </si>
  <si>
    <t xml:space="preserve">120*4400</t>
  </si>
  <si>
    <t xml:space="preserve">6 M$22000</t>
  </si>
  <si>
    <t xml:space="preserve">6 MESES$44,000</t>
  </si>
  <si>
    <t xml:space="preserve">4 mes$81000</t>
  </si>
  <si>
    <t xml:space="preserve">LA FALDA 6058 TC.3513149383 -3513824577</t>
  </si>
  <si>
    <t xml:space="preserve">4 MES $21600</t>
  </si>
  <si>
    <t xml:space="preserve">5 MES$108000</t>
  </si>
  <si>
    <t xml:space="preserve">240*2900</t>
  </si>
  <si>
    <t xml:space="preserve">ALFARO ELIDA ESTER- ALFARO ELIO D¿E.</t>
  </si>
  <si>
    <t xml:space="preserve">2 PAGOS$130.000</t>
  </si>
  <si>
    <t xml:space="preserve">6meses$22000</t>
  </si>
  <si>
    <t xml:space="preserve">7 Q$21600</t>
  </si>
  <si>
    <t xml:space="preserve">55*3184</t>
  </si>
  <si>
    <t xml:space="preserve">CABIDO JOSEFA OLGA (martin) </t>
  </si>
  <si>
    <t xml:space="preserve">4 Mes$108,000</t>
  </si>
  <si>
    <t xml:space="preserve">OLIVA MIRIAM DEL VALLE</t>
  </si>
  <si>
    <t xml:space="preserve">DEAN FUNES  814 PB.I TC.153229631 TL.4466800</t>
  </si>
  <si>
    <t xml:space="preserve">4 MES$27,000</t>
  </si>
  <si>
    <t xml:space="preserve">4 MES$216000</t>
  </si>
  <si>
    <t xml:space="preserve">4 meses$54000</t>
  </si>
  <si>
    <t xml:space="preserve">1 pago$120000</t>
  </si>
  <si>
    <t xml:space="preserve">7*15500</t>
  </si>
  <si>
    <t xml:space="preserve">72*$2100</t>
  </si>
  <si>
    <t xml:space="preserve">4MES$43200</t>
  </si>
  <si>
    <t xml:space="preserve">4 MES $54000</t>
  </si>
  <si>
    <t xml:space="preserve">MOLINA MAXIMILIANO EXE- BLOIN CLAUDIA DEL V. - MANERO BLOIN AGUSTINA B.</t>
  </si>
  <si>
    <t xml:space="preserve">COLORADO 5676.TC. 3513173503</t>
  </si>
  <si>
    <t xml:space="preserve">7 QUINC$30857</t>
  </si>
  <si>
    <t xml:space="preserve">4 mes 43200</t>
  </si>
  <si>
    <t xml:space="preserve">6 MES$52800</t>
  </si>
  <si>
    <t xml:space="preserve">4M*27000</t>
  </si>
  <si>
    <t xml:space="preserve">4M*16200</t>
  </si>
  <si>
    <t xml:space="preserve">MOYANO CELESTE CANDELARIA</t>
  </si>
  <si>
    <t xml:space="preserve">LA FALDA 6058 TC.351,5328402</t>
  </si>
  <si>
    <t xml:space="preserve">6MESES$35200</t>
  </si>
  <si>
    <t xml:space="preserve">15 MESES$16.000</t>
  </si>
  <si>
    <t xml:space="preserve">4 mes$27000</t>
  </si>
  <si>
    <t xml:space="preserve">7 Q.$21600</t>
  </si>
  <si>
    <t xml:space="preserve">SORIA MIRIAM BEATRIZ  (devora)</t>
  </si>
  <si>
    <t xml:space="preserve">MARTINEZ DIAMELA ANAHI</t>
  </si>
  <si>
    <t xml:space="preserve">fallecido</t>
  </si>
  <si>
    <t xml:space="preserve">6M $44,000</t>
  </si>
  <si>
    <t xml:space="preserve">120*8448</t>
  </si>
  <si>
    <t xml:space="preserve">135*6000</t>
  </si>
  <si>
    <t xml:space="preserve">4 mes$30000</t>
  </si>
  <si>
    <t xml:space="preserve">72*2700</t>
  </si>
  <si>
    <t xml:space="preserve">30*12000</t>
  </si>
  <si>
    <t xml:space="preserve">LAZARTE BERTA ROSA(Martin)</t>
  </si>
  <si>
    <t xml:space="preserve">110*$1680</t>
  </si>
  <si>
    <t xml:space="preserve">ROMERO ROXANA EDITH(alejandro)</t>
  </si>
  <si>
    <t xml:space="preserve">10 MES $90000</t>
  </si>
  <si>
    <t xml:space="preserve">7 MES$56572</t>
  </si>
  <si>
    <t xml:space="preserve">7 MES$56.600</t>
  </si>
  <si>
    <t xml:space="preserve">110*4400</t>
  </si>
  <si>
    <t xml:space="preserve">16q$28125</t>
  </si>
  <si>
    <t xml:space="preserve">FONSECA ROMINA ISABEL (MATIAS FRIAS)</t>
  </si>
  <si>
    <t xml:space="preserve">COLLADO FERNANDO MARTIN(candelaria)</t>
  </si>
  <si>
    <t xml:space="preserve">4 mes$16200 </t>
  </si>
  <si>
    <t xml:space="preserve">8 mes $112.500</t>
  </si>
  <si>
    <t xml:space="preserve">11q$19200</t>
  </si>
  <si>
    <t xml:space="preserve">10meses$99,000</t>
  </si>
  <si>
    <t xml:space="preserve">BLOIN CLAUDIA DEL VALLE(carlos)</t>
  </si>
  <si>
    <t xml:space="preserve">4 meses $162000</t>
  </si>
  <si>
    <t xml:space="preserve">4 MESES$27,000</t>
  </si>
  <si>
    <t xml:space="preserve">6MES$39600</t>
  </si>
  <si>
    <t xml:space="preserve">4 meses $270000</t>
  </si>
  <si>
    <t xml:space="preserve">7 QUIN$15500</t>
  </si>
  <si>
    <t xml:space="preserve">120*13200</t>
  </si>
  <si>
    <t xml:space="preserve">08 MES$150000</t>
  </si>
  <si>
    <t xml:space="preserve">1pago$150000</t>
  </si>
  <si>
    <t xml:space="preserve">5 MES$64800</t>
  </si>
  <si>
    <t xml:space="preserve">4MESES$54000</t>
  </si>
  <si>
    <t xml:space="preserve">4 MESES$43200</t>
  </si>
  <si>
    <t xml:space="preserve">4 m*81000</t>
  </si>
  <si>
    <t xml:space="preserve">70*15430</t>
  </si>
  <si>
    <t xml:space="preserve">6 M$17600</t>
  </si>
  <si>
    <t xml:space="preserve">8 Mes$187500</t>
  </si>
  <si>
    <t xml:space="preserve">6 mes$132.000.</t>
  </si>
  <si>
    <t xml:space="preserve">115*4600</t>
  </si>
  <si>
    <t xml:space="preserve">OLMOS ELENA(soledad)</t>
  </si>
  <si>
    <t xml:space="preserve">OLMOS ELENA(SOLEDAD)</t>
  </si>
  <si>
    <t xml:space="preserve">11q$36000</t>
  </si>
  <si>
    <t xml:space="preserve">6 MES$44.000</t>
  </si>
  <si>
    <t xml:space="preserve">70*4650</t>
  </si>
  <si>
    <t xml:space="preserve">6 MES$440000</t>
  </si>
  <si>
    <t xml:space="preserve">11 quin.$24000</t>
  </si>
  <si>
    <t xml:space="preserve">6 MES$220000</t>
  </si>
  <si>
    <t xml:space="preserve">110*9600</t>
  </si>
  <si>
    <t xml:space="preserve">120*7200</t>
  </si>
  <si>
    <t xml:space="preserve">7 QUIN$24700</t>
  </si>
  <si>
    <t xml:space="preserve">7 MES$58.000</t>
  </si>
  <si>
    <t xml:space="preserve">4 messe$864000</t>
  </si>
  <si>
    <t xml:space="preserve">4 MES$540.000</t>
  </si>
  <si>
    <t xml:space="preserve">ANGEL GALLARDO 1907tc.3518099873-SM NORTE LT CASA YAMOI 25 DE mayo </t>
  </si>
  <si>
    <t xml:space="preserve">6MESES$44,000</t>
  </si>
  <si>
    <t xml:space="preserve">SORIA MIRIAM BEATRIZ  (hermana "Karina")</t>
  </si>
  <si>
    <t xml:space="preserve">SORIA MIRIAM BEATRIZ  (yerno)</t>
  </si>
  <si>
    <t xml:space="preserve">GUZMAN CLAUDIA ALICIA</t>
  </si>
  <si>
    <t xml:space="preserve">OLMOS ELENA (soledad)</t>
  </si>
  <si>
    <t xml:space="preserve">YOCSINA 1696-3513919623-3512628606-APEX  -BAR EL BARQUITO PLAZA JERONIMO DEL BARCO</t>
  </si>
  <si>
    <t xml:space="preserve">3 MES$246667</t>
  </si>
  <si>
    <t xml:space="preserve">7 quin.$15430</t>
  </si>
  <si>
    <t xml:space="preserve">7Q$92571</t>
  </si>
  <si>
    <t xml:space="preserve">7 Q.$31000</t>
  </si>
  <si>
    <t xml:space="preserve">ALICANTE LUIS (ramona)</t>
  </si>
  <si>
    <t xml:space="preserve">6 MES$66,000</t>
  </si>
  <si>
    <t xml:space="preserve">40*4500</t>
  </si>
  <si>
    <t xml:space="preserve">1 pago devuelve el 2-9</t>
  </si>
  <si>
    <t xml:space="preserve">6 MES$26400</t>
  </si>
  <si>
    <t xml:space="preserve">6 mes$26400</t>
  </si>
  <si>
    <t xml:space="preserve">4 mes$16200</t>
  </si>
  <si>
    <t xml:space="preserve">ALICANTE LUIS-(JORGE)</t>
  </si>
  <si>
    <t xml:space="preserve">6 MES$30800</t>
  </si>
  <si>
    <t xml:space="preserve">15 quin.30000</t>
  </si>
  <si>
    <t xml:space="preserve">4MESES$27,000</t>
  </si>
  <si>
    <t xml:space="preserve">4 m*43200</t>
  </si>
  <si>
    <t xml:space="preserve">6m*$220000</t>
  </si>
  <si>
    <t xml:space="preserve">8MES $132250</t>
  </si>
  <si>
    <t xml:space="preserve">10 mes$99950</t>
  </si>
  <si>
    <t xml:space="preserve">primer cuota para mayo*</t>
  </si>
  <si>
    <t xml:space="preserve">11 quinc.$44,000</t>
  </si>
  <si>
    <t xml:space="preserve">CABIDO JOSEFA OLGA  dayana</t>
  </si>
  <si>
    <t xml:space="preserve">9 mes$45,000</t>
  </si>
  <si>
    <t xml:space="preserve">14 quin$47150</t>
  </si>
  <si>
    <t xml:space="preserve">70*21600</t>
  </si>
  <si>
    <t xml:space="preserve">20*$14000</t>
  </si>
  <si>
    <t xml:space="preserve">3MES $256000</t>
  </si>
  <si>
    <t xml:space="preserve">SORIA MIRIAM BEATRIZ  (braiton)</t>
  </si>
  <si>
    <t xml:space="preserve">se actualizo al 10/10</t>
  </si>
  <si>
    <t xml:space="preserve">55*10286</t>
  </si>
  <si>
    <t xml:space="preserve">45*2100</t>
  </si>
  <si>
    <t xml:space="preserve">8mes$93800</t>
  </si>
  <si>
    <t xml:space="preserve">24mes$145000</t>
  </si>
  <si>
    <t xml:space="preserve">12 mes$186000</t>
  </si>
  <si>
    <t xml:space="preserve">4 MES$37800</t>
  </si>
  <si>
    <t xml:space="preserve">4 mes54000</t>
  </si>
  <si>
    <t xml:space="preserve">6 MES$440,000</t>
  </si>
  <si>
    <t xml:space="preserve">7,75mes$102.000</t>
  </si>
  <si>
    <t xml:space="preserve">VILLAGRA MAURICIO</t>
  </si>
  <si>
    <t xml:space="preserve">4 mes$18900</t>
  </si>
  <si>
    <t xml:space="preserve">3MESES$32,000</t>
  </si>
  <si>
    <t xml:space="preserve">6 MESES $66.000</t>
  </si>
  <si>
    <t xml:space="preserve">FUENTES MABEL LETICIA DEL VALLE (laura)</t>
  </si>
  <si>
    <t xml:space="preserve">11 QUINC$48000</t>
  </si>
  <si>
    <t xml:space="preserve">10 MES$168000</t>
  </si>
  <si>
    <t xml:space="preserve">4MES$54000</t>
  </si>
  <si>
    <t xml:space="preserve">20*11250</t>
  </si>
  <si>
    <t xml:space="preserve">72*8700</t>
  </si>
  <si>
    <t xml:space="preserve">6 MESES$52.800</t>
  </si>
  <si>
    <t xml:space="preserve">8MES$112500</t>
  </si>
  <si>
    <t xml:space="preserve">6 mes 52800</t>
  </si>
  <si>
    <t xml:space="preserve">11Q*$36000</t>
  </si>
  <si>
    <t xml:space="preserve">72*3750</t>
  </si>
  <si>
    <t xml:space="preserve">11q$24000</t>
  </si>
  <si>
    <t xml:space="preserve">4 MES54,000</t>
  </si>
  <si>
    <t xml:space="preserve">SORIA MIRIAM BEATRIZ(branko)  </t>
  </si>
  <si>
    <t xml:space="preserve">1 pago 65000</t>
  </si>
  <si>
    <t xml:space="preserve">3 MES$1280000</t>
  </si>
  <si>
    <t xml:space="preserve">CABIDO JOSEFA OLGA  (MARTIN)</t>
  </si>
  <si>
    <t xml:space="preserve">6 MES$57,200</t>
  </si>
  <si>
    <t xml:space="preserve">4mes$27.000</t>
  </si>
  <si>
    <t xml:space="preserve">12 QUIN$55000</t>
  </si>
  <si>
    <t xml:space="preserve">11 q$72000</t>
  </si>
  <si>
    <t xml:space="preserve">20*1400</t>
  </si>
  <si>
    <t xml:space="preserve">4 mes$24300</t>
  </si>
  <si>
    <t xml:space="preserve">6 MESES$52800</t>
  </si>
  <si>
    <t xml:space="preserve">4mes$162.000</t>
  </si>
  <si>
    <t xml:space="preserve">1 PAGO$70000</t>
  </si>
  <si>
    <t xml:space="preserve">110*2200</t>
  </si>
  <si>
    <t xml:space="preserve">110*3120</t>
  </si>
  <si>
    <t xml:space="preserve">7 MES$117.858</t>
  </si>
  <si>
    <t xml:space="preserve">16q$9375</t>
  </si>
  <si>
    <t xml:space="preserve">2 PAGO</t>
  </si>
  <si>
    <t xml:space="preserve">3 MESES$32000</t>
  </si>
  <si>
    <t xml:space="preserve">OLMOS ELENA </t>
  </si>
  <si>
    <t xml:space="preserve">4 mes$5400</t>
  </si>
  <si>
    <t xml:space="preserve">3 MES$128000</t>
  </si>
  <si>
    <t xml:space="preserve">1 PAGO$90000</t>
  </si>
  <si>
    <t xml:space="preserve">8MES$45000</t>
  </si>
  <si>
    <t xml:space="preserve">70*7715</t>
  </si>
  <si>
    <t xml:space="preserve">MARTINEZ ERICA JORGELINA-MARTNIENZ NATALIA S.</t>
  </si>
  <si>
    <t xml:space="preserve">ISCHILIN 6019TC. 3515638869TL3512089673LT.ENTRE RIOS 273 GOOD MANERO</t>
  </si>
  <si>
    <t xml:space="preserve">8MES$375000</t>
  </si>
  <si>
    <t xml:space="preserve">6 MESES $108000</t>
  </si>
  <si>
    <t xml:space="preserve">8 mes*$150,000</t>
  </si>
  <si>
    <t xml:space="preserve">4MES$162000</t>
  </si>
  <si>
    <t xml:space="preserve">20 Q.$34500</t>
  </si>
  <si>
    <t xml:space="preserve">55*2800</t>
  </si>
  <si>
    <t xml:space="preserve">7 Q.$141000</t>
  </si>
  <si>
    <t xml:space="preserve">16 q.57000</t>
  </si>
  <si>
    <t xml:space="preserve">6 M$44000</t>
  </si>
  <si>
    <t xml:space="preserve">4 M$54000</t>
  </si>
  <si>
    <t xml:space="preserve">PEDRO ECHAGUE 3695 TC.153229631 TL.4466800</t>
  </si>
  <si>
    <t xml:space="preserve">6 MES$176000</t>
  </si>
  <si>
    <t xml:space="preserve">4MES$162,000</t>
  </si>
  <si>
    <t xml:space="preserve">4mes$54.000</t>
  </si>
  <si>
    <t xml:space="preserve">4MESES$108000</t>
  </si>
  <si>
    <t xml:space="preserve">HEERERA GIULIANA AGUSTINA</t>
  </si>
  <si>
    <t xml:space="preserve">80*8100</t>
  </si>
  <si>
    <t xml:space="preserve">6 Mes$132,000</t>
  </si>
  <si>
    <t xml:space="preserve">3 Mes$160.000</t>
  </si>
  <si>
    <t xml:space="preserve"> 6MES$44000</t>
  </si>
  <si>
    <t xml:space="preserve">4 MES37.800</t>
  </si>
  <si>
    <t xml:space="preserve">4mes$108000</t>
  </si>
  <si>
    <t xml:space="preserve">1 pago$45000</t>
  </si>
  <si>
    <t xml:space="preserve">GUTIERREZ MARCOS (compañero)</t>
  </si>
  <si>
    <t xml:space="preserve">4MESES$54.000</t>
  </si>
  <si>
    <t xml:space="preserve">1 pago$75000</t>
  </si>
  <si>
    <t xml:space="preserve">5 mes$432000</t>
  </si>
  <si>
    <t xml:space="preserve">50*10000</t>
  </si>
  <si>
    <t xml:space="preserve">9 mes$67,000</t>
  </si>
  <si>
    <t xml:space="preserve">6 mes$22,000</t>
  </si>
  <si>
    <t xml:space="preserve">8 MES$63750</t>
  </si>
  <si>
    <t xml:space="preserve">1 PAGO$260000</t>
  </si>
  <si>
    <t xml:space="preserve">4 MES108000</t>
  </si>
  <si>
    <t xml:space="preserve">72*3600</t>
  </si>
  <si>
    <t xml:space="preserve">1 PAGO$135000</t>
  </si>
  <si>
    <t xml:space="preserve">6 mes$22.000</t>
  </si>
  <si>
    <t xml:space="preserve">60*$16000</t>
  </si>
  <si>
    <t xml:space="preserve">8MESES$44,000</t>
  </si>
  <si>
    <t xml:space="preserve">8 MES$150,000</t>
  </si>
  <si>
    <t xml:space="preserve">8mes$90000</t>
  </si>
  <si>
    <t xml:space="preserve">7 quinc.$61750</t>
  </si>
  <si>
    <t xml:space="preserve">1 pago$20000</t>
  </si>
  <si>
    <t xml:space="preserve">6 MES $66000</t>
  </si>
  <si>
    <t xml:space="preserve">1 pago$90000</t>
  </si>
  <si>
    <t xml:space="preserve">6 QUIN$160000</t>
  </si>
  <si>
    <t xml:space="preserve">6quin.$96000</t>
  </si>
  <si>
    <t xml:space="preserve">4 MES$16200</t>
  </si>
  <si>
    <t xml:space="preserve">1 mes$150000</t>
  </si>
  <si>
    <t xml:space="preserve">1 mes$30000</t>
  </si>
  <si>
    <t xml:space="preserve">6 MES$132000</t>
  </si>
  <si>
    <t xml:space="preserve">4M*135000</t>
  </si>
  <si>
    <t xml:space="preserve">1 pago$520000</t>
  </si>
  <si>
    <t xml:space="preserve">1 pago $260000</t>
  </si>
  <si>
    <t xml:space="preserve">1 pago $130000</t>
  </si>
  <si>
    <t xml:space="preserve">RIBULGO LEANDRO EMANUEL</t>
  </si>
  <si>
    <t xml:space="preserve">ANGEL SALVADORES 5458 MZA25 LTE.11- SAN LUCAS</t>
  </si>
  <si>
    <t xml:space="preserve">8 mes$360000</t>
  </si>
  <si>
    <t xml:space="preserve">12mes$250000</t>
  </si>
  <si>
    <t xml:space="preserve">110*2880</t>
  </si>
  <si>
    <t xml:space="preserve">LAZARTE BERTA ROSA (MARTIN)</t>
  </si>
  <si>
    <t xml:space="preserve">6 M$22528</t>
  </si>
  <si>
    <t xml:space="preserve">GARCIA DANIEL ALBERTO</t>
  </si>
  <si>
    <t xml:space="preserve">PEDRO ECHAGUE 3853 TC.3512535046 </t>
  </si>
  <si>
    <t xml:space="preserve">6 MES $88000</t>
  </si>
  <si>
    <t xml:space="preserve">10meses$134.400</t>
  </si>
  <si>
    <t xml:space="preserve">4 meses$135.000</t>
  </si>
  <si>
    <t xml:space="preserve"> 6MES$66000</t>
  </si>
  <si>
    <t xml:space="preserve">2 MES$35.000</t>
  </si>
  <si>
    <t xml:space="preserve">8MESES$108,000</t>
  </si>
  <si>
    <t xml:space="preserve">8 MES$56250</t>
  </si>
  <si>
    <t xml:space="preserve">3 mes$192000</t>
  </si>
  <si>
    <t xml:space="preserve">25*12800</t>
  </si>
  <si>
    <t xml:space="preserve">70*4630</t>
  </si>
  <si>
    <t xml:space="preserve">2mes$210000</t>
  </si>
  <si>
    <t xml:space="preserve">110*12000</t>
  </si>
  <si>
    <t xml:space="preserve">4 M$16200</t>
  </si>
  <si>
    <t xml:space="preserve">4 M$21600</t>
  </si>
  <si>
    <t xml:space="preserve">10mes$249600</t>
  </si>
  <si>
    <t xml:space="preserve">ROMERO ROXANA EDITH-nuera</t>
  </si>
  <si>
    <t xml:space="preserve">fecha</t>
  </si>
  <si>
    <t xml:space="preserve">cant.ctas.fin.per</t>
  </si>
  <si>
    <t xml:space="preserve">$$final periodo</t>
  </si>
  <si>
    <t xml:space="preserve">prm.5.ult.se%</t>
  </si>
  <si>
    <t xml:space="preserve">cant.clientes pago</t>
  </si>
  <si>
    <t xml:space="preserve">cred inic$</t>
  </si>
  <si>
    <t xml:space="preserve">saldo</t>
  </si>
  <si>
    <t xml:space="preserve">acum.mens.5</t>
  </si>
  <si>
    <t xml:space="preserve">04.05.20</t>
  </si>
  <si>
    <t xml:space="preserve">11.05.20</t>
  </si>
  <si>
    <t xml:space="preserve">18.05.20</t>
  </si>
  <si>
    <t xml:space="preserve">26.05.20</t>
  </si>
  <si>
    <t xml:space="preserve">01.06.20</t>
  </si>
  <si>
    <t xml:space="preserve">08.06.20</t>
  </si>
  <si>
    <t xml:space="preserve">15.06.20</t>
  </si>
  <si>
    <t xml:space="preserve">22.06.20</t>
  </si>
  <si>
    <t xml:space="preserve">29.06.20</t>
  </si>
  <si>
    <t xml:space="preserve">06.07.20</t>
  </si>
  <si>
    <t xml:space="preserve">13.07.20</t>
  </si>
  <si>
    <t xml:space="preserve">20.07.20</t>
  </si>
  <si>
    <t xml:space="preserve">27.07.20</t>
  </si>
  <si>
    <t xml:space="preserve">03.08.20</t>
  </si>
  <si>
    <t xml:space="preserve">10.08.20</t>
  </si>
  <si>
    <t xml:space="preserve">17.08.20</t>
  </si>
  <si>
    <t xml:space="preserve">24.08.20</t>
  </si>
  <si>
    <t xml:space="preserve">31.08.20</t>
  </si>
  <si>
    <t xml:space="preserve">07.09.20</t>
  </si>
  <si>
    <t xml:space="preserve">14.09.20</t>
  </si>
  <si>
    <t xml:space="preserve">21.09.20</t>
  </si>
  <si>
    <t xml:space="preserve">28.09.20</t>
  </si>
  <si>
    <t xml:space="preserve">05.10.20</t>
  </si>
  <si>
    <t xml:space="preserve">12.10.20</t>
  </si>
  <si>
    <t xml:space="preserve">19.10.20</t>
  </si>
  <si>
    <t xml:space="preserve">26.10.20</t>
  </si>
  <si>
    <t xml:space="preserve">02.11.20</t>
  </si>
  <si>
    <t xml:space="preserve">09.11.20</t>
  </si>
  <si>
    <t xml:space="preserve">16.11.20</t>
  </si>
  <si>
    <t xml:space="preserve">23.11.20</t>
  </si>
  <si>
    <t xml:space="preserve">30.11.20</t>
  </si>
  <si>
    <t xml:space="preserve">07.12.20</t>
  </si>
  <si>
    <t xml:space="preserve">14.12.20</t>
  </si>
  <si>
    <t xml:space="preserve">21.12.20</t>
  </si>
  <si>
    <t xml:space="preserve">28.12.20</t>
  </si>
  <si>
    <t xml:space="preserve">04.01.21</t>
  </si>
  <si>
    <t xml:space="preserve">11.01.21</t>
  </si>
  <si>
    <t xml:space="preserve">18.01.21</t>
  </si>
  <si>
    <t xml:space="preserve">25.01.21</t>
  </si>
  <si>
    <t xml:space="preserve">01.02.21</t>
  </si>
  <si>
    <t xml:space="preserve">08.02.21</t>
  </si>
  <si>
    <t xml:space="preserve">15.02.21</t>
  </si>
  <si>
    <t xml:space="preserve">22.02.21</t>
  </si>
  <si>
    <t xml:space="preserve">01.03.21</t>
  </si>
  <si>
    <t xml:space="preserve">08.03.21</t>
  </si>
  <si>
    <t xml:space="preserve">15.03.21</t>
  </si>
  <si>
    <t xml:space="preserve">22.03.21</t>
  </si>
  <si>
    <t xml:space="preserve">29.03.21</t>
  </si>
  <si>
    <t xml:space="preserve">05.04.21</t>
  </si>
  <si>
    <t xml:space="preserve">12.04.21</t>
  </si>
  <si>
    <t xml:space="preserve">19.04.21</t>
  </si>
  <si>
    <t xml:space="preserve">26.04.21</t>
  </si>
  <si>
    <t xml:space="preserve">03.05.21</t>
  </si>
  <si>
    <t xml:space="preserve">10.05.21</t>
  </si>
  <si>
    <t xml:space="preserve">17.05.21</t>
  </si>
  <si>
    <t xml:space="preserve">24.05.21</t>
  </si>
  <si>
    <t xml:space="preserve">fase 1 cuarentena</t>
  </si>
  <si>
    <t xml:space="preserve">31.05.21</t>
  </si>
  <si>
    <t xml:space="preserve">restric. prov.Pand.</t>
  </si>
  <si>
    <t xml:space="preserve">07.06.21</t>
  </si>
  <si>
    <t xml:space="preserve">14.06.21</t>
  </si>
  <si>
    <t xml:space="preserve">21.06.21</t>
  </si>
  <si>
    <t xml:space="preserve">28.06.21</t>
  </si>
  <si>
    <t xml:space="preserve">04.07.21</t>
  </si>
  <si>
    <t xml:space="preserve">12.07.21</t>
  </si>
  <si>
    <t xml:space="preserve">19.07.21</t>
  </si>
  <si>
    <t xml:space="preserve">26.07.21</t>
  </si>
  <si>
    <t xml:space="preserve">02.08.21</t>
  </si>
  <si>
    <t xml:space="preserve">09.08.21</t>
  </si>
  <si>
    <t xml:space="preserve">16.08.21</t>
  </si>
  <si>
    <t xml:space="preserve">23.08.21</t>
  </si>
  <si>
    <t xml:space="preserve">30.08.21</t>
  </si>
  <si>
    <t xml:space="preserve">06.09.21</t>
  </si>
  <si>
    <t xml:space="preserve">13.09.21</t>
  </si>
  <si>
    <t xml:space="preserve">20.09.21</t>
  </si>
  <si>
    <t xml:space="preserve">27.09.21</t>
  </si>
  <si>
    <t xml:space="preserve">04.10.21</t>
  </si>
  <si>
    <t xml:space="preserve">12.10.21</t>
  </si>
  <si>
    <t xml:space="preserve">18.10.21</t>
  </si>
  <si>
    <t xml:space="preserve">25.10.21</t>
  </si>
  <si>
    <t xml:space="preserve">01.11.21</t>
  </si>
  <si>
    <t xml:space="preserve">08.11.21</t>
  </si>
  <si>
    <t xml:space="preserve">15.11.21</t>
  </si>
  <si>
    <t xml:space="preserve">22.11.21</t>
  </si>
  <si>
    <t xml:space="preserve">29.11.21</t>
  </si>
  <si>
    <t xml:space="preserve">06.12.21</t>
  </si>
  <si>
    <t xml:space="preserve">13.12.21</t>
  </si>
  <si>
    <t xml:space="preserve">20.12.21</t>
  </si>
  <si>
    <t xml:space="preserve">27.12.21</t>
  </si>
  <si>
    <t xml:space="preserve">03.01.22</t>
  </si>
  <si>
    <t xml:space="preserve">10.01.22</t>
  </si>
  <si>
    <t xml:space="preserve">17.01.22</t>
  </si>
  <si>
    <t xml:space="preserve">24.01.22</t>
  </si>
  <si>
    <t xml:space="preserve">31.1.22</t>
  </si>
  <si>
    <t xml:space="preserve">07.02.22</t>
  </si>
  <si>
    <t xml:space="preserve">14.02.22</t>
  </si>
  <si>
    <t xml:space="preserve">21.02.22</t>
  </si>
  <si>
    <t xml:space="preserve">28.02.22</t>
  </si>
  <si>
    <t xml:space="preserve">07.03.22</t>
  </si>
  <si>
    <t xml:space="preserve">14.03.22</t>
  </si>
  <si>
    <t xml:space="preserve">21.03.22</t>
  </si>
  <si>
    <t xml:space="preserve">28.03.22</t>
  </si>
  <si>
    <t xml:space="preserve">04.04.22</t>
  </si>
  <si>
    <t xml:space="preserve">11.04.22</t>
  </si>
  <si>
    <t xml:space="preserve">18.04.22</t>
  </si>
  <si>
    <t xml:space="preserve">25.04.22</t>
  </si>
  <si>
    <t xml:space="preserve">02.05.22</t>
  </si>
  <si>
    <t xml:space="preserve">09.05.22</t>
  </si>
  <si>
    <t xml:space="preserve">16.05,22</t>
  </si>
  <si>
    <t xml:space="preserve">23.05.22</t>
  </si>
  <si>
    <t xml:space="preserve">30.05.22</t>
  </si>
  <si>
    <t xml:space="preserve">06.06.22</t>
  </si>
  <si>
    <t xml:space="preserve">13.06.22</t>
  </si>
  <si>
    <t xml:space="preserve">20.06.22</t>
  </si>
  <si>
    <t xml:space="preserve">27.06.22</t>
  </si>
  <si>
    <t xml:space="preserve">04.07.22</t>
  </si>
  <si>
    <t xml:space="preserve">11.07.22</t>
  </si>
  <si>
    <t xml:space="preserve">18.07.22</t>
  </si>
  <si>
    <t xml:space="preserve">23.07.22</t>
  </si>
  <si>
    <t xml:space="preserve">01.08.22</t>
  </si>
  <si>
    <t xml:space="preserve">08.08.22</t>
  </si>
  <si>
    <t xml:space="preserve">15.08.22</t>
  </si>
  <si>
    <t xml:space="preserve">22.08.22</t>
  </si>
  <si>
    <t xml:space="preserve">29.08.22</t>
  </si>
  <si>
    <t xml:space="preserve">05.09.22</t>
  </si>
  <si>
    <t xml:space="preserve">12.09.22</t>
  </si>
  <si>
    <t xml:space="preserve">19.09.22</t>
  </si>
  <si>
    <t xml:space="preserve">26.09.22</t>
  </si>
  <si>
    <t xml:space="preserve">03.10.22</t>
  </si>
  <si>
    <t xml:space="preserve">10.10.22</t>
  </si>
  <si>
    <t xml:space="preserve">17.10.22</t>
  </si>
  <si>
    <t xml:space="preserve">24.10.22</t>
  </si>
  <si>
    <t xml:space="preserve">08.01.23</t>
  </si>
  <si>
    <t xml:space="preserve">vacaciones</t>
  </si>
  <si>
    <t xml:space="preserve">06.02.23</t>
  </si>
  <si>
    <t xml:space="preserve">15.05.23</t>
  </si>
  <si>
    <t xml:space="preserve">05.06.23</t>
  </si>
  <si>
    <t xml:space="preserve">NO SE TRABAJO NORMALMENTE EL SABADO POR OPERCION BUCAL</t>
  </si>
  <si>
    <t xml:space="preserve">16.06.25</t>
  </si>
  <si>
    <t xml:space="preserve">25.01.26</t>
  </si>
  <si>
    <t xml:space="preserve">SEMANAL</t>
  </si>
  <si>
    <t xml:space="preserve">SEM.CALEN</t>
  </si>
  <si>
    <t xml:space="preserve">DIAS CALEN</t>
  </si>
  <si>
    <t xml:space="preserve">DIAS$</t>
  </si>
  <si>
    <t xml:space="preserve">CTA. SEM$</t>
  </si>
  <si>
    <t xml:space="preserve">% Total</t>
  </si>
  <si>
    <t xml:space="preserve">14.2</t>
  </si>
  <si>
    <t xml:space="preserve">quincenal</t>
  </si>
  <si>
    <t xml:space="preserve">CUOTA</t>
  </si>
  <si>
    <t xml:space="preserve">DIA</t>
  </si>
  <si>
    <t xml:space="preserve">MENSUAL</t>
  </si>
  <si>
    <t xml:space="preserve">6Q</t>
  </si>
  <si>
    <t xml:space="preserve">4 MESES</t>
  </si>
  <si>
    <t xml:space="preserve">7Q</t>
  </si>
  <si>
    <t xml:space="preserve">6MESES</t>
  </si>
  <si>
    <t xml:space="preserve">11Q</t>
  </si>
  <si>
    <t xml:space="preserve">8 MESES</t>
  </si>
  <si>
    <t xml:space="preserve">16Q</t>
  </si>
  <si>
    <t xml:space="preserve">10 MESES</t>
  </si>
  <si>
    <t xml:space="preserve">20Q</t>
  </si>
  <si>
    <t xml:space="preserve">12 MESES</t>
  </si>
  <si>
    <t xml:space="preserve">24q</t>
  </si>
  <si>
    <t xml:space="preserve">alternativo</t>
  </si>
  <si>
    <t xml:space="preserve">3 MESES</t>
  </si>
  <si>
    <t xml:space="preserve">5MESES</t>
  </si>
  <si>
    <t xml:space="preserve">7 MESES</t>
  </si>
  <si>
    <t xml:space="preserve">Plan 160 *$135000</t>
  </si>
  <si>
    <t xml:space="preserve">"CREDITOS"</t>
  </si>
  <si>
    <t xml:space="preserve">*****</t>
  </si>
  <si>
    <t xml:space="preserve">Fecha Finaliz.:</t>
  </si>
  <si>
    <t xml:space="preserve">TC. EMP :</t>
  </si>
  <si>
    <t xml:space="preserve">SIMES EDUARDO A.</t>
  </si>
  <si>
    <t xml:space="preserve">Plan:75*  $1152</t>
  </si>
  <si>
    <t xml:space="preserve">"CREDITO</t>
  </si>
  <si>
    <t xml:space="preserve">EFECTIVO "</t>
  </si>
  <si>
    <t xml:space="preserve">Fecha Final.</t>
  </si>
  <si>
    <t xml:space="preserve">Plan:80*$810</t>
  </si>
  <si>
    <t xml:space="preserve">23,07,21</t>
  </si>
  <si>
    <t xml:space="preserve">TC. :</t>
  </si>
  <si>
    <t xml:space="preserve">Plan:90*$160</t>
  </si>
  <si>
    <t xml:space="preserve">TC.:</t>
  </si>
  <si>
    <t xml:space="preserve">CORRIENTES 4466- EMPALME-TC.3513718901- agustin garzon y callao</t>
  </si>
  <si>
    <t xml:space="preserve">26 MES$20000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</si>
</sst>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_-&quot;$ &quot;* #,##0.00_-;&quot;-$ &quot;* #,##0.00_-;_-&quot;$ &quot;* \-??_-;_-@_-"/>
    <numFmt numFmtId="166" formatCode="0"/>
    <numFmt numFmtId="167" formatCode="dd/mm/yyyy"/>
    <numFmt numFmtId="168" formatCode="0.00"/>
    <numFmt numFmtId="169" formatCode="0.0"/>
    <numFmt numFmtId="170" formatCode="&quot;$ &quot;#,##0"/>
    <numFmt numFmtId="171" formatCode="dd\-mmm"/>
    <numFmt numFmtId="172" formatCode="0\ %"/>
    <numFmt numFmtId="173" formatCode="0.00\ %"/>
    <numFmt numFmtId="174" formatCode="_-&quot;$ &quot;* #,##0_-;&quot;-$ &quot;* #,##0_-;_-&quot;$ &quot;* \-??_-;_-@_-"/>
    <numFmt numFmtId="175" formatCode="dd/mm/yyyy;@"/>
    <numFmt numFmtId="176" formatCode="&quot;$ &quot;#,##0;[RED]&quot;-$ &quot;#,##0"/>
    <numFmt numFmtId="177" formatCode="@"/>
    <numFmt numFmtId="178" formatCode="#,##0"/>
    <numFmt numFmtId="179" formatCode="_-* #,##0.00_-;\-* #,##0.00_-;_-* \-??_-;_-@_-"/>
    <numFmt numFmtId="180" formatCode="_-* #,##0_-;\-* #,##0_-;_-* \-??_-;_-@_-"/>
    <numFmt numFmtId="181" formatCode="#,##0.000"/>
    <numFmt numFmtId="182" formatCode="0.000"/>
    <numFmt numFmtId="183" formatCode="_-&quot;$ &quot;* #,##0.0_-;&quot;-$ &quot;* #,##0.0_-;_-&quot;$ &quot;* \-??_-;_-@_-"/>
    <numFmt numFmtId="184" formatCode="_-&quot;$ &quot;* #,##0.0_-;&quot;-$ &quot;* #,##0.0_-;_-&quot;$ &quot;* \-?_-;_-@_-"/>
  </numFmts>
  <fonts count="9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6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8"/>
      <name val="Calibri"/>
      <family val="2"/>
      <charset val="1"/>
    </font>
    <font>
      <sz val="8"/>
      <name val="Calibri"/>
      <family val="2"/>
      <charset val="1"/>
    </font>
    <font>
      <sz val="7"/>
      <name val="Calibri"/>
      <family val="2"/>
      <charset val="1"/>
    </font>
    <font>
      <sz val="9"/>
      <name val="Calibri"/>
      <family val="2"/>
      <charset val="1"/>
    </font>
    <font>
      <b val="true"/>
      <sz val="11"/>
      <color rgb="FF00B0F0"/>
      <name val="Calibri"/>
      <family val="2"/>
      <charset val="1"/>
    </font>
    <font>
      <sz val="6"/>
      <name val="Calibri"/>
      <family val="2"/>
      <charset val="1"/>
    </font>
    <font>
      <b val="true"/>
      <sz val="10"/>
      <color rgb="FF00B0F0"/>
      <name val="Calibri"/>
      <family val="2"/>
      <charset val="1"/>
    </font>
    <font>
      <b val="true"/>
      <sz val="8"/>
      <color rgb="FF00B0F0"/>
      <name val="Calibri"/>
      <family val="2"/>
      <charset val="1"/>
    </font>
    <font>
      <b val="true"/>
      <sz val="8"/>
      <color rgb="FF0070C0"/>
      <name val="Calibri"/>
      <family val="2"/>
      <charset val="1"/>
    </font>
    <font>
      <b val="true"/>
      <sz val="7"/>
      <name val="Calibri"/>
      <family val="2"/>
      <charset val="1"/>
    </font>
    <font>
      <b val="true"/>
      <sz val="6"/>
      <name val="Calibri"/>
      <family val="2"/>
      <charset val="1"/>
    </font>
    <font>
      <b val="true"/>
      <sz val="9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Tahoma"/>
      <family val="0"/>
      <charset val="1"/>
    </font>
    <font>
      <b val="true"/>
      <sz val="11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4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9"/>
      <color theme="1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7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b val="true"/>
      <sz val="8"/>
      <color theme="1"/>
      <name val="Times New Roman"/>
      <family val="1"/>
      <charset val="1"/>
    </font>
    <font>
      <sz val="14"/>
      <color theme="1"/>
      <name val="Times New Roman"/>
      <family val="1"/>
      <charset val="1"/>
    </font>
    <font>
      <sz val="5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6"/>
      <color theme="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11"/>
      <color theme="7" tint="0.7999"/>
      <name val="Times New Roman"/>
      <family val="1"/>
      <charset val="1"/>
    </font>
    <font>
      <b val="true"/>
      <sz val="6"/>
      <color theme="1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11"/>
      <color rgb="FFFF0000"/>
      <name val="Times New Roman"/>
      <family val="1"/>
      <charset val="1"/>
    </font>
    <font>
      <b val="true"/>
      <u val="single"/>
      <sz val="12"/>
      <color theme="9" tint="-0.25"/>
      <name val="Times New Roman"/>
      <family val="1"/>
      <charset val="1"/>
    </font>
    <font>
      <sz val="8"/>
      <color theme="1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20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b val="true"/>
      <sz val="16"/>
      <color rgb="FFFF0000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6"/>
      <color theme="1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b val="true"/>
      <sz val="9"/>
      <color rgb="FF92D050"/>
      <name val="Times New Roman"/>
      <family val="1"/>
      <charset val="1"/>
    </font>
    <font>
      <b val="true"/>
      <sz val="5"/>
      <color theme="1"/>
      <name val="Times New Roman"/>
      <family val="1"/>
      <charset val="1"/>
    </font>
    <font>
      <b val="true"/>
      <sz val="16"/>
      <color theme="1"/>
      <name val="Times New Roman"/>
      <family val="1"/>
      <charset val="1"/>
    </font>
    <font>
      <sz val="9"/>
      <color rgb="FFFF0000"/>
      <name val="Times New Roman"/>
      <family val="1"/>
      <charset val="1"/>
    </font>
    <font>
      <sz val="11"/>
      <name val="Times New Roman"/>
      <family val="1"/>
      <charset val="1"/>
    </font>
    <font>
      <sz val="11"/>
      <color theme="9" tint="-0.25"/>
      <name val="Times New Roman"/>
      <family val="1"/>
      <charset val="1"/>
    </font>
    <font>
      <sz val="8"/>
      <color theme="9" tint="-0.25"/>
      <name val="Times New Roman"/>
      <family val="1"/>
      <charset val="1"/>
    </font>
    <font>
      <sz val="22"/>
      <color theme="1"/>
      <name val="Times New Roman"/>
      <family val="1"/>
      <charset val="1"/>
    </font>
    <font>
      <b val="true"/>
      <sz val="18"/>
      <color theme="1"/>
      <name val="Times New Roman"/>
      <family val="1"/>
      <charset val="1"/>
    </font>
    <font>
      <sz val="11"/>
      <name val="Calibri"/>
      <family val="2"/>
      <charset val="1"/>
    </font>
    <font>
      <sz val="9"/>
      <color rgb="FF000000"/>
      <name val="Calibri"/>
      <family val="2"/>
      <charset val="1"/>
    </font>
    <font>
      <sz val="8"/>
      <color rgb="FF00B0F0"/>
      <name val="Calibri"/>
      <family val="2"/>
      <charset val="1"/>
    </font>
    <font>
      <b val="true"/>
      <sz val="8"/>
      <color theme="1"/>
      <name val="Calibri"/>
      <family val="2"/>
      <charset val="1"/>
    </font>
    <font>
      <i val="true"/>
      <sz val="8"/>
      <name val="Calibri"/>
      <family val="2"/>
      <charset val="1"/>
    </font>
    <font>
      <sz val="8"/>
      <color rgb="FF00FFFF"/>
      <name val="Calibri"/>
      <family val="2"/>
      <charset val="1"/>
    </font>
    <font>
      <sz val="9"/>
      <color rgb="FF00B0F0"/>
      <name val="Calibri"/>
      <family val="2"/>
      <charset val="1"/>
    </font>
    <font>
      <b val="true"/>
      <sz val="9"/>
      <color rgb="FF00B0F0"/>
      <name val="Calibri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0070C0"/>
      <name val="Calibri"/>
      <family val="2"/>
      <charset val="1"/>
    </font>
    <font>
      <sz val="5"/>
      <name val="Calibri"/>
      <family val="2"/>
      <charset val="1"/>
    </font>
    <font>
      <b val="true"/>
      <u val="single"/>
      <sz val="8"/>
      <color rgb="FF00B0F0"/>
      <name val="Calibri"/>
      <family val="2"/>
      <charset val="1"/>
    </font>
    <font>
      <sz val="8"/>
      <color rgb="FFFF0000"/>
      <name val="Calibri"/>
      <family val="2"/>
      <charset val="1"/>
    </font>
    <font>
      <sz val="7"/>
      <color rgb="FFFF0000"/>
      <name val="Calibri"/>
      <family val="2"/>
      <charset val="1"/>
    </font>
    <font>
      <sz val="6"/>
      <color rgb="FFFF0000"/>
      <name val="Calibri"/>
      <family val="2"/>
      <charset val="1"/>
    </font>
    <font>
      <sz val="9"/>
      <color rgb="FFFF0000"/>
      <name val="Calibri"/>
      <family val="2"/>
      <charset val="1"/>
    </font>
    <font>
      <b val="true"/>
      <sz val="8"/>
      <color rgb="FFFF000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FF0000"/>
      <name val="Calibri"/>
      <family val="2"/>
      <charset val="1"/>
    </font>
    <font>
      <sz val="9"/>
      <color theme="1"/>
      <name val="Times New Roman"/>
      <family val="1"/>
      <charset val="1"/>
    </font>
    <font>
      <b val="true"/>
      <sz val="10"/>
      <name val="Times New Roman"/>
      <family val="1"/>
      <charset val="1"/>
    </font>
    <font>
      <sz val="5"/>
      <color rgb="FFFF0000"/>
      <name val="Times New Roman"/>
      <family val="1"/>
      <charset val="1"/>
    </font>
    <font>
      <sz val="5"/>
      <color theme="7" tint="0.7999"/>
      <name val="Times New Roman"/>
      <family val="1"/>
      <charset val="1"/>
    </font>
    <font>
      <b val="true"/>
      <sz val="8"/>
      <name val="Times New Roman"/>
      <family val="1"/>
      <charset val="1"/>
    </font>
    <font>
      <sz val="5"/>
      <color theme="1"/>
      <name val="Calibri"/>
      <family val="2"/>
      <charset val="1"/>
    </font>
    <font>
      <sz val="11"/>
      <color theme="7" tint="0.7999"/>
      <name val="Calibri"/>
      <family val="2"/>
      <charset val="1"/>
    </font>
    <font>
      <b val="true"/>
      <sz val="9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7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theme="0" tint="-0.05"/>
        <bgColor rgb="FFE7E6E6"/>
      </patternFill>
    </fill>
    <fill>
      <patternFill patternType="solid">
        <fgColor theme="9" tint="0.3999"/>
        <bgColor rgb="FFC5E0B4"/>
      </patternFill>
    </fill>
    <fill>
      <patternFill patternType="solid">
        <fgColor theme="7" tint="0.3999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rgb="FF00B0F0"/>
        <bgColor rgb="FF33CCCC"/>
      </patternFill>
    </fill>
    <fill>
      <patternFill patternType="solid">
        <fgColor theme="7" tint="0.7999"/>
        <bgColor rgb="FFF2F2F2"/>
      </patternFill>
    </fill>
    <fill>
      <patternFill patternType="solid">
        <fgColor theme="7"/>
        <bgColor rgb="FFFFD966"/>
      </patternFill>
    </fill>
    <fill>
      <patternFill patternType="solid">
        <fgColor theme="0"/>
        <bgColor rgb="FFF2F2F2"/>
      </patternFill>
    </fill>
    <fill>
      <patternFill patternType="solid">
        <fgColor theme="9" tint="0.5999"/>
        <bgColor rgb="FFC6EFCE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rgb="FFFFD966"/>
      </patternFill>
    </fill>
    <fill>
      <patternFill patternType="solid">
        <fgColor theme="1"/>
        <bgColor rgb="FF003300"/>
      </patternFill>
    </fill>
    <fill>
      <patternFill patternType="solid">
        <fgColor theme="0" tint="-0.15"/>
        <bgColor rgb="FFE7E6E6"/>
      </patternFill>
    </fill>
    <fill>
      <patternFill patternType="solid">
        <fgColor theme="0" tint="-0.25"/>
        <bgColor rgb="FFB4C7E7"/>
      </patternFill>
    </fill>
    <fill>
      <patternFill patternType="solid">
        <fgColor theme="5" tint="0.3999"/>
        <bgColor rgb="FFFFD966"/>
      </patternFill>
    </fill>
    <fill>
      <patternFill patternType="solid">
        <fgColor theme="2"/>
        <bgColor rgb="FFE2F0D9"/>
      </patternFill>
    </fill>
    <fill>
      <patternFill patternType="solid">
        <fgColor rgb="FFBDD7EE"/>
        <bgColor rgb="FFB4C7E7"/>
      </patternFill>
    </fill>
    <fill>
      <patternFill patternType="solid">
        <fgColor rgb="FFD7E7FB"/>
        <bgColor rgb="FFE7E6E6"/>
      </patternFill>
    </fill>
    <fill>
      <patternFill patternType="solid">
        <fgColor theme="4" tint="0.5999"/>
        <bgColor rgb="FFBDD7EE"/>
      </patternFill>
    </fill>
    <fill>
      <patternFill patternType="solid">
        <fgColor rgb="FF0070C0"/>
        <bgColor rgb="FF008080"/>
      </patternFill>
    </fill>
    <fill>
      <patternFill patternType="solid">
        <fgColor rgb="FFFF33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theme="9"/>
        <bgColor rgb="FF92D050"/>
      </patternFill>
    </fill>
    <fill>
      <patternFill patternType="solid">
        <fgColor theme="9" tint="0.7999"/>
        <bgColor rgb="FFE7E6E6"/>
      </patternFill>
    </fill>
    <fill>
      <patternFill patternType="solid">
        <fgColor theme="4"/>
        <bgColor rgb="FF666699"/>
      </patternFill>
    </fill>
  </fills>
  <borders count="5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 style="thin"/>
      <top style="medium"/>
      <bottom style="thin"/>
      <diagonal/>
    </border>
    <border diagonalUp="true" diagonalDown="false">
      <left style="medium"/>
      <right style="medium"/>
      <top style="medium"/>
      <bottom style="medium"/>
      <diagonal style="medium"/>
    </border>
    <border diagonalUp="false" diagonalDown="false">
      <left style="medium"/>
      <right style="medium"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/>
      <top style="medium"/>
      <bottom/>
      <diagonal/>
    </border>
    <border diagonalUp="true" diagonalDown="false">
      <left style="medium"/>
      <right style="thin"/>
      <top style="thin"/>
      <bottom style="thin"/>
      <diagonal style="medium"/>
    </border>
    <border diagonalUp="true" diagonalDown="false">
      <left style="thin"/>
      <right style="thin"/>
      <top style="thin"/>
      <bottom style="thin"/>
      <diagonal style="medium"/>
    </border>
    <border diagonalUp="true" diagonalDown="false">
      <left style="thin"/>
      <right style="medium"/>
      <top style="thin"/>
      <bottom style="thin"/>
      <diagonal style="medium"/>
    </border>
    <border diagonalUp="false" diagonalDown="true">
      <left style="medium"/>
      <right style="thin"/>
      <top style="thin"/>
      <bottom style="thin"/>
      <diagonal style="medium"/>
    </border>
    <border diagonalUp="false" diagonalDown="true">
      <left style="thin"/>
      <right style="thin"/>
      <top style="thin"/>
      <bottom style="thin"/>
      <diagonal style="medium"/>
    </border>
    <border diagonalUp="false" diagonalDown="true">
      <left style="thin"/>
      <right style="medium"/>
      <top style="thin"/>
      <bottom style="thin"/>
      <diagonal style="medium"/>
    </border>
    <border diagonalUp="false" diagonalDown="true">
      <left style="medium"/>
      <right style="thin"/>
      <top style="thin"/>
      <bottom style="medium"/>
      <diagonal style="medium"/>
    </border>
    <border diagonalUp="false" diagonalDown="true">
      <left style="thin"/>
      <right style="thin"/>
      <top style="thin"/>
      <bottom style="medium"/>
      <diagonal style="medium"/>
    </border>
    <border diagonalUp="false" diagonalDown="true">
      <left style="thin"/>
      <right style="medium"/>
      <top style="thin"/>
      <bottom style="medium"/>
      <diagonal style="medium"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4" borderId="3" xfId="17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8" fillId="5" borderId="3" xfId="17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8" fillId="6" borderId="3" xfId="17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8" fillId="7" borderId="3" xfId="17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8" fillId="5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9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9" fillId="9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9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1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9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5" fillId="9" borderId="3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9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2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9" fillId="9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5" fillId="9" borderId="2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9" fontId="9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9" fillId="9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5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5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2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1" fillId="1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9" fillId="9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4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9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5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6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5" fillId="9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5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5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6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3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11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9" fillId="9" borderId="3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9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13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13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13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13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13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13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8" fillId="13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13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8" fillId="14" borderId="2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2" borderId="7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12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2" borderId="8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12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12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12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2" borderId="9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20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20" fillId="4" borderId="2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1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20" fillId="8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20" fillId="8" borderId="10" xfId="1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20" fillId="1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20" fillId="9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21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2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9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9" fillId="9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5" fillId="9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9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5" fillId="9" borderId="0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9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9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9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6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9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6" fillId="15" borderId="1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9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3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4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16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3" fillId="9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9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9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7" fillId="9" borderId="2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8" fillId="9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9" borderId="2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0" fillId="9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9" borderId="2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37" fillId="9" borderId="2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1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9" borderId="2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0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9" borderId="2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8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6" fillId="9" borderId="2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2" fillId="9" borderId="2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37" fillId="9" borderId="3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8" fillId="9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9" borderId="3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1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1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5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18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1" fillId="4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9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9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9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7" fillId="9" borderId="3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8" fillId="9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9" borderId="3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0" fillId="9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9" borderId="2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38" fillId="9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7" fillId="9" borderId="2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" fillId="9" borderId="2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8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8" fillId="9" borderId="2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6" fontId="38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9" fillId="9" borderId="2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31" fillId="9" borderId="2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0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1" fillId="9" borderId="2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2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9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8" fillId="9" borderId="2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9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9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9" borderId="3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9" fillId="9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9" fillId="9" borderId="3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8" fillId="9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4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3" fillId="1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3" fillId="19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6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9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9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9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7" fillId="9" borderId="2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9" fillId="9" borderId="2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37" fillId="9" borderId="4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9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6" fillId="9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7" fillId="9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6" fillId="9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9" fillId="9" borderId="2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38" fillId="9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8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5" fillId="9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4" fontId="44" fillId="9" borderId="2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9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9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2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9" fillId="9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2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0" fillId="9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6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9" fillId="1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8" fontId="48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9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1" fillId="9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9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1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8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7" fontId="6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62" fillId="9" borderId="2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9" fillId="9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2" fillId="9" borderId="2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9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9" fillId="21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9" fillId="20" borderId="3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9" fillId="22" borderId="3" xfId="17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7" fillId="9" borderId="3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63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1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5" fillId="9" borderId="2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9" borderId="45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9" fillId="9" borderId="4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9" borderId="3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9" fontId="11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13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5" fillId="9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65" fillId="9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5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7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65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11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66" fillId="9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9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6" fillId="9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7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8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68" fillId="9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11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9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9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9" fillId="9" borderId="4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3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9" borderId="3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6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9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70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" fillId="9" borderId="45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11" fillId="9" borderId="4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1" fillId="9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1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1" fillId="9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1" fillId="9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71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1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1" fillId="9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72" fillId="9" borderId="3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1" fillId="11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1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1" fillId="9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73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9" fontId="9" fillId="9" borderId="2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9" fillId="2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74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5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3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6" fillId="9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7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6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6" fillId="9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6" fillId="9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78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9" fillId="1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0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6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6" fillId="9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76" fillId="9" borderId="3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80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6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80" fontId="9" fillId="9" borderId="2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3" fillId="9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8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1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3" fillId="9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8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9" borderId="4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25" fillId="6" borderId="4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7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3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83" fontId="0" fillId="0" borderId="27" xfId="17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83" fontId="0" fillId="0" borderId="27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5" fillId="0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83" fontId="0" fillId="0" borderId="0" xfId="17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83" fontId="0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5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83" fontId="0" fillId="12" borderId="0" xfId="17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83" fontId="0" fillId="12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5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8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2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2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3" fontId="0" fillId="0" borderId="9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12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3" fontId="25" fillId="12" borderId="48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1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7" xfId="0" applyFont="true" applyBorder="true" applyAlignment="true" applyProtection="false">
      <alignment horizontal="center" vertical="bottom" textRotation="45" wrapText="false" indent="0" shrinkToFit="false"/>
      <protection locked="true" hidden="false"/>
    </xf>
    <xf numFmtId="164" fontId="0" fillId="11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9" borderId="2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9" borderId="27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4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2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9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9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9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1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3" fillId="9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3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3" fillId="9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3" fillId="9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3" fillId="9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3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9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9" borderId="2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5" fillId="9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9" borderId="2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5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9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6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9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9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9" borderId="3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7" fillId="9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9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9" borderId="5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1" fillId="1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7" fillId="9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9" borderId="3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5" fillId="9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2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2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6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9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8" fillId="9" borderId="2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9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9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8" fillId="9" borderId="2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9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8" fillId="9" borderId="3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9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8" fillId="9" borderId="3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9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1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1" fillId="1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2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3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0" fillId="1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2" fillId="9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1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9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2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2" fillId="9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2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2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5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5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6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5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9" borderId="3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2" fillId="9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eda 2 2 2 2" xfId="20"/>
  </cellStyles>
  <dxfs count="286">
    <dxf>
      <fill>
        <patternFill patternType="solid">
          <fgColor rgb="FF0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FFFF"/>
          <bgColor rgb="FF000000"/>
        </patternFill>
      </fill>
    </dxf>
    <dxf>
      <fill>
        <patternFill patternType="solid">
          <fgColor rgb="FFB4C7E7"/>
          <bgColor rgb="FF000000"/>
        </patternFill>
      </fill>
    </dxf>
    <dxf>
      <fill>
        <patternFill patternType="solid">
          <fgColor rgb="FFFF3300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75A844"/>
          <bgColor rgb="FF000000"/>
        </patternFill>
      </fill>
    </dxf>
    <dxf>
      <fill>
        <patternFill patternType="solid">
          <fgColor rgb="FF76A544"/>
          <bgColor rgb="FF000000"/>
        </patternFill>
      </fill>
    </dxf>
    <dxf>
      <fill>
        <patternFill patternType="solid">
          <fgColor rgb="FF76A644"/>
          <bgColor rgb="FF000000"/>
        </patternFill>
      </fill>
    </dxf>
    <dxf>
      <fill>
        <patternFill patternType="solid">
          <fgColor rgb="FF77A443"/>
          <bgColor rgb="FF000000"/>
        </patternFill>
      </fill>
    </dxf>
    <dxf>
      <fill>
        <patternFill patternType="solid">
          <fgColor rgb="FF78A343"/>
          <bgColor rgb="FF000000"/>
        </patternFill>
      </fill>
    </dxf>
    <dxf>
      <fill>
        <patternFill patternType="solid">
          <fgColor rgb="FF7AA142"/>
          <bgColor rgb="FF000000"/>
        </patternFill>
      </fill>
    </dxf>
    <dxf>
      <fill>
        <patternFill patternType="solid">
          <fgColor rgb="FF7B9F41"/>
          <bgColor rgb="FF000000"/>
        </patternFill>
      </fill>
    </dxf>
    <dxf>
      <fill>
        <patternFill patternType="solid">
          <fgColor rgb="FF7D9D40"/>
          <bgColor rgb="FF000000"/>
        </patternFill>
      </fill>
    </dxf>
    <dxf>
      <fill>
        <patternFill patternType="solid">
          <fgColor rgb="FF7E9C40"/>
          <bgColor rgb="FF000000"/>
        </patternFill>
      </fill>
    </dxf>
    <dxf>
      <fill>
        <patternFill patternType="solid">
          <fgColor rgb="FF809A3F"/>
          <bgColor rgb="FF000000"/>
        </patternFill>
      </fill>
    </dxf>
    <dxf>
      <fill>
        <patternFill patternType="solid">
          <fgColor rgb="FF83963D"/>
          <bgColor rgb="FF000000"/>
        </patternFill>
      </fill>
    </dxf>
    <dxf>
      <fill>
        <patternFill patternType="solid">
          <fgColor rgb="FF84953D"/>
          <bgColor rgb="FF000000"/>
        </patternFill>
      </fill>
    </dxf>
    <dxf>
      <fill>
        <patternFill patternType="solid">
          <fgColor rgb="FF85943C"/>
          <bgColor rgb="FF000000"/>
        </patternFill>
      </fill>
    </dxf>
    <dxf>
      <fill>
        <patternFill patternType="solid">
          <fgColor rgb="FF86933C"/>
          <bgColor rgb="FF000000"/>
        </patternFill>
      </fill>
    </dxf>
    <dxf>
      <fill>
        <patternFill patternType="solid">
          <fgColor rgb="FF87913B"/>
          <bgColor rgb="FF000000"/>
        </patternFill>
      </fill>
    </dxf>
    <dxf>
      <fill>
        <patternFill patternType="solid">
          <fgColor rgb="FF88903B"/>
          <bgColor rgb="FF000000"/>
        </patternFill>
      </fill>
    </dxf>
    <dxf>
      <fill>
        <patternFill patternType="solid">
          <fgColor rgb="FF898E3A"/>
          <bgColor rgb="FF000000"/>
        </patternFill>
      </fill>
    </dxf>
    <dxf>
      <fill>
        <patternFill patternType="solid">
          <fgColor rgb="FF898F3A"/>
          <bgColor rgb="FF000000"/>
        </patternFill>
      </fill>
    </dxf>
    <dxf>
      <fill>
        <patternFill patternType="solid">
          <fgColor rgb="FF8A8E3A"/>
          <bgColor rgb="FF000000"/>
        </patternFill>
      </fill>
    </dxf>
    <dxf>
      <fill>
        <patternFill patternType="solid">
          <fgColor rgb="FF8B8C39"/>
          <bgColor rgb="FF000000"/>
        </patternFill>
      </fill>
    </dxf>
    <dxf>
      <fill>
        <patternFill patternType="solid">
          <fgColor rgb="FF8B8D3A"/>
          <bgColor rgb="FF000000"/>
        </patternFill>
      </fill>
    </dxf>
    <dxf>
      <fill>
        <patternFill patternType="solid">
          <fgColor rgb="FF8C8B39"/>
          <bgColor rgb="FF000000"/>
        </patternFill>
      </fill>
    </dxf>
    <dxf>
      <fill>
        <patternFill patternType="solid">
          <fgColor rgb="FF8C8C39"/>
          <bgColor rgb="FF000000"/>
        </patternFill>
      </fill>
    </dxf>
    <dxf>
      <fill>
        <patternFill patternType="solid">
          <fgColor rgb="FF8D8938"/>
          <bgColor rgb="FF000000"/>
        </patternFill>
      </fill>
    </dxf>
    <dxf>
      <fill>
        <patternFill patternType="solid">
          <fgColor rgb="FF8D8A38"/>
          <bgColor rgb="FF000000"/>
        </patternFill>
      </fill>
    </dxf>
    <dxf>
      <fill>
        <patternFill patternType="solid">
          <fgColor rgb="FF8E8938"/>
          <bgColor rgb="FF000000"/>
        </patternFill>
      </fill>
    </dxf>
    <dxf>
      <fill>
        <patternFill patternType="solid">
          <fgColor rgb="FF8F8737"/>
          <bgColor rgb="FF000000"/>
        </patternFill>
      </fill>
    </dxf>
    <dxf>
      <fill>
        <patternFill patternType="solid">
          <fgColor rgb="FF8F8838"/>
          <bgColor rgb="FF000000"/>
        </patternFill>
      </fill>
    </dxf>
    <dxf>
      <fill>
        <patternFill patternType="solid">
          <fgColor rgb="FF908637"/>
          <bgColor rgb="FF000000"/>
        </patternFill>
      </fill>
    </dxf>
    <dxf>
      <fill>
        <patternFill patternType="solid">
          <fgColor rgb="FF918536"/>
          <bgColor rgb="FF000000"/>
        </patternFill>
      </fill>
    </dxf>
    <dxf>
      <fill>
        <patternFill patternType="solid">
          <fgColor rgb="FF928436"/>
          <bgColor rgb="FF000000"/>
        </patternFill>
      </fill>
    </dxf>
    <dxf>
      <fill>
        <patternFill patternType="solid">
          <fgColor rgb="FF938235"/>
          <bgColor rgb="FF000000"/>
        </patternFill>
      </fill>
    </dxf>
    <dxf>
      <fill>
        <patternFill patternType="solid">
          <fgColor rgb="FF938336"/>
          <bgColor rgb="FF000000"/>
        </patternFill>
      </fill>
    </dxf>
    <dxf>
      <fill>
        <patternFill patternType="solid">
          <fgColor rgb="FF948135"/>
          <bgColor rgb="FF000000"/>
        </patternFill>
      </fill>
    </dxf>
    <dxf>
      <fill>
        <patternFill patternType="solid">
          <fgColor rgb="FF958034"/>
          <bgColor rgb="FF000000"/>
        </patternFill>
      </fill>
    </dxf>
    <dxf>
      <fill>
        <patternFill patternType="solid">
          <fgColor rgb="FF967F34"/>
          <bgColor rgb="FF000000"/>
        </patternFill>
      </fill>
    </dxf>
    <dxf>
      <fill>
        <patternFill patternType="solid">
          <fgColor rgb="FF968034"/>
          <bgColor rgb="FF000000"/>
        </patternFill>
      </fill>
    </dxf>
    <dxf>
      <fill>
        <patternFill patternType="solid">
          <fgColor rgb="FF977E33"/>
          <bgColor rgb="FF000000"/>
        </patternFill>
      </fill>
    </dxf>
    <dxf>
      <fill>
        <patternFill patternType="solid">
          <fgColor rgb="FF977E34"/>
          <bgColor rgb="FF000000"/>
        </patternFill>
      </fill>
    </dxf>
    <dxf>
      <fill>
        <patternFill patternType="solid">
          <fgColor rgb="FF987C33"/>
          <bgColor rgb="FF000000"/>
        </patternFill>
      </fill>
    </dxf>
    <dxf>
      <fill>
        <patternFill patternType="solid">
          <fgColor rgb="FF987D33"/>
          <bgColor rgb="FF000000"/>
        </patternFill>
      </fill>
    </dxf>
    <dxf>
      <fill>
        <patternFill patternType="solid">
          <fgColor rgb="FF997B32"/>
          <bgColor rgb="FF000000"/>
        </patternFill>
      </fill>
    </dxf>
    <dxf>
      <fill>
        <patternFill patternType="solid">
          <fgColor rgb="FF9A7A32"/>
          <bgColor rgb="FF000000"/>
        </patternFill>
      </fill>
    </dxf>
    <dxf>
      <fill>
        <patternFill patternType="solid">
          <fgColor rgb="FF9A7B32"/>
          <bgColor rgb="FF000000"/>
        </patternFill>
      </fill>
    </dxf>
    <dxf>
      <fill>
        <patternFill patternType="solid">
          <fgColor rgb="FF9B7931"/>
          <bgColor rgb="FF000000"/>
        </patternFill>
      </fill>
    </dxf>
    <dxf>
      <fill>
        <patternFill patternType="solid">
          <fgColor rgb="FF9B7932"/>
          <bgColor rgb="FF000000"/>
        </patternFill>
      </fill>
    </dxf>
    <dxf>
      <fill>
        <patternFill patternType="solid">
          <fgColor rgb="FF9C7731"/>
          <bgColor rgb="FF000000"/>
        </patternFill>
      </fill>
    </dxf>
    <dxf>
      <fill>
        <patternFill patternType="solid">
          <fgColor rgb="FF9C7831"/>
          <bgColor rgb="FF000000"/>
        </patternFill>
      </fill>
    </dxf>
    <dxf>
      <fill>
        <patternFill patternType="solid">
          <fgColor rgb="FF9D7730"/>
          <bgColor rgb="FF000000"/>
        </patternFill>
      </fill>
    </dxf>
    <dxf>
      <fill>
        <patternFill patternType="solid">
          <fgColor rgb="FF9E7530"/>
          <bgColor rgb="FF000000"/>
        </patternFill>
      </fill>
    </dxf>
    <dxf>
      <fill>
        <patternFill patternType="solid">
          <fgColor rgb="FF9E7630"/>
          <bgColor rgb="FF000000"/>
        </patternFill>
      </fill>
    </dxf>
    <dxf>
      <fill>
        <patternFill patternType="solid">
          <fgColor rgb="FF9F742F"/>
          <bgColor rgb="FF000000"/>
        </patternFill>
      </fill>
    </dxf>
    <dxf>
      <fill>
        <patternFill patternType="solid">
          <fgColor rgb="FF9F7430"/>
          <bgColor rgb="FF000000"/>
        </patternFill>
      </fill>
    </dxf>
    <dxf>
      <fill>
        <patternFill patternType="solid">
          <fgColor rgb="FFA0732F"/>
          <bgColor rgb="FF000000"/>
        </patternFill>
      </fill>
    </dxf>
    <dxf>
      <fill>
        <patternFill patternType="solid">
          <fgColor rgb="FFA1722E"/>
          <bgColor rgb="FF000000"/>
        </patternFill>
      </fill>
    </dxf>
    <dxf>
      <fill>
        <patternFill patternType="solid">
          <fgColor rgb="FFA1722F"/>
          <bgColor rgb="FF000000"/>
        </patternFill>
      </fill>
    </dxf>
    <dxf>
      <fill>
        <patternFill patternType="solid">
          <fgColor rgb="FFA2702E"/>
          <bgColor rgb="FF000000"/>
        </patternFill>
      </fill>
    </dxf>
    <dxf>
      <fill>
        <patternFill patternType="solid">
          <fgColor rgb="FFA2712E"/>
          <bgColor rgb="FF000000"/>
        </patternFill>
      </fill>
    </dxf>
    <dxf>
      <fill>
        <patternFill patternType="solid">
          <fgColor rgb="FFA36F2D"/>
          <bgColor rgb="FF000000"/>
        </patternFill>
      </fill>
    </dxf>
    <dxf>
      <fill>
        <patternFill patternType="solid">
          <fgColor rgb="FFA3702D"/>
          <bgColor rgb="FF000000"/>
        </patternFill>
      </fill>
    </dxf>
    <dxf>
      <fill>
        <patternFill patternType="solid">
          <fgColor rgb="FFA46E2D"/>
          <bgColor rgb="FF000000"/>
        </patternFill>
      </fill>
    </dxf>
    <dxf>
      <fill>
        <patternFill patternType="solid">
          <fgColor rgb="FFA56D2C"/>
          <bgColor rgb="FF000000"/>
        </patternFill>
      </fill>
    </dxf>
    <dxf>
      <fill>
        <patternFill patternType="solid">
          <fgColor rgb="FFA56D2D"/>
          <bgColor rgb="FF000000"/>
        </patternFill>
      </fill>
    </dxf>
    <dxf>
      <fill>
        <patternFill patternType="solid">
          <fgColor rgb="FFA76A2B"/>
          <bgColor rgb="FF000000"/>
        </patternFill>
      </fill>
    </dxf>
    <dxf>
      <fill>
        <patternFill patternType="solid">
          <fgColor rgb="FFA76B2B"/>
          <bgColor rgb="FF000000"/>
        </patternFill>
      </fill>
    </dxf>
    <dxf>
      <fill>
        <patternFill patternType="solid">
          <fgColor rgb="FFA9682A"/>
          <bgColor rgb="FF000000"/>
        </patternFill>
      </fill>
    </dxf>
    <dxf>
      <fill>
        <patternFill patternType="solid">
          <fgColor rgb="FFA9692B"/>
          <bgColor rgb="FF000000"/>
        </patternFill>
      </fill>
    </dxf>
    <dxf>
      <fill>
        <patternFill patternType="solid">
          <fgColor rgb="FFAA662A"/>
          <bgColor rgb="FF000000"/>
        </patternFill>
      </fill>
    </dxf>
    <dxf>
      <fill>
        <patternFill patternType="solid">
          <fgColor rgb="FFAA672A"/>
          <bgColor rgb="FF000000"/>
        </patternFill>
      </fill>
    </dxf>
    <dxf>
      <fill>
        <patternFill patternType="solid">
          <fgColor rgb="FFAD6328"/>
          <bgColor rgb="FF000000"/>
        </patternFill>
      </fill>
    </dxf>
    <dxf>
      <fill>
        <patternFill patternType="solid">
          <fgColor rgb="FFAE6228"/>
          <bgColor rgb="FF000000"/>
        </patternFill>
      </fill>
    </dxf>
    <dxf>
      <fill>
        <patternFill patternType="solid">
          <fgColor rgb="FFB05F27"/>
          <bgColor rgb="FF000000"/>
        </patternFill>
      </fill>
    </dxf>
    <dxf>
      <fill>
        <patternFill patternType="solid">
          <fgColor rgb="FFB06027"/>
          <bgColor rgb="FF000000"/>
        </patternFill>
      </fill>
    </dxf>
    <dxf>
      <fill>
        <patternFill patternType="solid">
          <fgColor rgb="FFB15E26"/>
          <bgColor rgb="FF000000"/>
        </patternFill>
      </fill>
    </dxf>
    <dxf>
      <fill>
        <patternFill patternType="solid">
          <fgColor rgb="FFB15F27"/>
          <bgColor rgb="FF000000"/>
        </patternFill>
      </fill>
    </dxf>
    <dxf>
      <fill>
        <patternFill patternType="solid">
          <fgColor rgb="FFB25D26"/>
          <bgColor rgb="FF000000"/>
        </patternFill>
      </fill>
    </dxf>
    <dxf>
      <fill>
        <patternFill patternType="solid">
          <fgColor rgb="FFB35C25"/>
          <bgColor rgb="FF000000"/>
        </patternFill>
      </fill>
    </dxf>
    <dxf>
      <fill>
        <patternFill patternType="solid">
          <fgColor rgb="FFB45B25"/>
          <bgColor rgb="FF000000"/>
        </patternFill>
      </fill>
    </dxf>
    <dxf>
      <fill>
        <patternFill patternType="solid">
          <fgColor rgb="FFB55924"/>
          <bgColor rgb="FF000000"/>
        </patternFill>
      </fill>
    </dxf>
    <dxf>
      <fill>
        <patternFill patternType="solid">
          <fgColor rgb="FFB55A25"/>
          <bgColor rgb="FF000000"/>
        </patternFill>
      </fill>
    </dxf>
    <dxf>
      <fill>
        <patternFill patternType="solid">
          <fgColor rgb="FFB65824"/>
          <bgColor rgb="FF000000"/>
        </patternFill>
      </fill>
    </dxf>
    <dxf>
      <fill>
        <patternFill patternType="solid">
          <fgColor rgb="FFB75723"/>
          <bgColor rgb="FF000000"/>
        </patternFill>
      </fill>
    </dxf>
    <dxf>
      <fill>
        <patternFill patternType="solid">
          <fgColor rgb="FFB75824"/>
          <bgColor rgb="FF000000"/>
        </patternFill>
      </fill>
    </dxf>
    <dxf>
      <fill>
        <patternFill patternType="solid">
          <fgColor rgb="FFB85623"/>
          <bgColor rgb="FF000000"/>
        </patternFill>
      </fill>
    </dxf>
    <dxf>
      <fill>
        <patternFill patternType="solid">
          <fgColor rgb="FFB95422"/>
          <bgColor rgb="FF000000"/>
        </patternFill>
      </fill>
    </dxf>
    <dxf>
      <fill>
        <patternFill patternType="solid">
          <fgColor rgb="FFB95523"/>
          <bgColor rgb="FF000000"/>
        </patternFill>
      </fill>
    </dxf>
    <dxf>
      <fill>
        <patternFill patternType="solid">
          <fgColor rgb="FFBA5422"/>
          <bgColor rgb="FF000000"/>
        </patternFill>
      </fill>
    </dxf>
    <dxf>
      <fill>
        <patternFill patternType="solid">
          <fgColor rgb="FFBB5221"/>
          <bgColor rgb="FF000000"/>
        </patternFill>
      </fill>
    </dxf>
    <dxf>
      <fill>
        <patternFill patternType="solid">
          <fgColor rgb="FFBB5322"/>
          <bgColor rgb="FF000000"/>
        </patternFill>
      </fill>
    </dxf>
    <dxf>
      <fill>
        <patternFill patternType="solid">
          <fgColor rgb="FFBC5121"/>
          <bgColor rgb="FF000000"/>
        </patternFill>
      </fill>
    </dxf>
    <dxf>
      <fill>
        <patternFill patternType="solid">
          <fgColor rgb="FFBD4F20"/>
          <bgColor rgb="FF000000"/>
        </patternFill>
      </fill>
    </dxf>
    <dxf>
      <fill>
        <patternFill patternType="solid">
          <fgColor rgb="FFBD5021"/>
          <bgColor rgb="FF000000"/>
        </patternFill>
      </fill>
    </dxf>
    <dxf>
      <fill>
        <patternFill patternType="solid">
          <fgColor rgb="FFBE4F20"/>
          <bgColor rgb="FF000000"/>
        </patternFill>
      </fill>
    </dxf>
    <dxf>
      <fill>
        <patternFill patternType="solid">
          <fgColor rgb="FFBF4D1F"/>
          <bgColor rgb="FF000000"/>
        </patternFill>
      </fill>
    </dxf>
    <dxf>
      <fill>
        <patternFill patternType="solid">
          <fgColor rgb="FFBF4E20"/>
          <bgColor rgb="FF000000"/>
        </patternFill>
      </fill>
    </dxf>
    <dxf>
      <fill>
        <patternFill patternType="solid">
          <fgColor rgb="FFC04C1F"/>
          <bgColor rgb="FF000000"/>
        </patternFill>
      </fill>
    </dxf>
    <dxf>
      <fill>
        <patternFill patternType="solid">
          <fgColor rgb="FFC04D1F"/>
          <bgColor rgb="FF000000"/>
        </patternFill>
      </fill>
    </dxf>
    <dxf>
      <fill>
        <patternFill patternType="solid">
          <fgColor rgb="FFC14B1F"/>
          <bgColor rgb="FF000000"/>
        </patternFill>
      </fill>
    </dxf>
    <dxf>
      <fill>
        <patternFill patternType="solid">
          <fgColor rgb="FFC24A1E"/>
          <bgColor rgb="FF000000"/>
        </patternFill>
      </fill>
    </dxf>
    <dxf>
      <fill>
        <patternFill patternType="solid">
          <fgColor rgb="FFC3481D"/>
          <bgColor rgb="FF000000"/>
        </patternFill>
      </fill>
    </dxf>
    <dxf>
      <fill>
        <patternFill patternType="solid">
          <fgColor rgb="FFC4471D"/>
          <bgColor rgb="FF000000"/>
        </patternFill>
      </fill>
    </dxf>
    <dxf>
      <fill>
        <patternFill patternType="solid">
          <fgColor rgb="FFFF7128"/>
          <bgColor rgb="FF000000"/>
        </patternFill>
      </fill>
    </dxf>
    <dxf>
      <fill>
        <patternFill patternType="solid">
          <fgColor rgb="FFFF7228"/>
          <bgColor rgb="FF000000"/>
        </patternFill>
      </fill>
    </dxf>
    <dxf>
      <fill>
        <patternFill patternType="solid">
          <fgColor rgb="FFFF7229"/>
          <bgColor rgb="FF000000"/>
        </patternFill>
      </fill>
    </dxf>
    <dxf>
      <fill>
        <patternFill patternType="solid">
          <fgColor rgb="FFFF7329"/>
          <bgColor rgb="FF000000"/>
        </patternFill>
      </fill>
    </dxf>
    <dxf>
      <fill>
        <patternFill patternType="solid">
          <fgColor rgb="FFFF732A"/>
          <bgColor rgb="FF000000"/>
        </patternFill>
      </fill>
    </dxf>
    <dxf>
      <fill>
        <patternFill patternType="solid">
          <fgColor rgb="FFFF742A"/>
          <bgColor rgb="FF000000"/>
        </patternFill>
      </fill>
    </dxf>
    <dxf>
      <fill>
        <patternFill patternType="solid">
          <fgColor rgb="FFFF742B"/>
          <bgColor rgb="FF000000"/>
        </patternFill>
      </fill>
    </dxf>
    <dxf>
      <fill>
        <patternFill patternType="solid">
          <fgColor rgb="FFFF752B"/>
          <bgColor rgb="FF000000"/>
        </patternFill>
      </fill>
    </dxf>
    <dxf>
      <fill>
        <patternFill patternType="solid">
          <fgColor rgb="FFFF752C"/>
          <bgColor rgb="FF000000"/>
        </patternFill>
      </fill>
    </dxf>
    <dxf>
      <fill>
        <patternFill patternType="solid">
          <fgColor rgb="FFFF762C"/>
          <bgColor rgb="FF000000"/>
        </patternFill>
      </fill>
    </dxf>
    <dxf>
      <fill>
        <patternFill patternType="solid">
          <fgColor rgb="FFFF762D"/>
          <bgColor rgb="FF000000"/>
        </patternFill>
      </fill>
    </dxf>
    <dxf>
      <fill>
        <patternFill patternType="solid">
          <fgColor rgb="FFFF772D"/>
          <bgColor rgb="FF000000"/>
        </patternFill>
      </fill>
    </dxf>
    <dxf>
      <fill>
        <patternFill patternType="solid">
          <fgColor rgb="FFFF772E"/>
          <bgColor rgb="FF000000"/>
        </patternFill>
      </fill>
    </dxf>
    <dxf>
      <fill>
        <patternFill patternType="solid">
          <fgColor rgb="FFFF782E"/>
          <bgColor rgb="FF000000"/>
        </patternFill>
      </fill>
    </dxf>
    <dxf>
      <fill>
        <patternFill patternType="solid">
          <fgColor rgb="FFFF782F"/>
          <bgColor rgb="FF000000"/>
        </patternFill>
      </fill>
    </dxf>
    <dxf>
      <fill>
        <patternFill patternType="solid">
          <fgColor rgb="FFFF792F"/>
          <bgColor rgb="FF000000"/>
        </patternFill>
      </fill>
    </dxf>
    <dxf>
      <fill>
        <patternFill patternType="solid">
          <fgColor rgb="FFFF7A30"/>
          <bgColor rgb="FF000000"/>
        </patternFill>
      </fill>
    </dxf>
    <dxf>
      <fill>
        <patternFill patternType="solid">
          <fgColor rgb="FFFF7B31"/>
          <bgColor rgb="FF000000"/>
        </patternFill>
      </fill>
    </dxf>
    <dxf>
      <fill>
        <patternFill patternType="solid">
          <fgColor rgb="FFFF7B32"/>
          <bgColor rgb="FF000000"/>
        </patternFill>
      </fill>
    </dxf>
    <dxf>
      <fill>
        <patternFill patternType="solid">
          <fgColor rgb="FFFF7C32"/>
          <bgColor rgb="FF000000"/>
        </patternFill>
      </fill>
    </dxf>
    <dxf>
      <fill>
        <patternFill patternType="solid">
          <fgColor rgb="FFFF7C33"/>
          <bgColor rgb="FF000000"/>
        </patternFill>
      </fill>
    </dxf>
    <dxf>
      <fill>
        <patternFill patternType="solid">
          <fgColor rgb="FFFF7D33"/>
          <bgColor rgb="FF000000"/>
        </patternFill>
      </fill>
    </dxf>
    <dxf>
      <fill>
        <patternFill patternType="solid">
          <fgColor rgb="FFFF7E34"/>
          <bgColor rgb="FF000000"/>
        </patternFill>
      </fill>
    </dxf>
    <dxf>
      <fill>
        <patternFill patternType="solid">
          <fgColor rgb="FFFF7F35"/>
          <bgColor rgb="FF000000"/>
        </patternFill>
      </fill>
    </dxf>
    <dxf>
      <fill>
        <patternFill patternType="solid">
          <fgColor rgb="FFFF8035"/>
          <bgColor rgb="FF000000"/>
        </patternFill>
      </fill>
    </dxf>
    <dxf>
      <fill>
        <patternFill patternType="solid">
          <fgColor rgb="FFFF8036"/>
          <bgColor rgb="FF000000"/>
        </patternFill>
      </fill>
    </dxf>
    <dxf>
      <fill>
        <patternFill patternType="solid">
          <fgColor rgb="FFFF8137"/>
          <bgColor rgb="FF000000"/>
        </patternFill>
      </fill>
    </dxf>
    <dxf>
      <fill>
        <patternFill patternType="solid">
          <fgColor rgb="FFFF8237"/>
          <bgColor rgb="FF000000"/>
        </patternFill>
      </fill>
    </dxf>
    <dxf>
      <fill>
        <patternFill patternType="solid">
          <fgColor rgb="FFFF8338"/>
          <bgColor rgb="FF000000"/>
        </patternFill>
      </fill>
    </dxf>
    <dxf>
      <fill>
        <patternFill patternType="solid">
          <fgColor rgb="FFFF8439"/>
          <bgColor rgb="FF000000"/>
        </patternFill>
      </fill>
    </dxf>
    <dxf>
      <fill>
        <patternFill patternType="solid">
          <fgColor rgb="FFFF843A"/>
          <bgColor rgb="FF000000"/>
        </patternFill>
      </fill>
    </dxf>
    <dxf>
      <fill>
        <patternFill patternType="solid">
          <fgColor rgb="FFFF853A"/>
          <bgColor rgb="FF000000"/>
        </patternFill>
      </fill>
    </dxf>
    <dxf>
      <fill>
        <patternFill patternType="solid">
          <fgColor rgb="FFFF863B"/>
          <bgColor rgb="FF000000"/>
        </patternFill>
      </fill>
    </dxf>
    <dxf>
      <fill>
        <patternFill patternType="solid">
          <fgColor rgb="FFFF863C"/>
          <bgColor rgb="FF000000"/>
        </patternFill>
      </fill>
    </dxf>
    <dxf>
      <fill>
        <patternFill patternType="solid">
          <fgColor rgb="FFFF873C"/>
          <bgColor rgb="FF000000"/>
        </patternFill>
      </fill>
    </dxf>
    <dxf>
      <fill>
        <patternFill patternType="solid">
          <fgColor rgb="FFFF883D"/>
          <bgColor rgb="FF000000"/>
        </patternFill>
      </fill>
    </dxf>
    <dxf>
      <fill>
        <patternFill patternType="solid">
          <fgColor rgb="FFFF8A3F"/>
          <bgColor rgb="FF000000"/>
        </patternFill>
      </fill>
    </dxf>
    <dxf>
      <fill>
        <patternFill patternType="solid">
          <fgColor rgb="FFFF8C41"/>
          <bgColor rgb="FF000000"/>
        </patternFill>
      </fill>
    </dxf>
    <dxf>
      <fill>
        <patternFill patternType="solid">
          <fgColor rgb="FFFF8D41"/>
          <bgColor rgb="FF000000"/>
        </patternFill>
      </fill>
    </dxf>
    <dxf>
      <fill>
        <patternFill patternType="solid">
          <fgColor rgb="FFFF8D42"/>
          <bgColor rgb="FF000000"/>
        </patternFill>
      </fill>
    </dxf>
    <dxf>
      <fill>
        <patternFill patternType="solid">
          <fgColor rgb="FFFF8E43"/>
          <bgColor rgb="FF000000"/>
        </patternFill>
      </fill>
    </dxf>
    <dxf>
      <fill>
        <patternFill patternType="solid">
          <fgColor rgb="FFFF8F44"/>
          <bgColor rgb="FF000000"/>
        </patternFill>
      </fill>
    </dxf>
    <dxf>
      <fill>
        <patternFill patternType="solid">
          <fgColor rgb="FFFF9045"/>
          <bgColor rgb="FF000000"/>
        </patternFill>
      </fill>
    </dxf>
    <dxf>
      <fill>
        <patternFill patternType="solid">
          <fgColor rgb="FFFF9145"/>
          <bgColor rgb="FF000000"/>
        </patternFill>
      </fill>
    </dxf>
    <dxf>
      <fill>
        <patternFill patternType="solid">
          <fgColor rgb="FFFF9146"/>
          <bgColor rgb="FF000000"/>
        </patternFill>
      </fill>
    </dxf>
    <dxf>
      <fill>
        <patternFill patternType="solid">
          <fgColor rgb="FFFF9246"/>
          <bgColor rgb="FF000000"/>
        </patternFill>
      </fill>
    </dxf>
    <dxf>
      <fill>
        <patternFill patternType="solid">
          <fgColor rgb="FFFF9247"/>
          <bgColor rgb="FF000000"/>
        </patternFill>
      </fill>
    </dxf>
    <dxf>
      <fill>
        <patternFill patternType="solid">
          <fgColor rgb="FFFF9347"/>
          <bgColor rgb="FF000000"/>
        </patternFill>
      </fill>
    </dxf>
    <dxf>
      <fill>
        <patternFill patternType="solid">
          <fgColor rgb="FFFF9448"/>
          <bgColor rgb="FF000000"/>
        </patternFill>
      </fill>
    </dxf>
    <dxf>
      <fill>
        <patternFill patternType="solid">
          <fgColor rgb="FFFF9449"/>
          <bgColor rgb="FF000000"/>
        </patternFill>
      </fill>
    </dxf>
    <dxf>
      <fill>
        <patternFill patternType="solid">
          <fgColor rgb="FFFF9549"/>
          <bgColor rgb="FF000000"/>
        </patternFill>
      </fill>
    </dxf>
    <dxf>
      <fill>
        <patternFill patternType="solid">
          <fgColor rgb="FFFF964A"/>
          <bgColor rgb="FF000000"/>
        </patternFill>
      </fill>
    </dxf>
    <dxf>
      <fill>
        <patternFill patternType="solid">
          <fgColor rgb="FFFF974B"/>
          <bgColor rgb="FF000000"/>
        </patternFill>
      </fill>
    </dxf>
    <dxf>
      <fill>
        <patternFill patternType="solid">
          <fgColor rgb="FFFF984C"/>
          <bgColor rgb="FF000000"/>
        </patternFill>
      </fill>
    </dxf>
    <dxf>
      <fill>
        <patternFill patternType="solid">
          <fgColor rgb="FFFF994D"/>
          <bgColor rgb="FF000000"/>
        </patternFill>
      </fill>
    </dxf>
    <dxf>
      <fill>
        <patternFill patternType="solid">
          <fgColor rgb="FFFF9A4D"/>
          <bgColor rgb="FF000000"/>
        </patternFill>
      </fill>
    </dxf>
    <dxf>
      <fill>
        <patternFill patternType="solid">
          <fgColor rgb="FFFF9A4E"/>
          <bgColor rgb="FF000000"/>
        </patternFill>
      </fill>
    </dxf>
    <dxf>
      <fill>
        <patternFill patternType="solid">
          <fgColor rgb="FFFF9B4F"/>
          <bgColor rgb="FF000000"/>
        </patternFill>
      </fill>
    </dxf>
    <dxf>
      <fill>
        <patternFill patternType="solid">
          <fgColor rgb="FFFF9C4F"/>
          <bgColor rgb="FF000000"/>
        </patternFill>
      </fill>
    </dxf>
    <dxf>
      <fill>
        <patternFill patternType="solid">
          <fgColor rgb="FFFF9D51"/>
          <bgColor rgb="FF000000"/>
        </patternFill>
      </fill>
    </dxf>
    <dxf>
      <fill>
        <patternFill patternType="solid">
          <fgColor rgb="FFFF9E51"/>
          <bgColor rgb="FF000000"/>
        </patternFill>
      </fill>
    </dxf>
    <dxf>
      <fill>
        <patternFill patternType="solid">
          <fgColor rgb="FFFF9E52"/>
          <bgColor rgb="FF000000"/>
        </patternFill>
      </fill>
    </dxf>
    <dxf>
      <fill>
        <patternFill patternType="solid">
          <fgColor rgb="FFFF9F52"/>
          <bgColor rgb="FF000000"/>
        </patternFill>
      </fill>
    </dxf>
    <dxf>
      <fill>
        <patternFill patternType="solid">
          <fgColor rgb="FFFFA255"/>
          <bgColor rgb="FF000000"/>
        </patternFill>
      </fill>
    </dxf>
    <dxf>
      <fill>
        <patternFill patternType="solid">
          <fgColor rgb="FFFFA356"/>
          <bgColor rgb="FF000000"/>
        </patternFill>
      </fill>
    </dxf>
    <dxf>
      <fill>
        <patternFill patternType="solid">
          <fgColor rgb="FFFFA457"/>
          <bgColor rgb="FF000000"/>
        </patternFill>
      </fill>
    </dxf>
    <dxf>
      <fill>
        <patternFill patternType="solid">
          <fgColor rgb="FFFFA558"/>
          <bgColor rgb="FF000000"/>
        </patternFill>
      </fill>
    </dxf>
    <dxf>
      <fill>
        <patternFill patternType="solid">
          <fgColor rgb="FFFFA659"/>
          <bgColor rgb="FF000000"/>
        </patternFill>
      </fill>
    </dxf>
    <dxf>
      <fill>
        <patternFill patternType="solid">
          <fgColor rgb="FFFFA75A"/>
          <bgColor rgb="FF000000"/>
        </patternFill>
      </fill>
    </dxf>
    <dxf>
      <fill>
        <patternFill patternType="solid">
          <fgColor rgb="FFFFAB5D"/>
          <bgColor rgb="FF000000"/>
        </patternFill>
      </fill>
    </dxf>
    <dxf>
      <fill>
        <patternFill patternType="solid">
          <fgColor rgb="FFFFAC5F"/>
          <bgColor rgb="FF000000"/>
        </patternFill>
      </fill>
    </dxf>
    <dxf>
      <fill>
        <patternFill patternType="solid">
          <fgColor rgb="FFFFAE60"/>
          <bgColor rgb="FF000000"/>
        </patternFill>
      </fill>
    </dxf>
    <dxf>
      <fill>
        <patternFill patternType="solid">
          <fgColor rgb="FFFFAF61"/>
          <bgColor rgb="FF000000"/>
        </patternFill>
      </fill>
    </dxf>
    <dxf>
      <fill>
        <patternFill patternType="solid">
          <fgColor rgb="FFFFB062"/>
          <bgColor rgb="FF000000"/>
        </patternFill>
      </fill>
    </dxf>
    <dxf>
      <fill>
        <patternFill patternType="solid">
          <fgColor rgb="FFFFB163"/>
          <bgColor rgb="FF000000"/>
        </patternFill>
      </fill>
    </dxf>
    <dxf>
      <fill>
        <patternFill patternType="solid">
          <fgColor rgb="FFFFB365"/>
          <bgColor rgb="FF000000"/>
        </patternFill>
      </fill>
    </dxf>
    <dxf>
      <fill>
        <patternFill patternType="solid">
          <fgColor rgb="FFFFB466"/>
          <bgColor rgb="FF000000"/>
        </patternFill>
      </fill>
    </dxf>
    <dxf>
      <fill>
        <patternFill patternType="solid">
          <fgColor rgb="FFFFB567"/>
          <bgColor rgb="FF000000"/>
        </patternFill>
      </fill>
    </dxf>
    <dxf>
      <fill>
        <patternFill patternType="solid">
          <fgColor rgb="FFFFB668"/>
          <bgColor rgb="FF000000"/>
        </patternFill>
      </fill>
    </dxf>
    <dxf>
      <fill>
        <patternFill patternType="solid">
          <fgColor rgb="FFFFB769"/>
          <bgColor rgb="FF000000"/>
        </patternFill>
      </fill>
    </dxf>
    <dxf>
      <fill>
        <patternFill patternType="solid">
          <fgColor rgb="FFFFB96A"/>
          <bgColor rgb="FF000000"/>
        </patternFill>
      </fill>
    </dxf>
    <dxf>
      <fill>
        <patternFill patternType="solid">
          <fgColor rgb="FFFFBB6C"/>
          <bgColor rgb="FF000000"/>
        </patternFill>
      </fill>
    </dxf>
    <dxf>
      <fill>
        <patternFill patternType="solid">
          <fgColor rgb="FFFFBC6D"/>
          <bgColor rgb="FF000000"/>
        </patternFill>
      </fill>
    </dxf>
    <dxf>
      <fill>
        <patternFill patternType="solid">
          <fgColor rgb="FFFFBD6E"/>
          <bgColor rgb="FF000000"/>
        </patternFill>
      </fill>
    </dxf>
    <dxf>
      <fill>
        <patternFill patternType="solid">
          <fgColor rgb="FFFFBF70"/>
          <bgColor rgb="FF000000"/>
        </patternFill>
      </fill>
    </dxf>
    <dxf>
      <fill>
        <patternFill patternType="solid">
          <fgColor rgb="FFFFC172"/>
          <bgColor rgb="FF000000"/>
        </patternFill>
      </fill>
    </dxf>
    <dxf>
      <fill>
        <patternFill patternType="solid">
          <fgColor rgb="FFFFC273"/>
          <bgColor rgb="FF000000"/>
        </patternFill>
      </fill>
    </dxf>
    <dxf>
      <fill>
        <patternFill patternType="solid">
          <fgColor rgb="FFFFC676"/>
          <bgColor rgb="FF000000"/>
        </patternFill>
      </fill>
    </dxf>
    <dxf>
      <fill>
        <patternFill patternType="solid">
          <fgColor rgb="FFFFC878"/>
          <bgColor rgb="FF000000"/>
        </patternFill>
      </fill>
    </dxf>
    <dxf>
      <fill>
        <patternFill patternType="solid">
          <fgColor rgb="FFFFCC7B"/>
          <bgColor rgb="FF000000"/>
        </patternFill>
      </fill>
    </dxf>
    <dxf>
      <fill>
        <patternFill patternType="solid">
          <fgColor rgb="FFFFCE7E"/>
          <bgColor rgb="FF000000"/>
        </patternFill>
      </fill>
    </dxf>
    <dxf>
      <fill>
        <patternFill patternType="solid">
          <fgColor rgb="FFFFCF7F"/>
          <bgColor rgb="FF000000"/>
        </patternFill>
      </fill>
    </dxf>
    <dxf>
      <fill>
        <patternFill patternType="solid">
          <fgColor rgb="FFFFD07F"/>
          <bgColor rgb="FF000000"/>
        </patternFill>
      </fill>
    </dxf>
    <dxf>
      <fill>
        <patternFill patternType="solid">
          <fgColor rgb="FFFFD483"/>
          <bgColor rgb="FF000000"/>
        </patternFill>
      </fill>
    </dxf>
    <dxf>
      <fill>
        <patternFill patternType="solid">
          <fgColor rgb="FFFFE08E"/>
          <bgColor rgb="FF000000"/>
        </patternFill>
      </fill>
    </dxf>
    <dxf>
      <fill>
        <patternFill patternType="solid">
          <fgColor rgb="FFFFE290"/>
          <bgColor rgb="FF000000"/>
        </patternFill>
      </fill>
    </dxf>
    <dxf>
      <fill>
        <patternFill patternType="solid">
          <fgColor rgb="FFFFEB98"/>
          <bgColor rgb="FF000000"/>
        </patternFill>
      </fill>
    </dxf>
    <dxf>
      <fill>
        <patternFill patternType="solid">
          <fgColor rgb="FFCA401A"/>
          <bgColor rgb="FF000000"/>
        </patternFill>
      </fill>
    </dxf>
    <dxf>
      <fill>
        <patternFill patternType="solid">
          <fgColor rgb="FFCD3D19"/>
          <bgColor rgb="FF000000"/>
        </patternFill>
      </fill>
    </dxf>
    <dxf>
      <fill>
        <patternFill patternType="solid">
          <fgColor rgb="FFCE3C18"/>
          <bgColor rgb="FF000000"/>
        </patternFill>
      </fill>
    </dxf>
    <dxf>
      <fill>
        <patternFill patternType="solid">
          <fgColor rgb="FFCF3A17"/>
          <bgColor rgb="FF000000"/>
        </patternFill>
      </fill>
    </dxf>
    <dxf>
      <fill>
        <patternFill patternType="solid">
          <fgColor rgb="FFD23616"/>
          <bgColor rgb="FF000000"/>
        </patternFill>
      </fill>
    </dxf>
    <dxf>
      <fill>
        <patternFill patternType="solid">
          <fgColor rgb="FFD33515"/>
          <bgColor rgb="FF000000"/>
        </patternFill>
      </fill>
    </dxf>
    <dxf>
      <fill>
        <patternFill patternType="solid">
          <fgColor rgb="FFD43415"/>
          <bgColor rgb="FF000000"/>
        </patternFill>
      </fill>
    </dxf>
    <dxf>
      <fill>
        <patternFill patternType="solid">
          <fgColor rgb="FFD53314"/>
          <bgColor rgb="FF000000"/>
        </patternFill>
      </fill>
    </dxf>
    <dxf>
      <fill>
        <patternFill patternType="solid">
          <fgColor rgb="FFD53315"/>
          <bgColor rgb="FF000000"/>
        </patternFill>
      </fill>
    </dxf>
    <dxf>
      <fill>
        <patternFill patternType="solid">
          <fgColor rgb="FFD63114"/>
          <bgColor rgb="FF000000"/>
        </patternFill>
      </fill>
    </dxf>
    <dxf>
      <fill>
        <patternFill patternType="solid">
          <fgColor rgb="FFD63214"/>
          <bgColor rgb="FF000000"/>
        </patternFill>
      </fill>
    </dxf>
    <dxf>
      <fill>
        <patternFill patternType="solid">
          <fgColor rgb="FFD82F13"/>
          <bgColor rgb="FF000000"/>
        </patternFill>
      </fill>
    </dxf>
    <dxf>
      <fill>
        <patternFill patternType="solid">
          <fgColor rgb="FFD83013"/>
          <bgColor rgb="FF000000"/>
        </patternFill>
      </fill>
    </dxf>
    <dxf>
      <fill>
        <patternFill patternType="solid">
          <fgColor rgb="FFD92E12"/>
          <bgColor rgb="FF000000"/>
        </patternFill>
      </fill>
    </dxf>
    <dxf>
      <fill>
        <patternFill patternType="solid">
          <fgColor rgb="FFD92E13"/>
          <bgColor rgb="FF000000"/>
        </patternFill>
      </fill>
    </dxf>
    <dxf>
      <fill>
        <patternFill patternType="solid">
          <fgColor rgb="FFDA2C12"/>
          <bgColor rgb="FF000000"/>
        </patternFill>
      </fill>
    </dxf>
    <dxf>
      <fill>
        <patternFill patternType="solid">
          <fgColor rgb="FFDA2D12"/>
          <bgColor rgb="FF000000"/>
        </patternFill>
      </fill>
    </dxf>
    <dxf>
      <fill>
        <patternFill patternType="solid">
          <fgColor rgb="FFDB2C12"/>
          <bgColor rgb="FF000000"/>
        </patternFill>
      </fill>
    </dxf>
    <dxf>
      <fill>
        <patternFill patternType="solid">
          <fgColor rgb="FFDC2A11"/>
          <bgColor rgb="FF000000"/>
        </patternFill>
      </fill>
    </dxf>
    <dxf>
      <fill>
        <patternFill patternType="solid">
          <fgColor rgb="FFDC2B11"/>
          <bgColor rgb="FF000000"/>
        </patternFill>
      </fill>
    </dxf>
    <dxf>
      <fill>
        <patternFill patternType="solid">
          <fgColor rgb="FFDD2910"/>
          <bgColor rgb="FF000000"/>
        </patternFill>
      </fill>
    </dxf>
    <dxf>
      <fill>
        <patternFill patternType="solid">
          <fgColor rgb="FFDD2A11"/>
          <bgColor rgb="FF000000"/>
        </patternFill>
      </fill>
    </dxf>
    <dxf>
      <fill>
        <patternFill patternType="solid">
          <fgColor rgb="FFDE2710"/>
          <bgColor rgb="FF000000"/>
        </patternFill>
      </fill>
    </dxf>
    <dxf>
      <fill>
        <patternFill patternType="solid">
          <fgColor rgb="FFDE2810"/>
          <bgColor rgb="FF000000"/>
        </patternFill>
      </fill>
    </dxf>
    <dxf>
      <fill>
        <patternFill patternType="solid">
          <fgColor rgb="FFDF2710"/>
          <bgColor rgb="FF000000"/>
        </patternFill>
      </fill>
    </dxf>
    <dxf>
      <fill>
        <patternFill patternType="solid">
          <fgColor rgb="FFE0250F"/>
          <bgColor rgb="FF000000"/>
        </patternFill>
      </fill>
    </dxf>
    <dxf>
      <fill>
        <patternFill patternType="solid">
          <fgColor rgb="FFE0260F"/>
          <bgColor rgb="FF000000"/>
        </patternFill>
      </fill>
    </dxf>
    <dxf>
      <fill>
        <patternFill patternType="solid">
          <fgColor rgb="FFE1240E"/>
          <bgColor rgb="FF000000"/>
        </patternFill>
      </fill>
    </dxf>
    <dxf>
      <fill>
        <patternFill patternType="solid">
          <fgColor rgb="FFE1250F"/>
          <bgColor rgb="FF000000"/>
        </patternFill>
      </fill>
    </dxf>
    <dxf>
      <fill>
        <patternFill patternType="solid">
          <fgColor rgb="FFE2230E"/>
          <bgColor rgb="FF000000"/>
        </patternFill>
      </fill>
    </dxf>
    <dxf>
      <fill>
        <patternFill patternType="solid">
          <fgColor rgb="FFE3220E"/>
          <bgColor rgb="FF000000"/>
        </patternFill>
      </fill>
    </dxf>
    <dxf>
      <fill>
        <patternFill patternType="solid">
          <fgColor rgb="FFE3230E"/>
          <bgColor rgb="FF000000"/>
        </patternFill>
      </fill>
    </dxf>
    <dxf>
      <fill>
        <patternFill patternType="solid">
          <fgColor rgb="FFE4200D"/>
          <bgColor rgb="FF000000"/>
        </patternFill>
      </fill>
    </dxf>
    <dxf>
      <fill>
        <patternFill patternType="solid">
          <fgColor rgb="FFE4210D"/>
          <bgColor rgb="FF000000"/>
        </patternFill>
      </fill>
    </dxf>
    <dxf>
      <fill>
        <patternFill patternType="solid">
          <fgColor rgb="FFE51F0C"/>
          <bgColor rgb="FF000000"/>
        </patternFill>
      </fill>
    </dxf>
    <dxf>
      <fill>
        <patternFill patternType="solid">
          <fgColor rgb="FFE5200D"/>
          <bgColor rgb="FF000000"/>
        </patternFill>
      </fill>
    </dxf>
    <dxf>
      <fill>
        <patternFill patternType="solid">
          <fgColor rgb="FFE61E0C"/>
          <bgColor rgb="FF000000"/>
        </patternFill>
      </fill>
    </dxf>
    <dxf>
      <fill>
        <patternFill patternType="solid">
          <fgColor rgb="FFE71D0C"/>
          <bgColor rgb="FF000000"/>
        </patternFill>
      </fill>
    </dxf>
    <dxf>
      <fill>
        <patternFill patternType="solid">
          <fgColor rgb="FFE71E0C"/>
          <bgColor rgb="FF000000"/>
        </patternFill>
      </fill>
    </dxf>
    <dxf>
      <fill>
        <patternFill patternType="solid">
          <fgColor rgb="FFE81C0B"/>
          <bgColor rgb="FF000000"/>
        </patternFill>
      </fill>
    </dxf>
    <dxf>
      <fill>
        <patternFill patternType="solid">
          <fgColor rgb="FFE91A0A"/>
          <bgColor rgb="FF000000"/>
        </patternFill>
      </fill>
    </dxf>
    <dxf>
      <fill>
        <patternFill patternType="solid">
          <fgColor rgb="FFE91B0B"/>
          <bgColor rgb="FF000000"/>
        </patternFill>
      </fill>
    </dxf>
    <dxf>
      <fill>
        <patternFill patternType="solid">
          <fgColor rgb="FFEA190A"/>
          <bgColor rgb="FF000000"/>
        </patternFill>
      </fill>
    </dxf>
    <dxf>
      <fill>
        <patternFill patternType="solid">
          <fgColor rgb="FFEB180A"/>
          <bgColor rgb="FF000000"/>
        </patternFill>
      </fill>
    </dxf>
    <dxf>
      <fill>
        <patternFill patternType="solid">
          <fgColor rgb="FFEB190A"/>
          <bgColor rgb="FF000000"/>
        </patternFill>
      </fill>
    </dxf>
    <dxf>
      <fill>
        <patternFill patternType="solid">
          <fgColor rgb="FFEC1709"/>
          <bgColor rgb="FF000000"/>
        </patternFill>
      </fill>
    </dxf>
    <dxf>
      <fill>
        <patternFill patternType="solid">
          <fgColor rgb="FFED1609"/>
          <bgColor rgb="FF000000"/>
        </patternFill>
      </fill>
    </dxf>
    <dxf>
      <fill>
        <patternFill patternType="solid">
          <fgColor rgb="FFEE1508"/>
          <bgColor rgb="FF000000"/>
        </patternFill>
      </fill>
    </dxf>
    <dxf>
      <fill>
        <patternFill patternType="solid">
          <fgColor rgb="FFEF1308"/>
          <bgColor rgb="FF000000"/>
        </patternFill>
      </fill>
    </dxf>
    <dxf>
      <fill>
        <patternFill patternType="solid">
          <fgColor rgb="FFEF1408"/>
          <bgColor rgb="FF000000"/>
        </patternFill>
      </fill>
    </dxf>
    <dxf>
      <fill>
        <patternFill patternType="solid">
          <fgColor rgb="FFF01207"/>
          <bgColor rgb="FF000000"/>
        </patternFill>
      </fill>
    </dxf>
    <dxf>
      <fill>
        <patternFill patternType="solid">
          <fgColor rgb="FFF11107"/>
          <bgColor rgb="FF000000"/>
        </patternFill>
      </fill>
    </dxf>
    <dxf>
      <fill>
        <patternFill patternType="solid">
          <fgColor rgb="FFF21006"/>
          <bgColor rgb="FF000000"/>
        </patternFill>
      </fill>
    </dxf>
    <dxf>
      <fill>
        <patternFill patternType="solid">
          <fgColor rgb="FFF30E06"/>
          <bgColor rgb="FF000000"/>
        </patternFill>
      </fill>
    </dxf>
    <dxf>
      <fill>
        <patternFill patternType="solid">
          <fgColor rgb="FFF30F06"/>
          <bgColor rgb="FF000000"/>
        </patternFill>
      </fill>
    </dxf>
    <dxf>
      <fill>
        <patternFill patternType="solid">
          <fgColor rgb="FFF40E05"/>
          <bgColor rgb="FF000000"/>
        </patternFill>
      </fill>
    </dxf>
    <dxf>
      <fill>
        <patternFill patternType="solid">
          <fgColor rgb="FFF50C05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>
          <bgColor theme="5" tint="0.3999"/>
        </patternFill>
      </fill>
    </dxf>
    <dxf>
      <fill>
        <patternFill>
          <bgColor rgb="FF00B050"/>
        </patternFill>
      </fill>
    </dxf>
    <dxf>
      <font>
        <name val="Calibri"/>
        <charset val="1"/>
        <family val="2"/>
        <color rgb="FF000000"/>
        <sz val="11"/>
      </font>
      <alignment horizontal="general" vertical="bottom" textRotation="0" wrapText="false" indent="0" shrinkToFit="false"/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BFBFBF"/>
      <rgbColor rgb="FF808080"/>
      <rgbColor rgb="FFA9D18E"/>
      <rgbColor rgb="FF993366"/>
      <rgbColor rgb="FFFFF2CC"/>
      <rgbColor rgb="FFD7E7FB"/>
      <rgbColor rgb="FF660066"/>
      <rgbColor rgb="FFE7E6E6"/>
      <rgbColor rgb="FF0070C0"/>
      <rgbColor rgb="FFBDD7EE"/>
      <rgbColor rgb="FF000080"/>
      <rgbColor rgb="FFFF00FF"/>
      <rgbColor rgb="FFC5E0B4"/>
      <rgbColor rgb="FF00FFFF"/>
      <rgbColor rgb="FF800080"/>
      <rgbColor rgb="FF800000"/>
      <rgbColor rgb="FF008080"/>
      <rgbColor rgb="FF0000FF"/>
      <rgbColor rgb="FF00B0F0"/>
      <rgbColor rgb="FFE2F0D9"/>
      <rgbColor rgb="FFC6EFCE"/>
      <rgbColor rgb="FFFFE699"/>
      <rgbColor rgb="FFB4C7E7"/>
      <rgbColor rgb="FFF4B183"/>
      <rgbColor rgb="FFD9D9D9"/>
      <rgbColor rgb="FFFFD966"/>
      <rgbColor rgb="FF4472C4"/>
      <rgbColor rgb="FF33CCCC"/>
      <rgbColor rgb="FF92D050"/>
      <rgbColor rgb="FFFFC000"/>
      <rgbColor rgb="FFF2F2F2"/>
      <rgbColor rgb="FFFF3300"/>
      <rgbColor rgb="FF666699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externalLink" Target="externalLinks/externalLink1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ormularios%20cj/PLANILLA%20DE%20PAGOS%20(14)%20(33)%2007.11.22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g"/>
      <sheetName val="B.S"/>
      <sheetName val="creditos cancelados"/>
      <sheetName val="men"/>
      <sheetName val="quin"/>
      <sheetName val="25"/>
      <sheetName val="72"/>
      <sheetName val="75"/>
      <sheetName val="80"/>
      <sheetName val="90"/>
      <sheetName val="110"/>
      <sheetName val="120"/>
      <sheetName val="140"/>
      <sheetName val="160"/>
      <sheetName val="Hoja3"/>
      <sheetName val="Hoja13"/>
      <sheetName val="Hoja1"/>
      <sheetName val="Hoja2"/>
      <sheetName val="Hoja4"/>
      <sheetName val="Hoja5"/>
      <sheetName val="Hoja6"/>
      <sheetName val="Hoja7"/>
    </sheetNames>
    <sheetDataSet>
      <sheetData sheetId="0">
        <row r="219">
          <cell r="CG219">
            <v>1298310</v>
          </cell>
        </row>
        <row r="219">
          <cell r="CL219">
            <v>1253040</v>
          </cell>
        </row>
        <row r="225">
          <cell r="L225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HE29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2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40" activeCellId="0" sqref="A140"/>
    </sheetView>
  </sheetViews>
  <sheetFormatPr defaultColWidth="11.4453125" defaultRowHeight="28.5" customHeight="true" zeroHeight="false" outlineLevelRow="0" outlineLevelCol="0"/>
  <cols>
    <col collapsed="false" customWidth="true" hidden="false" outlineLevel="0" max="1" min="1" style="1" width="3.88"/>
    <col collapsed="false" customWidth="true" hidden="false" outlineLevel="0" max="2" min="2" style="2" width="16.56"/>
    <col collapsed="false" customWidth="true" hidden="false" outlineLevel="0" max="3" min="3" style="2" width="12.33"/>
    <col collapsed="false" customWidth="true" hidden="false" outlineLevel="0" max="4" min="4" style="1" width="1"/>
    <col collapsed="false" customWidth="true" hidden="false" outlineLevel="0" max="5" min="5" style="1" width="9"/>
    <col collapsed="false" customWidth="true" hidden="false" outlineLevel="0" max="6" min="6" style="1" width="9.56"/>
    <col collapsed="false" customWidth="true" hidden="false" outlineLevel="0" max="7" min="7" style="3" width="3.22"/>
    <col collapsed="false" customWidth="true" hidden="false" outlineLevel="0" max="8" min="8" style="4" width="6"/>
    <col collapsed="false" customWidth="true" hidden="false" outlineLevel="0" max="9" min="9" style="4" width="5.11"/>
    <col collapsed="false" customWidth="true" hidden="false" outlineLevel="0" max="10" min="10" style="5" width="8.88"/>
    <col collapsed="false" customWidth="true" hidden="false" outlineLevel="0" max="11" min="11" style="1" width="8.88"/>
    <col collapsed="false" customWidth="true" hidden="false" outlineLevel="0" max="12" min="12" style="1" width="10"/>
    <col collapsed="false" customWidth="true" hidden="false" outlineLevel="0" max="13" min="13" style="1" width="8.88"/>
    <col collapsed="false" customWidth="true" hidden="true" outlineLevel="0" max="44" min="14" style="1" width="10.56"/>
    <col collapsed="false" customWidth="true" hidden="true" outlineLevel="0" max="45" min="45" style="1" width="9.78"/>
    <col collapsed="false" customWidth="true" hidden="true" outlineLevel="0" max="139" min="46" style="1" width="10.56"/>
    <col collapsed="false" customWidth="true" hidden="true" outlineLevel="0" max="140" min="140" style="1" width="6.77"/>
    <col collapsed="false" customWidth="true" hidden="true" outlineLevel="0" max="150" min="141" style="1" width="10.56"/>
    <col collapsed="false" customWidth="true" hidden="true" outlineLevel="0" max="151" min="151" style="1" width="9.78"/>
    <col collapsed="false" customWidth="true" hidden="true" outlineLevel="0" max="167" min="152" style="1" width="10.56"/>
    <col collapsed="false" customWidth="true" hidden="true" outlineLevel="0" max="169" min="168" style="1" width="8.11"/>
    <col collapsed="false" customWidth="true" hidden="true" outlineLevel="0" max="199" min="170" style="1" width="10.56"/>
    <col collapsed="false" customWidth="true" hidden="true" outlineLevel="0" max="204" min="200" style="1" width="8.11"/>
    <col collapsed="false" customWidth="true" hidden="false" outlineLevel="0" max="205" min="205" style="1" width="8.11"/>
    <col collapsed="false" customWidth="true" hidden="false" outlineLevel="0" max="206" min="206" style="1" width="8.88"/>
    <col collapsed="false" customWidth="true" hidden="false" outlineLevel="0" max="207" min="207" style="1" width="9.67"/>
    <col collapsed="false" customWidth="true" hidden="false" outlineLevel="0" max="208" min="208" style="1" width="5.78"/>
    <col collapsed="false" customWidth="true" hidden="false" outlineLevel="0" max="209" min="209" style="1" width="6.11"/>
    <col collapsed="false" customWidth="true" hidden="false" outlineLevel="0" max="210" min="210" style="1" width="5"/>
    <col collapsed="false" customWidth="true" hidden="false" outlineLevel="0" max="211" min="211" style="1" width="5.56"/>
    <col collapsed="false" customWidth="true" hidden="false" outlineLevel="0" max="212" min="212" style="1" width="5.11"/>
    <col collapsed="false" customWidth="true" hidden="false" outlineLevel="0" max="213" min="213" style="1" width="6"/>
    <col collapsed="false" customWidth="false" hidden="false" outlineLevel="0" max="16384" min="214" style="1" width="11.44"/>
  </cols>
  <sheetData>
    <row r="1" s="19" customFormat="true" ht="28.5" hidden="false" customHeight="true" outlineLevel="0" collapsed="false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10" t="s">
        <v>8</v>
      </c>
      <c r="J1" s="7" t="s">
        <v>9</v>
      </c>
      <c r="K1" s="11" t="s">
        <v>10</v>
      </c>
      <c r="L1" s="12" t="s">
        <v>11</v>
      </c>
      <c r="M1" s="12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3" t="s">
        <v>92</v>
      </c>
      <c r="CP1" s="13" t="s">
        <v>93</v>
      </c>
      <c r="CQ1" s="13" t="s">
        <v>94</v>
      </c>
      <c r="CR1" s="13" t="s">
        <v>95</v>
      </c>
      <c r="CS1" s="13" t="s">
        <v>96</v>
      </c>
      <c r="CT1" s="13" t="s">
        <v>97</v>
      </c>
      <c r="CU1" s="13" t="s">
        <v>98</v>
      </c>
      <c r="CV1" s="13" t="s">
        <v>99</v>
      </c>
      <c r="CW1" s="13" t="s">
        <v>100</v>
      </c>
      <c r="CX1" s="13" t="s">
        <v>101</v>
      </c>
      <c r="CY1" s="13" t="s">
        <v>102</v>
      </c>
      <c r="CZ1" s="13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  <c r="DF1" s="13" t="s">
        <v>109</v>
      </c>
      <c r="DG1" s="13" t="s">
        <v>110</v>
      </c>
      <c r="DH1" s="13" t="s">
        <v>111</v>
      </c>
      <c r="DI1" s="13" t="s">
        <v>112</v>
      </c>
      <c r="DJ1" s="13" t="s">
        <v>113</v>
      </c>
      <c r="DK1" s="13" t="s">
        <v>114</v>
      </c>
      <c r="DL1" s="13" t="s">
        <v>115</v>
      </c>
      <c r="DM1" s="13" t="s">
        <v>116</v>
      </c>
      <c r="DN1" s="13" t="s">
        <v>117</v>
      </c>
      <c r="DO1" s="13" t="s">
        <v>118</v>
      </c>
      <c r="DP1" s="13" t="s">
        <v>119</v>
      </c>
      <c r="DQ1" s="13" t="s">
        <v>120</v>
      </c>
      <c r="DR1" s="13" t="s">
        <v>121</v>
      </c>
      <c r="DS1" s="13" t="s">
        <v>122</v>
      </c>
      <c r="DT1" s="13" t="s">
        <v>123</v>
      </c>
      <c r="DU1" s="13" t="s">
        <v>124</v>
      </c>
      <c r="DV1" s="13" t="s">
        <v>125</v>
      </c>
      <c r="DW1" s="13" t="s">
        <v>126</v>
      </c>
      <c r="DX1" s="13" t="s">
        <v>127</v>
      </c>
      <c r="DY1" s="13" t="s">
        <v>128</v>
      </c>
      <c r="DZ1" s="13" t="s">
        <v>129</v>
      </c>
      <c r="EA1" s="13" t="s">
        <v>130</v>
      </c>
      <c r="EB1" s="13" t="s">
        <v>131</v>
      </c>
      <c r="EC1" s="13" t="s">
        <v>132</v>
      </c>
      <c r="ED1" s="13" t="s">
        <v>133</v>
      </c>
      <c r="EE1" s="13" t="s">
        <v>134</v>
      </c>
      <c r="EF1" s="13" t="s">
        <v>135</v>
      </c>
      <c r="EG1" s="13" t="s">
        <v>136</v>
      </c>
      <c r="EH1" s="13" t="s">
        <v>137</v>
      </c>
      <c r="EI1" s="13" t="s">
        <v>138</v>
      </c>
      <c r="EJ1" s="13" t="s">
        <v>139</v>
      </c>
      <c r="EK1" s="13" t="s">
        <v>140</v>
      </c>
      <c r="EL1" s="13" t="s">
        <v>141</v>
      </c>
      <c r="EM1" s="13" t="s">
        <v>142</v>
      </c>
      <c r="EN1" s="13" t="s">
        <v>143</v>
      </c>
      <c r="EO1" s="13" t="s">
        <v>144</v>
      </c>
      <c r="EP1" s="13" t="s">
        <v>145</v>
      </c>
      <c r="EQ1" s="13" t="s">
        <v>146</v>
      </c>
      <c r="ER1" s="13" t="s">
        <v>147</v>
      </c>
      <c r="ES1" s="13" t="s">
        <v>148</v>
      </c>
      <c r="ET1" s="13" t="s">
        <v>149</v>
      </c>
      <c r="EU1" s="13" t="s">
        <v>150</v>
      </c>
      <c r="EV1" s="13" t="s">
        <v>151</v>
      </c>
      <c r="EW1" s="13" t="s">
        <v>152</v>
      </c>
      <c r="EX1" s="13" t="s">
        <v>153</v>
      </c>
      <c r="EY1" s="13" t="s">
        <v>154</v>
      </c>
      <c r="EZ1" s="13" t="s">
        <v>155</v>
      </c>
      <c r="FA1" s="13" t="s">
        <v>156</v>
      </c>
      <c r="FB1" s="13" t="s">
        <v>157</v>
      </c>
      <c r="FC1" s="13" t="s">
        <v>158</v>
      </c>
      <c r="FD1" s="13" t="s">
        <v>159</v>
      </c>
      <c r="FE1" s="13" t="s">
        <v>160</v>
      </c>
      <c r="FF1" s="13" t="s">
        <v>161</v>
      </c>
      <c r="FG1" s="13" t="s">
        <v>162</v>
      </c>
      <c r="FH1" s="13" t="s">
        <v>163</v>
      </c>
      <c r="FI1" s="13" t="s">
        <v>164</v>
      </c>
      <c r="FJ1" s="13" t="s">
        <v>165</v>
      </c>
      <c r="FK1" s="13" t="s">
        <v>166</v>
      </c>
      <c r="FL1" s="13" t="s">
        <v>167</v>
      </c>
      <c r="FM1" s="13" t="s">
        <v>168</v>
      </c>
      <c r="FN1" s="13" t="s">
        <v>169</v>
      </c>
      <c r="FO1" s="13" t="s">
        <v>170</v>
      </c>
      <c r="FP1" s="13" t="s">
        <v>171</v>
      </c>
      <c r="FQ1" s="13" t="s">
        <v>172</v>
      </c>
      <c r="FR1" s="14" t="s">
        <v>173</v>
      </c>
      <c r="FS1" s="13" t="s">
        <v>174</v>
      </c>
      <c r="FT1" s="13" t="s">
        <v>175</v>
      </c>
      <c r="FU1" s="13" t="s">
        <v>176</v>
      </c>
      <c r="FV1" s="13" t="s">
        <v>177</v>
      </c>
      <c r="FW1" s="13" t="s">
        <v>178</v>
      </c>
      <c r="FX1" s="13" t="s">
        <v>179</v>
      </c>
      <c r="FY1" s="13" t="s">
        <v>180</v>
      </c>
      <c r="FZ1" s="13" t="s">
        <v>181</v>
      </c>
      <c r="GA1" s="13" t="s">
        <v>182</v>
      </c>
      <c r="GB1" s="13" t="s">
        <v>183</v>
      </c>
      <c r="GC1" s="13" t="s">
        <v>184</v>
      </c>
      <c r="GD1" s="13" t="s">
        <v>185</v>
      </c>
      <c r="GE1" s="13" t="s">
        <v>186</v>
      </c>
      <c r="GF1" s="13" t="s">
        <v>187</v>
      </c>
      <c r="GG1" s="13" t="s">
        <v>188</v>
      </c>
      <c r="GH1" s="13" t="s">
        <v>189</v>
      </c>
      <c r="GI1" s="13" t="s">
        <v>190</v>
      </c>
      <c r="GJ1" s="13" t="s">
        <v>191</v>
      </c>
      <c r="GK1" s="13" t="s">
        <v>192</v>
      </c>
      <c r="GL1" s="13" t="s">
        <v>193</v>
      </c>
      <c r="GM1" s="13" t="s">
        <v>194</v>
      </c>
      <c r="GN1" s="13" t="s">
        <v>195</v>
      </c>
      <c r="GO1" s="13" t="s">
        <v>196</v>
      </c>
      <c r="GP1" s="13" t="s">
        <v>197</v>
      </c>
      <c r="GQ1" s="13" t="s">
        <v>198</v>
      </c>
      <c r="GR1" s="13" t="s">
        <v>199</v>
      </c>
      <c r="GS1" s="13" t="s">
        <v>200</v>
      </c>
      <c r="GT1" s="13" t="s">
        <v>201</v>
      </c>
      <c r="GU1" s="13" t="s">
        <v>202</v>
      </c>
      <c r="GV1" s="13" t="s">
        <v>203</v>
      </c>
      <c r="GW1" s="15" t="s">
        <v>204</v>
      </c>
      <c r="GX1" s="16" t="s">
        <v>205</v>
      </c>
      <c r="GY1" s="17" t="s">
        <v>206</v>
      </c>
      <c r="GZ1" s="10" t="s">
        <v>207</v>
      </c>
      <c r="HA1" s="10" t="s">
        <v>208</v>
      </c>
      <c r="HB1" s="18" t="s">
        <v>209</v>
      </c>
      <c r="HC1" s="18" t="s">
        <v>210</v>
      </c>
    </row>
    <row r="2" customFormat="false" ht="28.5" hidden="true" customHeight="true" outlineLevel="0" collapsed="false">
      <c r="A2" s="20" t="n">
        <v>3696</v>
      </c>
      <c r="B2" s="21" t="s">
        <v>211</v>
      </c>
      <c r="C2" s="22" t="s">
        <v>212</v>
      </c>
      <c r="D2" s="23"/>
      <c r="E2" s="24" t="n">
        <v>46104</v>
      </c>
      <c r="F2" s="25" t="n">
        <f aca="false">WORKDAY(E2,G2)</f>
        <v>46132</v>
      </c>
      <c r="G2" s="26" t="n">
        <v>20</v>
      </c>
      <c r="H2" s="27" t="n">
        <f aca="false">(GX2* 5)/M2</f>
        <v>20</v>
      </c>
      <c r="I2" s="27" t="n">
        <f aca="false">G2-H2</f>
        <v>0</v>
      </c>
      <c r="J2" s="22" t="s">
        <v>213</v>
      </c>
      <c r="K2" s="28" t="n">
        <v>150000</v>
      </c>
      <c r="L2" s="28" t="n">
        <v>225000</v>
      </c>
      <c r="M2" s="29" t="n">
        <f aca="false">(L2/G2)*5</f>
        <v>56250</v>
      </c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 t="s">
        <v>214</v>
      </c>
      <c r="EL2" s="30"/>
      <c r="EM2" s="30" t="s">
        <v>214</v>
      </c>
      <c r="EN2" s="30" t="s">
        <v>214</v>
      </c>
      <c r="EO2" s="30"/>
      <c r="EP2" s="30"/>
      <c r="EQ2" s="30"/>
      <c r="ER2" s="30"/>
      <c r="ES2" s="30" t="s">
        <v>214</v>
      </c>
      <c r="ET2" s="30"/>
      <c r="EU2" s="30"/>
      <c r="EV2" s="30" t="s">
        <v>214</v>
      </c>
      <c r="EW2" s="30"/>
      <c r="EX2" s="30"/>
      <c r="EY2" s="30"/>
      <c r="EZ2" s="30"/>
      <c r="FA2" s="30"/>
      <c r="FB2" s="30"/>
      <c r="FC2" s="30" t="s">
        <v>214</v>
      </c>
      <c r="FD2" s="30"/>
      <c r="FE2" s="30"/>
      <c r="FF2" s="30"/>
      <c r="FG2" s="30"/>
      <c r="FH2" s="30"/>
      <c r="FI2" s="30"/>
      <c r="FJ2" s="30"/>
      <c r="FK2" s="30"/>
      <c r="FL2" s="30" t="s">
        <v>214</v>
      </c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 t="n">
        <v>70000</v>
      </c>
      <c r="GM2" s="30" t="n">
        <v>35000</v>
      </c>
      <c r="GN2" s="30"/>
      <c r="GO2" s="30" t="n">
        <v>40000</v>
      </c>
      <c r="GP2" s="30"/>
      <c r="GQ2" s="30" t="n">
        <v>40000</v>
      </c>
      <c r="GR2" s="30"/>
      <c r="GS2" s="30"/>
      <c r="GT2" s="30"/>
      <c r="GU2" s="30" t="n">
        <v>20000</v>
      </c>
      <c r="GV2" s="30"/>
      <c r="GW2" s="30" t="n">
        <v>20000</v>
      </c>
      <c r="GX2" s="30" t="n">
        <f aca="false">SUM(N2:GW2)</f>
        <v>225000</v>
      </c>
      <c r="GY2" s="31" t="n">
        <f aca="false">SUM(L2-GX2)</f>
        <v>0</v>
      </c>
      <c r="GZ2" s="32" t="n">
        <f aca="false">SUM( H2/5)</f>
        <v>4</v>
      </c>
      <c r="HA2" s="32" t="n">
        <f aca="false">SUM( I2/5)</f>
        <v>0</v>
      </c>
      <c r="HB2" s="33" t="n">
        <f aca="false">SUM(GZ2/4)</f>
        <v>1</v>
      </c>
      <c r="HC2" s="33" t="n">
        <f aca="false">SUM(HA2/4)</f>
        <v>0</v>
      </c>
    </row>
    <row r="3" customFormat="false" ht="28.5" hidden="true" customHeight="true" outlineLevel="0" collapsed="false">
      <c r="A3" s="20" t="n">
        <v>2762</v>
      </c>
      <c r="B3" s="21" t="s">
        <v>215</v>
      </c>
      <c r="C3" s="21" t="s">
        <v>216</v>
      </c>
      <c r="D3" s="34"/>
      <c r="E3" s="25" t="n">
        <v>45519</v>
      </c>
      <c r="F3" s="25" t="n">
        <f aca="false">WORKDAY(E3,G3)</f>
        <v>45771</v>
      </c>
      <c r="G3" s="26" t="n">
        <v>180</v>
      </c>
      <c r="H3" s="27" t="n">
        <f aca="false">(GX3* 5)/M3</f>
        <v>120</v>
      </c>
      <c r="I3" s="27" t="n">
        <f aca="false">G3-H3</f>
        <v>60</v>
      </c>
      <c r="J3" s="35" t="s">
        <v>217</v>
      </c>
      <c r="K3" s="36" t="n">
        <v>300000</v>
      </c>
      <c r="L3" s="36" t="n">
        <v>810000</v>
      </c>
      <c r="M3" s="37" t="n">
        <f aca="false">(L3/G3)*5</f>
        <v>22500</v>
      </c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 t="s">
        <v>214</v>
      </c>
      <c r="CB3" s="30" t="s">
        <v>214</v>
      </c>
      <c r="CC3" s="30" t="s">
        <v>214</v>
      </c>
      <c r="CD3" s="30" t="s">
        <v>214</v>
      </c>
      <c r="CE3" s="30" t="s">
        <v>214</v>
      </c>
      <c r="CF3" s="30"/>
      <c r="CG3" s="30" t="s">
        <v>214</v>
      </c>
      <c r="CH3" s="30" t="s">
        <v>214</v>
      </c>
      <c r="CI3" s="30"/>
      <c r="CJ3" s="30"/>
      <c r="CK3" s="30"/>
      <c r="CL3" s="30" t="s">
        <v>214</v>
      </c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 t="n">
        <v>90000</v>
      </c>
      <c r="DI3" s="30"/>
      <c r="DJ3" s="30"/>
      <c r="DK3" s="30"/>
      <c r="DL3" s="30"/>
      <c r="DM3" s="30" t="n">
        <v>90000</v>
      </c>
      <c r="DN3" s="30"/>
      <c r="DO3" s="30"/>
      <c r="DP3" s="30"/>
      <c r="DQ3" s="30" t="n">
        <v>90000</v>
      </c>
      <c r="DR3" s="30"/>
      <c r="DS3" s="30"/>
      <c r="DT3" s="30"/>
      <c r="DU3" s="30"/>
      <c r="DV3" s="30" t="n">
        <v>90000</v>
      </c>
      <c r="DW3" s="30"/>
      <c r="DX3" s="30"/>
      <c r="DY3" s="30"/>
      <c r="DZ3" s="30"/>
      <c r="EA3" s="30" t="n">
        <v>90000</v>
      </c>
      <c r="EB3" s="30"/>
      <c r="EC3" s="30"/>
      <c r="ED3" s="30"/>
      <c r="EE3" s="30" t="n">
        <v>90000</v>
      </c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 t="n">
        <f aca="false">SUM(N3:GW3)</f>
        <v>540000</v>
      </c>
      <c r="GY3" s="31" t="n">
        <f aca="false">SUM(L3-GX3)</f>
        <v>270000</v>
      </c>
      <c r="GZ3" s="32" t="n">
        <f aca="false">SUM( H3/5)</f>
        <v>24</v>
      </c>
      <c r="HA3" s="32" t="n">
        <f aca="false">SUM( I3/5)</f>
        <v>12</v>
      </c>
      <c r="HB3" s="33" t="n">
        <f aca="false">SUM(GZ3/4)</f>
        <v>6</v>
      </c>
      <c r="HC3" s="33" t="n">
        <f aca="false">SUM(HA3/4)</f>
        <v>3</v>
      </c>
    </row>
    <row r="4" customFormat="false" ht="28.5" hidden="true" customHeight="true" outlineLevel="0" collapsed="false">
      <c r="A4" s="20" t="n">
        <v>3533</v>
      </c>
      <c r="B4" s="21" t="s">
        <v>218</v>
      </c>
      <c r="C4" s="21" t="s">
        <v>219</v>
      </c>
      <c r="D4" s="34"/>
      <c r="E4" s="25" t="n">
        <v>46001</v>
      </c>
      <c r="F4" s="25" t="n">
        <f aca="false">WORKDAY(E4,G4)</f>
        <v>46225</v>
      </c>
      <c r="G4" s="26" t="n">
        <v>160</v>
      </c>
      <c r="H4" s="27" t="n">
        <f aca="false">(GX4* 5)/M4</f>
        <v>80</v>
      </c>
      <c r="I4" s="27" t="n">
        <f aca="false">G4-H4</f>
        <v>80</v>
      </c>
      <c r="J4" s="35" t="s">
        <v>220</v>
      </c>
      <c r="K4" s="36" t="n">
        <v>300000</v>
      </c>
      <c r="L4" s="36" t="n">
        <v>864000</v>
      </c>
      <c r="M4" s="37" t="n">
        <f aca="false">(L4/G4)*5</f>
        <v>27000</v>
      </c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 t="s">
        <v>214</v>
      </c>
      <c r="EL4" s="30"/>
      <c r="EM4" s="30" t="s">
        <v>214</v>
      </c>
      <c r="EN4" s="30" t="s">
        <v>214</v>
      </c>
      <c r="EO4" s="30"/>
      <c r="EP4" s="30"/>
      <c r="EQ4" s="30"/>
      <c r="ER4" s="30"/>
      <c r="ES4" s="30" t="s">
        <v>214</v>
      </c>
      <c r="ET4" s="30"/>
      <c r="EU4" s="30"/>
      <c r="EV4" s="30" t="s">
        <v>214</v>
      </c>
      <c r="EW4" s="30"/>
      <c r="EX4" s="30"/>
      <c r="EY4" s="30"/>
      <c r="EZ4" s="30"/>
      <c r="FA4" s="30"/>
      <c r="FB4" s="30"/>
      <c r="FC4" s="30" t="s">
        <v>214</v>
      </c>
      <c r="FD4" s="30"/>
      <c r="FE4" s="30"/>
      <c r="FF4" s="30"/>
      <c r="FG4" s="30"/>
      <c r="FH4" s="30"/>
      <c r="FI4" s="30"/>
      <c r="FJ4" s="30"/>
      <c r="FK4" s="30"/>
      <c r="FL4" s="30" t="s">
        <v>214</v>
      </c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 t="n">
        <v>108000</v>
      </c>
      <c r="FZ4" s="30"/>
      <c r="GA4" s="30"/>
      <c r="GB4" s="30"/>
      <c r="GC4" s="30" t="n">
        <v>108000</v>
      </c>
      <c r="GD4" s="30"/>
      <c r="GE4" s="30"/>
      <c r="GF4" s="30"/>
      <c r="GG4" s="30" t="n">
        <v>108000</v>
      </c>
      <c r="GH4" s="30"/>
      <c r="GI4" s="30"/>
      <c r="GJ4" s="30"/>
      <c r="GK4" s="30"/>
      <c r="GL4" s="30"/>
      <c r="GM4" s="30"/>
      <c r="GN4" s="30"/>
      <c r="GO4" s="30"/>
      <c r="GP4" s="30" t="n">
        <v>108000</v>
      </c>
      <c r="GQ4" s="30"/>
      <c r="GR4" s="30"/>
      <c r="GS4" s="30"/>
      <c r="GT4" s="30"/>
      <c r="GU4" s="30"/>
      <c r="GV4" s="30"/>
      <c r="GW4" s="30"/>
      <c r="GX4" s="30" t="n">
        <f aca="false">SUM(N4:GW4)</f>
        <v>432000</v>
      </c>
      <c r="GY4" s="31" t="n">
        <f aca="false">SUM(L4-GX4)</f>
        <v>432000</v>
      </c>
      <c r="GZ4" s="32" t="n">
        <f aca="false">SUM( H4/5)</f>
        <v>16</v>
      </c>
      <c r="HA4" s="32" t="n">
        <f aca="false">SUM( I4/5)</f>
        <v>16</v>
      </c>
      <c r="HB4" s="33" t="n">
        <f aca="false">SUM(GZ4/4)</f>
        <v>4</v>
      </c>
      <c r="HC4" s="33" t="n">
        <f aca="false">SUM(HA4/4)</f>
        <v>4</v>
      </c>
    </row>
    <row r="5" customFormat="false" ht="28.5" hidden="true" customHeight="true" outlineLevel="0" collapsed="false">
      <c r="A5" s="20" t="n">
        <v>3636</v>
      </c>
      <c r="B5" s="21" t="s">
        <v>218</v>
      </c>
      <c r="C5" s="21" t="s">
        <v>219</v>
      </c>
      <c r="D5" s="34"/>
      <c r="E5" s="25" t="n">
        <v>46063</v>
      </c>
      <c r="F5" s="25" t="n">
        <f aca="false">WORKDAY(E5,G5)</f>
        <v>46217</v>
      </c>
      <c r="G5" s="26" t="n">
        <v>110</v>
      </c>
      <c r="H5" s="27" t="n">
        <f aca="false">(GX5* 5)/M5</f>
        <v>63.3333333333333</v>
      </c>
      <c r="I5" s="27" t="n">
        <f aca="false">G5-H5</f>
        <v>46.6666666666667</v>
      </c>
      <c r="J5" s="22" t="s">
        <v>221</v>
      </c>
      <c r="K5" s="36" t="n">
        <v>200000</v>
      </c>
      <c r="L5" s="36" t="n">
        <v>528000</v>
      </c>
      <c r="M5" s="37" t="n">
        <f aca="false">(L5/G5)*5</f>
        <v>24000</v>
      </c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 t="s">
        <v>214</v>
      </c>
      <c r="EL5" s="30"/>
      <c r="EM5" s="30" t="s">
        <v>214</v>
      </c>
      <c r="EN5" s="30" t="s">
        <v>214</v>
      </c>
      <c r="EO5" s="30"/>
      <c r="EP5" s="30"/>
      <c r="EQ5" s="30"/>
      <c r="ER5" s="30"/>
      <c r="ES5" s="30" t="s">
        <v>214</v>
      </c>
      <c r="ET5" s="30"/>
      <c r="EU5" s="30"/>
      <c r="EV5" s="30" t="s">
        <v>214</v>
      </c>
      <c r="EW5" s="30"/>
      <c r="EX5" s="30"/>
      <c r="EY5" s="30"/>
      <c r="EZ5" s="30"/>
      <c r="FA5" s="30"/>
      <c r="FB5" s="30"/>
      <c r="FC5" s="30" t="s">
        <v>214</v>
      </c>
      <c r="FD5" s="30"/>
      <c r="FE5" s="30"/>
      <c r="FF5" s="30"/>
      <c r="FG5" s="30"/>
      <c r="FH5" s="30"/>
      <c r="FI5" s="30"/>
      <c r="FJ5" s="30"/>
      <c r="FK5" s="30"/>
      <c r="FL5" s="30" t="s">
        <v>214</v>
      </c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 t="n">
        <v>24000</v>
      </c>
      <c r="GF5" s="30"/>
      <c r="GG5" s="30" t="n">
        <v>44000</v>
      </c>
      <c r="GH5" s="30"/>
      <c r="GI5" s="30"/>
      <c r="GJ5" s="30"/>
      <c r="GK5" s="30"/>
      <c r="GL5" s="30" t="n">
        <v>128000</v>
      </c>
      <c r="GM5" s="30"/>
      <c r="GN5" s="30"/>
      <c r="GO5" s="30"/>
      <c r="GP5" s="30" t="n">
        <v>108000</v>
      </c>
      <c r="GQ5" s="30"/>
      <c r="GR5" s="30"/>
      <c r="GS5" s="30"/>
      <c r="GT5" s="30"/>
      <c r="GU5" s="30"/>
      <c r="GV5" s="30"/>
      <c r="GW5" s="30"/>
      <c r="GX5" s="30" t="n">
        <f aca="false">SUM(N5:GW5)</f>
        <v>304000</v>
      </c>
      <c r="GY5" s="31" t="n">
        <f aca="false">SUM(L5-GX5)</f>
        <v>224000</v>
      </c>
      <c r="GZ5" s="32" t="n">
        <f aca="false">SUM( H5/5)</f>
        <v>12.6666666666667</v>
      </c>
      <c r="HA5" s="32" t="n">
        <f aca="false">SUM( I5/5)</f>
        <v>9.33333333333333</v>
      </c>
      <c r="HB5" s="33" t="n">
        <f aca="false">SUM(GZ5/4)</f>
        <v>3.16666666666667</v>
      </c>
      <c r="HC5" s="33" t="n">
        <f aca="false">SUM(HA5/4)</f>
        <v>2.33333333333333</v>
      </c>
    </row>
    <row r="6" customFormat="false" ht="28.5" hidden="true" customHeight="true" outlineLevel="0" collapsed="false">
      <c r="A6" s="20" t="n">
        <v>3658</v>
      </c>
      <c r="B6" s="21" t="s">
        <v>222</v>
      </c>
      <c r="C6" s="21" t="s">
        <v>219</v>
      </c>
      <c r="D6" s="34"/>
      <c r="E6" s="25" t="n">
        <v>46078</v>
      </c>
      <c r="F6" s="25" t="n">
        <f aca="false">WORKDAY(E6,G6)</f>
        <v>46302</v>
      </c>
      <c r="G6" s="26" t="n">
        <v>160</v>
      </c>
      <c r="H6" s="27" t="n">
        <f aca="false">(GX6* 5)/M6</f>
        <v>79.2592592592593</v>
      </c>
      <c r="I6" s="27" t="n">
        <f aca="false">G6-H6</f>
        <v>80.7407407407408</v>
      </c>
      <c r="J6" s="35" t="s">
        <v>223</v>
      </c>
      <c r="K6" s="36" t="n">
        <v>300000</v>
      </c>
      <c r="L6" s="36" t="n">
        <v>864000</v>
      </c>
      <c r="M6" s="37" t="n">
        <f aca="false">(L6/G6)*5</f>
        <v>27000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 t="s">
        <v>214</v>
      </c>
      <c r="EL6" s="30"/>
      <c r="EM6" s="30" t="s">
        <v>214</v>
      </c>
      <c r="EN6" s="30" t="s">
        <v>214</v>
      </c>
      <c r="EO6" s="30"/>
      <c r="EP6" s="30"/>
      <c r="EQ6" s="30"/>
      <c r="ER6" s="30"/>
      <c r="ES6" s="30" t="s">
        <v>214</v>
      </c>
      <c r="ET6" s="30"/>
      <c r="EU6" s="30"/>
      <c r="EV6" s="30" t="s">
        <v>214</v>
      </c>
      <c r="EW6" s="30"/>
      <c r="EX6" s="30"/>
      <c r="EY6" s="30"/>
      <c r="EZ6" s="30"/>
      <c r="FA6" s="30"/>
      <c r="FB6" s="30"/>
      <c r="FC6" s="30" t="s">
        <v>214</v>
      </c>
      <c r="FD6" s="30"/>
      <c r="FE6" s="30"/>
      <c r="FF6" s="30"/>
      <c r="FG6" s="30"/>
      <c r="FH6" s="30"/>
      <c r="FI6" s="30"/>
      <c r="FJ6" s="30"/>
      <c r="FK6" s="30"/>
      <c r="FL6" s="30" t="s">
        <v>214</v>
      </c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 t="n">
        <v>108000</v>
      </c>
      <c r="GJ6" s="30"/>
      <c r="GK6" s="30"/>
      <c r="GL6" s="30"/>
      <c r="GM6" s="30"/>
      <c r="GN6" s="30" t="n">
        <v>104000</v>
      </c>
      <c r="GO6" s="30"/>
      <c r="GP6" s="30"/>
      <c r="GQ6" s="30"/>
      <c r="GR6" s="30"/>
      <c r="GS6" s="30" t="n">
        <v>108000</v>
      </c>
      <c r="GT6" s="30"/>
      <c r="GU6" s="30"/>
      <c r="GV6" s="30"/>
      <c r="GW6" s="30" t="n">
        <v>108000</v>
      </c>
      <c r="GX6" s="30" t="n">
        <f aca="false">SUM(N6:GW6)</f>
        <v>428000</v>
      </c>
      <c r="GY6" s="31" t="n">
        <f aca="false">SUM(L6-GX6)</f>
        <v>436000</v>
      </c>
      <c r="GZ6" s="32" t="n">
        <f aca="false">SUM( H6/5)</f>
        <v>15.8518518518519</v>
      </c>
      <c r="HA6" s="32" t="n">
        <f aca="false">SUM( I6/5)</f>
        <v>16.1481481481482</v>
      </c>
      <c r="HB6" s="33" t="n">
        <f aca="false">SUM(GZ6/4)</f>
        <v>3.96296296296296</v>
      </c>
      <c r="HC6" s="33" t="n">
        <f aca="false">SUM(HA6/4)</f>
        <v>4.03703703703704</v>
      </c>
    </row>
    <row r="7" customFormat="false" ht="28.5" hidden="true" customHeight="true" outlineLevel="0" collapsed="false">
      <c r="A7" s="20" t="n">
        <v>3708</v>
      </c>
      <c r="B7" s="21" t="s">
        <v>224</v>
      </c>
      <c r="C7" s="21" t="s">
        <v>225</v>
      </c>
      <c r="D7" s="34"/>
      <c r="E7" s="25" t="n">
        <v>46113</v>
      </c>
      <c r="F7" s="25" t="n">
        <v>46014</v>
      </c>
      <c r="G7" s="26" t="n">
        <v>80</v>
      </c>
      <c r="H7" s="27" t="n">
        <f aca="false">(GX7* 5)/M7</f>
        <v>40</v>
      </c>
      <c r="I7" s="27" t="n">
        <f aca="false">G7-H7</f>
        <v>40</v>
      </c>
      <c r="J7" s="35" t="s">
        <v>226</v>
      </c>
      <c r="K7" s="31" t="n">
        <v>200000</v>
      </c>
      <c r="L7" s="31" t="n">
        <v>432000</v>
      </c>
      <c r="M7" s="29" t="n">
        <f aca="false">(L7/G7)*5</f>
        <v>27000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 t="s">
        <v>214</v>
      </c>
      <c r="EL7" s="30"/>
      <c r="EM7" s="30" t="s">
        <v>214</v>
      </c>
      <c r="EN7" s="30" t="s">
        <v>214</v>
      </c>
      <c r="EO7" s="30"/>
      <c r="EP7" s="30"/>
      <c r="EQ7" s="30"/>
      <c r="ER7" s="30"/>
      <c r="ES7" s="30" t="s">
        <v>214</v>
      </c>
      <c r="ET7" s="30"/>
      <c r="EU7" s="30"/>
      <c r="EV7" s="30" t="s">
        <v>214</v>
      </c>
      <c r="EW7" s="30"/>
      <c r="EX7" s="30"/>
      <c r="EY7" s="30"/>
      <c r="EZ7" s="30"/>
      <c r="FA7" s="30"/>
      <c r="FB7" s="30"/>
      <c r="FC7" s="30" t="s">
        <v>214</v>
      </c>
      <c r="FD7" s="30"/>
      <c r="FE7" s="30"/>
      <c r="FF7" s="30"/>
      <c r="FG7" s="30"/>
      <c r="FH7" s="30"/>
      <c r="FI7" s="30"/>
      <c r="FJ7" s="30"/>
      <c r="FK7" s="30"/>
      <c r="FL7" s="30" t="s">
        <v>214</v>
      </c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 t="n">
        <v>108000</v>
      </c>
      <c r="GP7" s="30"/>
      <c r="GQ7" s="30"/>
      <c r="GR7" s="30"/>
      <c r="GS7" s="30"/>
      <c r="GT7" s="30" t="n">
        <v>108000</v>
      </c>
      <c r="GU7" s="30"/>
      <c r="GV7" s="30"/>
      <c r="GW7" s="30"/>
      <c r="GX7" s="30" t="n">
        <f aca="false">SUM(N7:GW7)</f>
        <v>216000</v>
      </c>
      <c r="GY7" s="31" t="n">
        <f aca="false">SUM(L7-GX7)</f>
        <v>216000</v>
      </c>
      <c r="GZ7" s="32" t="n">
        <f aca="false">SUM( H7/5)</f>
        <v>8</v>
      </c>
      <c r="HA7" s="32" t="n">
        <f aca="false">SUM( I7/5)</f>
        <v>8</v>
      </c>
      <c r="HB7" s="33" t="n">
        <f aca="false">SUM(GZ7/4)</f>
        <v>2</v>
      </c>
      <c r="HC7" s="33" t="n">
        <f aca="false">SUM(HA7/4)</f>
        <v>2</v>
      </c>
    </row>
    <row r="8" customFormat="false" ht="28.5" hidden="true" customHeight="true" outlineLevel="0" collapsed="false">
      <c r="A8" s="20" t="n">
        <v>3730</v>
      </c>
      <c r="B8" s="34" t="s">
        <v>227</v>
      </c>
      <c r="C8" s="34" t="s">
        <v>228</v>
      </c>
      <c r="D8" s="34"/>
      <c r="E8" s="25" t="n">
        <v>46132</v>
      </c>
      <c r="F8" s="25" t="n">
        <v>46087</v>
      </c>
      <c r="G8" s="26" t="n">
        <v>60</v>
      </c>
      <c r="H8" s="27" t="n">
        <f aca="false">(GX8* 5)/M8</f>
        <v>60</v>
      </c>
      <c r="I8" s="27" t="n">
        <f aca="false">G8-H8</f>
        <v>0</v>
      </c>
      <c r="J8" s="38" t="s">
        <v>229</v>
      </c>
      <c r="K8" s="39" t="n">
        <v>100000</v>
      </c>
      <c r="L8" s="36" t="n">
        <v>192000</v>
      </c>
      <c r="M8" s="40" t="n">
        <f aca="false">(L8/G8)*5</f>
        <v>16000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 t="s">
        <v>214</v>
      </c>
      <c r="EL8" s="30"/>
      <c r="EM8" s="30" t="s">
        <v>214</v>
      </c>
      <c r="EN8" s="30" t="s">
        <v>214</v>
      </c>
      <c r="EO8" s="30"/>
      <c r="EP8" s="30"/>
      <c r="EQ8" s="30"/>
      <c r="ER8" s="30"/>
      <c r="ES8" s="30" t="s">
        <v>214</v>
      </c>
      <c r="ET8" s="30"/>
      <c r="EU8" s="30"/>
      <c r="EV8" s="30" t="s">
        <v>214</v>
      </c>
      <c r="EW8" s="30"/>
      <c r="EX8" s="30"/>
      <c r="EY8" s="30"/>
      <c r="EZ8" s="30"/>
      <c r="FA8" s="30"/>
      <c r="FB8" s="30"/>
      <c r="FC8" s="30" t="s">
        <v>214</v>
      </c>
      <c r="FD8" s="30"/>
      <c r="FE8" s="30"/>
      <c r="FF8" s="30"/>
      <c r="FG8" s="30"/>
      <c r="FH8" s="30"/>
      <c r="FI8" s="30"/>
      <c r="FJ8" s="30"/>
      <c r="FK8" s="30"/>
      <c r="FL8" s="30" t="s">
        <v>214</v>
      </c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 t="n">
        <v>64000</v>
      </c>
      <c r="GP8" s="30"/>
      <c r="GQ8" s="30"/>
      <c r="GR8" s="30"/>
      <c r="GS8" s="30" t="n">
        <v>64000</v>
      </c>
      <c r="GT8" s="30"/>
      <c r="GU8" s="30"/>
      <c r="GV8" s="30"/>
      <c r="GW8" s="30" t="n">
        <v>64000</v>
      </c>
      <c r="GX8" s="30" t="n">
        <f aca="false">SUM(N8:GW8)</f>
        <v>192000</v>
      </c>
      <c r="GY8" s="31" t="n">
        <f aca="false">SUM(L8-GX8)</f>
        <v>0</v>
      </c>
      <c r="GZ8" s="32" t="n">
        <f aca="false">SUM( H8/5)</f>
        <v>12</v>
      </c>
      <c r="HA8" s="32" t="n">
        <f aca="false">SUM( I8/5)</f>
        <v>0</v>
      </c>
      <c r="HB8" s="33" t="n">
        <f aca="false">SUM(GZ8/4)</f>
        <v>3</v>
      </c>
      <c r="HC8" s="33" t="n">
        <f aca="false">SUM(HA8/4)</f>
        <v>0</v>
      </c>
    </row>
    <row r="9" customFormat="false" ht="28.5" hidden="true" customHeight="true" outlineLevel="0" collapsed="false">
      <c r="A9" s="20" t="n">
        <v>3684</v>
      </c>
      <c r="B9" s="21" t="s">
        <v>230</v>
      </c>
      <c r="C9" s="21" t="s">
        <v>231</v>
      </c>
      <c r="D9" s="34"/>
      <c r="E9" s="25" t="n">
        <v>46098</v>
      </c>
      <c r="F9" s="25" t="n">
        <f aca="false">WORKDAY(E9,G9)</f>
        <v>46210</v>
      </c>
      <c r="G9" s="26" t="n">
        <v>80</v>
      </c>
      <c r="H9" s="27" t="n">
        <f aca="false">(GX9* 5)/M9</f>
        <v>50</v>
      </c>
      <c r="I9" s="27" t="n">
        <f aca="false">G9-H9</f>
        <v>30</v>
      </c>
      <c r="J9" s="35" t="s">
        <v>232</v>
      </c>
      <c r="K9" s="36" t="n">
        <v>40000</v>
      </c>
      <c r="L9" s="36" t="n">
        <v>86400</v>
      </c>
      <c r="M9" s="29" t="n">
        <f aca="false">(L9/G9)*5</f>
        <v>5400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 t="s">
        <v>214</v>
      </c>
      <c r="EL9" s="30"/>
      <c r="EM9" s="30" t="s">
        <v>214</v>
      </c>
      <c r="EN9" s="30" t="s">
        <v>214</v>
      </c>
      <c r="EO9" s="30"/>
      <c r="EP9" s="30"/>
      <c r="EQ9" s="30"/>
      <c r="ER9" s="30"/>
      <c r="ES9" s="30" t="s">
        <v>214</v>
      </c>
      <c r="ET9" s="30"/>
      <c r="EU9" s="30"/>
      <c r="EV9" s="30" t="s">
        <v>214</v>
      </c>
      <c r="EW9" s="30"/>
      <c r="EX9" s="30"/>
      <c r="EY9" s="30"/>
      <c r="EZ9" s="30"/>
      <c r="FA9" s="30"/>
      <c r="FB9" s="30"/>
      <c r="FC9" s="30" t="s">
        <v>214</v>
      </c>
      <c r="FD9" s="30"/>
      <c r="FE9" s="30"/>
      <c r="FF9" s="30"/>
      <c r="FG9" s="30"/>
      <c r="FH9" s="30"/>
      <c r="FI9" s="30"/>
      <c r="FJ9" s="30"/>
      <c r="FK9" s="30"/>
      <c r="FL9" s="30" t="s">
        <v>214</v>
      </c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 t="n">
        <v>16200</v>
      </c>
      <c r="GL9" s="30"/>
      <c r="GM9" s="30"/>
      <c r="GN9" s="30"/>
      <c r="GO9" s="30" t="n">
        <v>16200</v>
      </c>
      <c r="GP9" s="30"/>
      <c r="GQ9" s="30"/>
      <c r="GR9" s="30"/>
      <c r="GS9" s="30"/>
      <c r="GT9" s="30" t="n">
        <v>21600</v>
      </c>
      <c r="GU9" s="30"/>
      <c r="GV9" s="30"/>
      <c r="GW9" s="30"/>
      <c r="GX9" s="30" t="n">
        <f aca="false">SUM(N9:GW9)</f>
        <v>54000</v>
      </c>
      <c r="GY9" s="31" t="n">
        <f aca="false">SUM(L9-GX9)</f>
        <v>32400</v>
      </c>
      <c r="GZ9" s="32" t="n">
        <f aca="false">SUM( H9/5)</f>
        <v>10</v>
      </c>
      <c r="HA9" s="32" t="n">
        <f aca="false">SUM( I9/5)</f>
        <v>6</v>
      </c>
      <c r="HB9" s="33" t="n">
        <f aca="false">SUM(GZ9/4)</f>
        <v>2.5</v>
      </c>
      <c r="HC9" s="33" t="n">
        <f aca="false">SUM(HA9/4)</f>
        <v>1.5</v>
      </c>
    </row>
    <row r="10" customFormat="false" ht="28.5" hidden="true" customHeight="true" outlineLevel="0" collapsed="false">
      <c r="A10" s="20" t="n">
        <v>3739</v>
      </c>
      <c r="B10" s="21" t="s">
        <v>230</v>
      </c>
      <c r="C10" s="21" t="s">
        <v>231</v>
      </c>
      <c r="D10" s="34"/>
      <c r="E10" s="25" t="n">
        <v>46136</v>
      </c>
      <c r="F10" s="25" t="n">
        <f aca="false">WORKDAY(E10,G10)</f>
        <v>46248</v>
      </c>
      <c r="G10" s="26" t="n">
        <v>80</v>
      </c>
      <c r="H10" s="27" t="n">
        <f aca="false">(GX10* 5)/M10</f>
        <v>20</v>
      </c>
      <c r="I10" s="27" t="n">
        <f aca="false">G10-H10</f>
        <v>60</v>
      </c>
      <c r="J10" s="35" t="s">
        <v>233</v>
      </c>
      <c r="K10" s="36" t="n">
        <v>120000</v>
      </c>
      <c r="L10" s="36" t="n">
        <v>259200</v>
      </c>
      <c r="M10" s="37" t="n">
        <f aca="false">(L10/G10)*5</f>
        <v>16200</v>
      </c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 t="s">
        <v>214</v>
      </c>
      <c r="EL10" s="41"/>
      <c r="EM10" s="41" t="s">
        <v>214</v>
      </c>
      <c r="EN10" s="41" t="s">
        <v>214</v>
      </c>
      <c r="EO10" s="41"/>
      <c r="EP10" s="41"/>
      <c r="EQ10" s="30"/>
      <c r="ER10" s="30"/>
      <c r="ES10" s="30" t="s">
        <v>214</v>
      </c>
      <c r="ET10" s="30"/>
      <c r="EU10" s="30"/>
      <c r="EV10" s="30" t="s">
        <v>214</v>
      </c>
      <c r="EW10" s="30"/>
      <c r="EX10" s="30"/>
      <c r="EY10" s="30"/>
      <c r="EZ10" s="30"/>
      <c r="FA10" s="30"/>
      <c r="FB10" s="30"/>
      <c r="FC10" s="30" t="s">
        <v>214</v>
      </c>
      <c r="FD10" s="30"/>
      <c r="FE10" s="30"/>
      <c r="FF10" s="30"/>
      <c r="FG10" s="30"/>
      <c r="FH10" s="30"/>
      <c r="FI10" s="30"/>
      <c r="FJ10" s="30"/>
      <c r="FK10" s="30"/>
      <c r="FL10" s="30" t="s">
        <v>214</v>
      </c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 t="n">
        <v>64800</v>
      </c>
      <c r="GU10" s="30"/>
      <c r="GV10" s="30"/>
      <c r="GW10" s="30"/>
      <c r="GX10" s="30" t="n">
        <f aca="false">SUM(N10:GW10)</f>
        <v>64800</v>
      </c>
      <c r="GY10" s="36" t="n">
        <f aca="false">SUM(L10-GX10)</f>
        <v>194400</v>
      </c>
      <c r="GZ10" s="32" t="n">
        <f aca="false">SUM( H10/5)</f>
        <v>4</v>
      </c>
      <c r="HA10" s="32" t="n">
        <f aca="false">SUM( I10/5)</f>
        <v>12</v>
      </c>
      <c r="HB10" s="33" t="n">
        <f aca="false">SUM(GZ10/4)</f>
        <v>1</v>
      </c>
      <c r="HC10" s="33" t="n">
        <f aca="false">SUM(HA10/4)</f>
        <v>3</v>
      </c>
    </row>
    <row r="11" customFormat="false" ht="28.5" hidden="true" customHeight="true" outlineLevel="0" collapsed="false">
      <c r="A11" s="20" t="n">
        <v>3785</v>
      </c>
      <c r="B11" s="21" t="s">
        <v>230</v>
      </c>
      <c r="C11" s="21" t="s">
        <v>231</v>
      </c>
      <c r="D11" s="34"/>
      <c r="E11" s="25" t="n">
        <v>46172</v>
      </c>
      <c r="F11" s="25" t="n">
        <f aca="false">WORKDAY(E11,G11)</f>
        <v>46199</v>
      </c>
      <c r="G11" s="26" t="n">
        <v>20</v>
      </c>
      <c r="H11" s="27" t="e">
        <f aca="false">(GX11* 5)/M11</f>
        <v>#DIV/0!</v>
      </c>
      <c r="I11" s="27" t="e">
        <f aca="false">G11-H11</f>
        <v>#DIV/0!</v>
      </c>
      <c r="J11" s="35" t="s">
        <v>234</v>
      </c>
      <c r="K11" s="36" t="n">
        <v>30000</v>
      </c>
      <c r="L11" s="36" t="n">
        <v>45000</v>
      </c>
      <c r="M11" s="29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 t="s">
        <v>214</v>
      </c>
      <c r="EL11" s="41"/>
      <c r="EM11" s="41" t="s">
        <v>214</v>
      </c>
      <c r="EN11" s="41" t="s">
        <v>214</v>
      </c>
      <c r="EO11" s="41"/>
      <c r="EP11" s="41"/>
      <c r="EQ11" s="30"/>
      <c r="ER11" s="30"/>
      <c r="ES11" s="30" t="s">
        <v>214</v>
      </c>
      <c r="ET11" s="30"/>
      <c r="EU11" s="30"/>
      <c r="EV11" s="30" t="s">
        <v>214</v>
      </c>
      <c r="EW11" s="30"/>
      <c r="EX11" s="30"/>
      <c r="EY11" s="30"/>
      <c r="EZ11" s="30"/>
      <c r="FA11" s="30"/>
      <c r="FB11" s="30"/>
      <c r="FC11" s="30" t="s">
        <v>214</v>
      </c>
      <c r="FD11" s="30"/>
      <c r="FE11" s="30"/>
      <c r="FF11" s="30"/>
      <c r="FG11" s="30"/>
      <c r="FH11" s="30"/>
      <c r="FI11" s="30"/>
      <c r="FJ11" s="30"/>
      <c r="FK11" s="30"/>
      <c r="FL11" s="30" t="s">
        <v>214</v>
      </c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 t="n">
        <f aca="false">SUM(N11:GW11)</f>
        <v>0</v>
      </c>
      <c r="GY11" s="36" t="n">
        <f aca="false">SUM(L11-GX11)</f>
        <v>45000</v>
      </c>
      <c r="GZ11" s="32" t="e">
        <f aca="false">SUM( H11/5)</f>
        <v>#DIV/0!</v>
      </c>
      <c r="HA11" s="32" t="e">
        <f aca="false">SUM( I11/5)</f>
        <v>#DIV/0!</v>
      </c>
      <c r="HB11" s="33" t="e">
        <f aca="false">SUM(GZ11/4)</f>
        <v>#DIV/0!</v>
      </c>
      <c r="HC11" s="33" t="e">
        <f aca="false">SUM(HA11/4)</f>
        <v>#DIV/0!</v>
      </c>
    </row>
    <row r="12" customFormat="false" ht="28.5" hidden="true" customHeight="true" outlineLevel="0" collapsed="false">
      <c r="A12" s="20" t="n">
        <v>3800</v>
      </c>
      <c r="B12" s="21" t="s">
        <v>230</v>
      </c>
      <c r="C12" s="21" t="s">
        <v>231</v>
      </c>
      <c r="D12" s="34"/>
      <c r="E12" s="25" t="n">
        <v>46183</v>
      </c>
      <c r="F12" s="25" t="n">
        <f aca="false">WORKDAY(E12,G12)</f>
        <v>46267</v>
      </c>
      <c r="G12" s="26" t="n">
        <v>60</v>
      </c>
      <c r="H12" s="27" t="n">
        <f aca="false">(GX12* 5)/M12</f>
        <v>0</v>
      </c>
      <c r="I12" s="27" t="n">
        <f aca="false">G12-H12</f>
        <v>60</v>
      </c>
      <c r="J12" s="35" t="s">
        <v>235</v>
      </c>
      <c r="K12" s="36" t="n">
        <v>100000</v>
      </c>
      <c r="L12" s="36" t="n">
        <v>192000</v>
      </c>
      <c r="M12" s="37" t="n">
        <f aca="false">(L12/G12)*5</f>
        <v>16000</v>
      </c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 t="s">
        <v>214</v>
      </c>
      <c r="EL12" s="41"/>
      <c r="EM12" s="41" t="s">
        <v>214</v>
      </c>
      <c r="EN12" s="41" t="s">
        <v>214</v>
      </c>
      <c r="EO12" s="41"/>
      <c r="EP12" s="41"/>
      <c r="EQ12" s="30"/>
      <c r="ER12" s="30"/>
      <c r="ES12" s="30" t="s">
        <v>214</v>
      </c>
      <c r="ET12" s="30"/>
      <c r="EU12" s="30"/>
      <c r="EV12" s="30" t="s">
        <v>214</v>
      </c>
      <c r="EW12" s="30"/>
      <c r="EX12" s="30"/>
      <c r="EY12" s="30"/>
      <c r="EZ12" s="30"/>
      <c r="FA12" s="30"/>
      <c r="FB12" s="30"/>
      <c r="FC12" s="30" t="s">
        <v>214</v>
      </c>
      <c r="FD12" s="30"/>
      <c r="FE12" s="30"/>
      <c r="FF12" s="30"/>
      <c r="FG12" s="30"/>
      <c r="FH12" s="30"/>
      <c r="FI12" s="30"/>
      <c r="FJ12" s="30"/>
      <c r="FK12" s="30"/>
      <c r="FL12" s="30" t="s">
        <v>214</v>
      </c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 t="n">
        <f aca="false">SUM(N12:GW12)</f>
        <v>0</v>
      </c>
      <c r="GY12" s="36" t="n">
        <f aca="false">SUM(L12-GX12)</f>
        <v>192000</v>
      </c>
      <c r="GZ12" s="32" t="n">
        <f aca="false">SUM( H12/5)</f>
        <v>0</v>
      </c>
      <c r="HA12" s="32" t="n">
        <f aca="false">SUM( I12/5)</f>
        <v>12</v>
      </c>
      <c r="HB12" s="33" t="n">
        <f aca="false">SUM(GZ12/4)</f>
        <v>0</v>
      </c>
      <c r="HC12" s="33" t="n">
        <f aca="false">SUM(HA12/4)</f>
        <v>3</v>
      </c>
    </row>
    <row r="13" customFormat="false" ht="28.5" hidden="true" customHeight="true" outlineLevel="0" collapsed="false">
      <c r="A13" s="20" t="n">
        <v>3805</v>
      </c>
      <c r="B13" s="21" t="s">
        <v>230</v>
      </c>
      <c r="C13" s="21" t="s">
        <v>231</v>
      </c>
      <c r="D13" s="34"/>
      <c r="E13" s="25" t="n">
        <v>46186</v>
      </c>
      <c r="F13" s="25" t="n">
        <f aca="false">WORKDAY(E13,G13)</f>
        <v>46269</v>
      </c>
      <c r="G13" s="26" t="n">
        <v>60</v>
      </c>
      <c r="H13" s="27" t="n">
        <f aca="false">(GX13* 5)/M13</f>
        <v>0</v>
      </c>
      <c r="I13" s="27" t="n">
        <f aca="false">G13-H13</f>
        <v>60</v>
      </c>
      <c r="J13" s="35" t="s">
        <v>235</v>
      </c>
      <c r="K13" s="36" t="n">
        <v>100000</v>
      </c>
      <c r="L13" s="36" t="n">
        <v>192000</v>
      </c>
      <c r="M13" s="29" t="n">
        <f aca="false">(L13/G13)*5</f>
        <v>16000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 t="s">
        <v>214</v>
      </c>
      <c r="EL13" s="41"/>
      <c r="EM13" s="41" t="s">
        <v>214</v>
      </c>
      <c r="EN13" s="41" t="s">
        <v>214</v>
      </c>
      <c r="EO13" s="41"/>
      <c r="EP13" s="41"/>
      <c r="EQ13" s="30"/>
      <c r="ER13" s="30"/>
      <c r="ES13" s="30" t="s">
        <v>214</v>
      </c>
      <c r="ET13" s="30"/>
      <c r="EU13" s="30"/>
      <c r="EV13" s="30" t="s">
        <v>214</v>
      </c>
      <c r="EW13" s="30"/>
      <c r="EX13" s="30"/>
      <c r="EY13" s="30"/>
      <c r="EZ13" s="30"/>
      <c r="FA13" s="30"/>
      <c r="FB13" s="30"/>
      <c r="FC13" s="30" t="s">
        <v>214</v>
      </c>
      <c r="FD13" s="30"/>
      <c r="FE13" s="30"/>
      <c r="FF13" s="30"/>
      <c r="FG13" s="30"/>
      <c r="FH13" s="30"/>
      <c r="FI13" s="30"/>
      <c r="FJ13" s="30"/>
      <c r="FK13" s="30"/>
      <c r="FL13" s="30" t="s">
        <v>214</v>
      </c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 t="n">
        <f aca="false">SUM(N13:GW13)</f>
        <v>0</v>
      </c>
      <c r="GY13" s="36" t="n">
        <f aca="false">SUM(L13-GX13)</f>
        <v>192000</v>
      </c>
      <c r="GZ13" s="32" t="n">
        <f aca="false">SUM( H13/5)</f>
        <v>0</v>
      </c>
      <c r="HA13" s="32" t="n">
        <f aca="false">SUM( I13/5)</f>
        <v>12</v>
      </c>
      <c r="HB13" s="33" t="n">
        <f aca="false">SUM(GZ13/4)</f>
        <v>0</v>
      </c>
      <c r="HC13" s="33" t="n">
        <f aca="false">SUM(HA13/4)</f>
        <v>3</v>
      </c>
    </row>
    <row r="14" customFormat="false" ht="28.5" hidden="true" customHeight="true" outlineLevel="0" collapsed="false">
      <c r="A14" s="20" t="n">
        <v>3296</v>
      </c>
      <c r="B14" s="21" t="s">
        <v>236</v>
      </c>
      <c r="C14" s="21" t="s">
        <v>237</v>
      </c>
      <c r="D14" s="34"/>
      <c r="E14" s="25" t="n">
        <v>46013</v>
      </c>
      <c r="F14" s="25" t="n">
        <f aca="false">WORKDAY(E14,G14)</f>
        <v>46237</v>
      </c>
      <c r="G14" s="26" t="n">
        <v>160</v>
      </c>
      <c r="H14" s="27" t="n">
        <f aca="false">(GX14* 5)/M14</f>
        <v>103.888888888889</v>
      </c>
      <c r="I14" s="27" t="n">
        <f aca="false">G14-H14</f>
        <v>56.1111111111111</v>
      </c>
      <c r="J14" s="35" t="s">
        <v>238</v>
      </c>
      <c r="K14" s="36" t="n">
        <v>300000</v>
      </c>
      <c r="L14" s="36" t="n">
        <v>864000</v>
      </c>
      <c r="M14" s="37" t="n">
        <f aca="false">(L14/G14)*5</f>
        <v>27000</v>
      </c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 t="s">
        <v>214</v>
      </c>
      <c r="EL14" s="41"/>
      <c r="EM14" s="41" t="s">
        <v>214</v>
      </c>
      <c r="EN14" s="41" t="s">
        <v>214</v>
      </c>
      <c r="EO14" s="41"/>
      <c r="EP14" s="41"/>
      <c r="EQ14" s="30"/>
      <c r="ER14" s="30"/>
      <c r="ES14" s="30" t="s">
        <v>214</v>
      </c>
      <c r="ET14" s="30"/>
      <c r="EU14" s="30"/>
      <c r="EV14" s="30" t="s">
        <v>214</v>
      </c>
      <c r="EW14" s="30"/>
      <c r="EX14" s="30"/>
      <c r="EY14" s="30"/>
      <c r="EZ14" s="30"/>
      <c r="FA14" s="30"/>
      <c r="FB14" s="30"/>
      <c r="FC14" s="30" t="s">
        <v>214</v>
      </c>
      <c r="FD14" s="30"/>
      <c r="FE14" s="30"/>
      <c r="FF14" s="30"/>
      <c r="FG14" s="30"/>
      <c r="FH14" s="30"/>
      <c r="FI14" s="30"/>
      <c r="FJ14" s="30"/>
      <c r="FK14" s="30"/>
      <c r="FL14" s="30" t="s">
        <v>214</v>
      </c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 t="n">
        <v>9000</v>
      </c>
      <c r="GA14" s="30"/>
      <c r="GB14" s="30"/>
      <c r="GC14" s="30"/>
      <c r="GD14" s="30" t="n">
        <v>30000</v>
      </c>
      <c r="GE14" s="30"/>
      <c r="GF14" s="30" t="n">
        <v>100000</v>
      </c>
      <c r="GG14" s="30"/>
      <c r="GH14" s="30" t="n">
        <v>90000</v>
      </c>
      <c r="GI14" s="30"/>
      <c r="GJ14" s="30"/>
      <c r="GK14" s="30" t="n">
        <v>100000</v>
      </c>
      <c r="GL14" s="30"/>
      <c r="GM14" s="30"/>
      <c r="GN14" s="30"/>
      <c r="GO14" s="30" t="n">
        <v>110000</v>
      </c>
      <c r="GP14" s="30"/>
      <c r="GQ14" s="30"/>
      <c r="GR14" s="30"/>
      <c r="GS14" s="30" t="n">
        <v>14000</v>
      </c>
      <c r="GT14" s="30"/>
      <c r="GU14" s="30"/>
      <c r="GV14" s="30"/>
      <c r="GW14" s="30" t="n">
        <v>108000</v>
      </c>
      <c r="GX14" s="30" t="n">
        <f aca="false">SUM(N14:GW14)</f>
        <v>561000</v>
      </c>
      <c r="GY14" s="36" t="n">
        <f aca="false">SUM(L14-GX14)</f>
        <v>303000</v>
      </c>
      <c r="GZ14" s="32" t="n">
        <f aca="false">SUM( H14/5)</f>
        <v>20.7777777777778</v>
      </c>
      <c r="HA14" s="32" t="n">
        <f aca="false">SUM( I14/5)</f>
        <v>11.2222222222222</v>
      </c>
      <c r="HB14" s="33" t="n">
        <f aca="false">SUM(GZ14/4)</f>
        <v>5.19444444444445</v>
      </c>
      <c r="HC14" s="33" t="n">
        <f aca="false">SUM(HA14/4)</f>
        <v>2.80555555555556</v>
      </c>
    </row>
    <row r="15" customFormat="false" ht="28.5" hidden="true" customHeight="true" outlineLevel="0" collapsed="false">
      <c r="A15" s="20" t="n">
        <v>3759</v>
      </c>
      <c r="B15" s="21" t="s">
        <v>236</v>
      </c>
      <c r="C15" s="21" t="s">
        <v>237</v>
      </c>
      <c r="D15" s="34"/>
      <c r="E15" s="25" t="n">
        <v>46153</v>
      </c>
      <c r="F15" s="25" t="n">
        <f aca="false">WORKDAY(E15,G15)</f>
        <v>46265</v>
      </c>
      <c r="G15" s="26" t="n">
        <v>80</v>
      </c>
      <c r="H15" s="27" t="n">
        <f aca="false">(GX15* 5)/M15</f>
        <v>21.1111111111111</v>
      </c>
      <c r="I15" s="27" t="n">
        <f aca="false">G15-H15</f>
        <v>58.8888888888889</v>
      </c>
      <c r="J15" s="35" t="s">
        <v>239</v>
      </c>
      <c r="K15" s="39" t="n">
        <v>400000</v>
      </c>
      <c r="L15" s="36" t="n">
        <v>864000</v>
      </c>
      <c r="M15" s="37" t="n">
        <f aca="false">(L15/G15)*5</f>
        <v>54000</v>
      </c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 t="s">
        <v>214</v>
      </c>
      <c r="EL15" s="41"/>
      <c r="EM15" s="41" t="s">
        <v>214</v>
      </c>
      <c r="EN15" s="41" t="s">
        <v>214</v>
      </c>
      <c r="EO15" s="41"/>
      <c r="EP15" s="41"/>
      <c r="EQ15" s="30"/>
      <c r="ER15" s="30"/>
      <c r="ES15" s="30" t="s">
        <v>214</v>
      </c>
      <c r="ET15" s="30"/>
      <c r="EU15" s="30"/>
      <c r="EV15" s="30" t="s">
        <v>214</v>
      </c>
      <c r="EW15" s="30"/>
      <c r="EX15" s="30"/>
      <c r="EY15" s="30"/>
      <c r="EZ15" s="30"/>
      <c r="FA15" s="30"/>
      <c r="FB15" s="30"/>
      <c r="FC15" s="30" t="s">
        <v>214</v>
      </c>
      <c r="FD15" s="30"/>
      <c r="FE15" s="30"/>
      <c r="FF15" s="30"/>
      <c r="FG15" s="30"/>
      <c r="FH15" s="30"/>
      <c r="FI15" s="30"/>
      <c r="FJ15" s="30"/>
      <c r="FK15" s="30"/>
      <c r="FL15" s="30" t="s">
        <v>214</v>
      </c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 t="n">
        <v>216000</v>
      </c>
      <c r="GT15" s="30"/>
      <c r="GU15" s="30"/>
      <c r="GV15" s="30"/>
      <c r="GW15" s="30" t="n">
        <v>12000</v>
      </c>
      <c r="GX15" s="30" t="n">
        <f aca="false">SUM(N15:GW15)</f>
        <v>228000</v>
      </c>
      <c r="GY15" s="36" t="n">
        <f aca="false">SUM(L15-GX15)</f>
        <v>636000</v>
      </c>
      <c r="GZ15" s="32" t="n">
        <f aca="false">SUM( H15/5)</f>
        <v>4.22222222222222</v>
      </c>
      <c r="HA15" s="32" t="n">
        <f aca="false">SUM( I15/5)</f>
        <v>11.7777777777778</v>
      </c>
      <c r="HB15" s="33" t="n">
        <f aca="false">SUM(GZ15/4)</f>
        <v>1.05555555555556</v>
      </c>
      <c r="HC15" s="33" t="n">
        <f aca="false">SUM(HA15/4)</f>
        <v>2.94444444444444</v>
      </c>
    </row>
    <row r="16" customFormat="false" ht="28.5" hidden="true" customHeight="true" outlineLevel="0" collapsed="false">
      <c r="A16" s="26" t="n">
        <v>3634</v>
      </c>
      <c r="B16" s="21" t="s">
        <v>240</v>
      </c>
      <c r="C16" s="21" t="s">
        <v>241</v>
      </c>
      <c r="D16" s="34"/>
      <c r="E16" s="25" t="n">
        <v>46062</v>
      </c>
      <c r="F16" s="25" t="n">
        <f aca="false">WORKDAY(E16,G16)</f>
        <v>46162</v>
      </c>
      <c r="G16" s="26" t="n">
        <v>72</v>
      </c>
      <c r="H16" s="27" t="n">
        <f aca="false">(GX16* 5)/M16</f>
        <v>72</v>
      </c>
      <c r="I16" s="27" t="n">
        <f aca="false">G16-H16</f>
        <v>0</v>
      </c>
      <c r="J16" s="22" t="s">
        <v>242</v>
      </c>
      <c r="K16" s="36" t="n">
        <v>250000</v>
      </c>
      <c r="L16" s="36" t="n">
        <v>540000</v>
      </c>
      <c r="M16" s="37" t="n">
        <f aca="false">(L16/G16)*5</f>
        <v>37500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 t="s">
        <v>214</v>
      </c>
      <c r="EL16" s="41"/>
      <c r="EM16" s="41" t="s">
        <v>214</v>
      </c>
      <c r="EN16" s="41" t="s">
        <v>214</v>
      </c>
      <c r="EO16" s="41"/>
      <c r="EP16" s="41"/>
      <c r="EQ16" s="30"/>
      <c r="ER16" s="30"/>
      <c r="ES16" s="30" t="s">
        <v>214</v>
      </c>
      <c r="ET16" s="30"/>
      <c r="EU16" s="30"/>
      <c r="EV16" s="30" t="s">
        <v>214</v>
      </c>
      <c r="EW16" s="30"/>
      <c r="EX16" s="30"/>
      <c r="EY16" s="30"/>
      <c r="EZ16" s="30"/>
      <c r="FA16" s="30"/>
      <c r="FB16" s="30"/>
      <c r="FC16" s="30" t="s">
        <v>214</v>
      </c>
      <c r="FD16" s="30"/>
      <c r="FE16" s="30"/>
      <c r="FF16" s="30"/>
      <c r="FG16" s="30"/>
      <c r="FH16" s="30"/>
      <c r="FI16" s="30"/>
      <c r="FJ16" s="30"/>
      <c r="FK16" s="30"/>
      <c r="FL16" s="30" t="s">
        <v>214</v>
      </c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 t="n">
        <v>33000</v>
      </c>
      <c r="GH16" s="30" t="n">
        <v>33000</v>
      </c>
      <c r="GI16" s="30" t="n">
        <v>33000</v>
      </c>
      <c r="GJ16" s="30"/>
      <c r="GK16" s="30" t="n">
        <v>32000</v>
      </c>
      <c r="GL16" s="30" t="n">
        <v>28700</v>
      </c>
      <c r="GM16" s="30" t="n">
        <v>37500</v>
      </c>
      <c r="GN16" s="30" t="n">
        <v>37500</v>
      </c>
      <c r="GO16" s="30" t="n">
        <v>37500</v>
      </c>
      <c r="GP16" s="30" t="n">
        <v>35500</v>
      </c>
      <c r="GQ16" s="30" t="n">
        <v>37500</v>
      </c>
      <c r="GR16" s="30" t="n">
        <v>25500</v>
      </c>
      <c r="GS16" s="30" t="n">
        <v>37500</v>
      </c>
      <c r="GT16" s="30" t="n">
        <v>37500</v>
      </c>
      <c r="GU16" s="30" t="n">
        <v>37500</v>
      </c>
      <c r="GV16" s="30" t="n">
        <v>37500</v>
      </c>
      <c r="GW16" s="30" t="n">
        <v>19300</v>
      </c>
      <c r="GX16" s="30" t="n">
        <f aca="false">SUM(N16:GW16)</f>
        <v>540000</v>
      </c>
      <c r="GY16" s="36" t="n">
        <f aca="false">SUM(L16-GX16)</f>
        <v>0</v>
      </c>
      <c r="GZ16" s="32" t="n">
        <f aca="false">SUM( H16/5)</f>
        <v>14.4</v>
      </c>
      <c r="HA16" s="32" t="n">
        <f aca="false">SUM( I16/5)</f>
        <v>0</v>
      </c>
      <c r="HB16" s="33" t="n">
        <f aca="false">SUM(GZ16/4)</f>
        <v>3.6</v>
      </c>
      <c r="HC16" s="33" t="n">
        <f aca="false">SUM(HA16/4)</f>
        <v>0</v>
      </c>
    </row>
    <row r="17" customFormat="false" ht="28.5" hidden="true" customHeight="true" outlineLevel="0" collapsed="false">
      <c r="A17" s="26" t="n">
        <v>3718</v>
      </c>
      <c r="B17" s="21" t="s">
        <v>240</v>
      </c>
      <c r="C17" s="21" t="s">
        <v>241</v>
      </c>
      <c r="D17" s="34"/>
      <c r="E17" s="25" t="n">
        <v>46123</v>
      </c>
      <c r="F17" s="25" t="n">
        <f aca="false">WORKDAY(E17,G17)</f>
        <v>46224</v>
      </c>
      <c r="G17" s="26" t="n">
        <v>72</v>
      </c>
      <c r="H17" s="27" t="n">
        <f aca="false">(GX17* 5)/M17</f>
        <v>32.2933333333333</v>
      </c>
      <c r="I17" s="27" t="n">
        <f aca="false">G17-H17</f>
        <v>39.7066666666667</v>
      </c>
      <c r="J17" s="22" t="s">
        <v>242</v>
      </c>
      <c r="K17" s="31" t="n">
        <v>250000</v>
      </c>
      <c r="L17" s="31" t="n">
        <v>540000</v>
      </c>
      <c r="M17" s="37" t="n">
        <f aca="false">(L17/G17)*5</f>
        <v>37500</v>
      </c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 t="s">
        <v>214</v>
      </c>
      <c r="EL17" s="41"/>
      <c r="EM17" s="41" t="s">
        <v>214</v>
      </c>
      <c r="EN17" s="41" t="s">
        <v>214</v>
      </c>
      <c r="EO17" s="41"/>
      <c r="EP17" s="41"/>
      <c r="EQ17" s="30"/>
      <c r="ER17" s="30"/>
      <c r="ES17" s="30" t="s">
        <v>214</v>
      </c>
      <c r="ET17" s="30"/>
      <c r="EU17" s="30"/>
      <c r="EV17" s="30" t="s">
        <v>214</v>
      </c>
      <c r="EW17" s="30"/>
      <c r="EX17" s="30"/>
      <c r="EY17" s="30"/>
      <c r="EZ17" s="30"/>
      <c r="FA17" s="30"/>
      <c r="FB17" s="30"/>
      <c r="FC17" s="30" t="s">
        <v>214</v>
      </c>
      <c r="FD17" s="30"/>
      <c r="FE17" s="30"/>
      <c r="FF17" s="30"/>
      <c r="FG17" s="30"/>
      <c r="FH17" s="30"/>
      <c r="FI17" s="30"/>
      <c r="FJ17" s="30"/>
      <c r="FK17" s="30"/>
      <c r="FL17" s="30" t="s">
        <v>214</v>
      </c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 t="n">
        <v>37500</v>
      </c>
      <c r="GN17" s="30"/>
      <c r="GO17" s="30"/>
      <c r="GP17" s="30"/>
      <c r="GQ17" s="30" t="n">
        <v>37500</v>
      </c>
      <c r="GR17" s="30"/>
      <c r="GS17" s="30" t="n">
        <v>17200</v>
      </c>
      <c r="GT17" s="30" t="n">
        <v>37500</v>
      </c>
      <c r="GU17" s="30" t="n">
        <v>37500</v>
      </c>
      <c r="GV17" s="30" t="n">
        <v>37500</v>
      </c>
      <c r="GW17" s="30" t="n">
        <v>37500</v>
      </c>
      <c r="GX17" s="30" t="n">
        <f aca="false">SUM(N17:GW17)</f>
        <v>242200</v>
      </c>
      <c r="GY17" s="36" t="n">
        <f aca="false">SUM(L17-GX17)</f>
        <v>297800</v>
      </c>
      <c r="GZ17" s="32" t="n">
        <f aca="false">SUM( H17/5)</f>
        <v>6.45866666666667</v>
      </c>
      <c r="HA17" s="32" t="n">
        <f aca="false">SUM( I17/5)</f>
        <v>7.94133333333333</v>
      </c>
      <c r="HB17" s="33" t="n">
        <f aca="false">SUM(GZ17/4)</f>
        <v>1.61466666666667</v>
      </c>
      <c r="HC17" s="33" t="n">
        <f aca="false">SUM(HA17/4)</f>
        <v>1.98533333333333</v>
      </c>
    </row>
    <row r="18" customFormat="false" ht="28.5" hidden="true" customHeight="true" outlineLevel="0" collapsed="false">
      <c r="A18" s="26" t="n">
        <v>3777</v>
      </c>
      <c r="B18" s="21" t="s">
        <v>240</v>
      </c>
      <c r="C18" s="21" t="s">
        <v>241</v>
      </c>
      <c r="D18" s="34"/>
      <c r="E18" s="25" t="n">
        <v>46165</v>
      </c>
      <c r="F18" s="25" t="n">
        <f aca="false">WORKDAY(E18,G18)</f>
        <v>46266</v>
      </c>
      <c r="G18" s="26" t="n">
        <v>72</v>
      </c>
      <c r="H18" s="27" t="n">
        <f aca="false">(GX18* 5)/M18</f>
        <v>31.2222222222222</v>
      </c>
      <c r="I18" s="27" t="n">
        <f aca="false">G18-H18</f>
        <v>40.7777777777778</v>
      </c>
      <c r="J18" s="22" t="s">
        <v>243</v>
      </c>
      <c r="K18" s="31" t="n">
        <v>150000</v>
      </c>
      <c r="L18" s="31" t="n">
        <v>324000</v>
      </c>
      <c r="M18" s="37" t="n">
        <f aca="false">(L18/G18)*5</f>
        <v>22500</v>
      </c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 t="s">
        <v>214</v>
      </c>
      <c r="EL18" s="41"/>
      <c r="EM18" s="41" t="s">
        <v>214</v>
      </c>
      <c r="EN18" s="41" t="s">
        <v>214</v>
      </c>
      <c r="EO18" s="41"/>
      <c r="EP18" s="41"/>
      <c r="EQ18" s="30"/>
      <c r="ER18" s="30"/>
      <c r="ES18" s="30" t="s">
        <v>214</v>
      </c>
      <c r="ET18" s="30"/>
      <c r="EU18" s="30"/>
      <c r="EV18" s="30" t="s">
        <v>214</v>
      </c>
      <c r="EW18" s="30"/>
      <c r="EX18" s="30"/>
      <c r="EY18" s="30"/>
      <c r="EZ18" s="30"/>
      <c r="FA18" s="30"/>
      <c r="FB18" s="30"/>
      <c r="FC18" s="30" t="s">
        <v>214</v>
      </c>
      <c r="FD18" s="30"/>
      <c r="FE18" s="30"/>
      <c r="FF18" s="30"/>
      <c r="FG18" s="30"/>
      <c r="FH18" s="30"/>
      <c r="FI18" s="30"/>
      <c r="FJ18" s="30"/>
      <c r="FK18" s="30"/>
      <c r="FL18" s="30" t="s">
        <v>214</v>
      </c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 t="n">
        <v>45000</v>
      </c>
      <c r="GT18" s="30" t="n">
        <v>23000</v>
      </c>
      <c r="GU18" s="30" t="n">
        <v>27500</v>
      </c>
      <c r="GV18" s="30" t="n">
        <v>22500</v>
      </c>
      <c r="GW18" s="30" t="n">
        <v>22500</v>
      </c>
      <c r="GX18" s="30" t="n">
        <f aca="false">SUM(N18:GW18)</f>
        <v>140500</v>
      </c>
      <c r="GY18" s="36" t="n">
        <f aca="false">SUM(L18-GX18)</f>
        <v>183500</v>
      </c>
      <c r="GZ18" s="32" t="n">
        <f aca="false">SUM( H18/5)</f>
        <v>6.24444444444444</v>
      </c>
      <c r="HA18" s="32" t="n">
        <f aca="false">SUM( I18/5)</f>
        <v>8.15555555555556</v>
      </c>
      <c r="HB18" s="33" t="n">
        <f aca="false">SUM(GZ18/4)</f>
        <v>1.56111111111111</v>
      </c>
      <c r="HC18" s="33" t="n">
        <f aca="false">SUM(HA18/4)</f>
        <v>2.03888888888889</v>
      </c>
    </row>
    <row r="19" customFormat="false" ht="28.5" hidden="true" customHeight="true" outlineLevel="0" collapsed="false">
      <c r="A19" s="26" t="n">
        <v>3795</v>
      </c>
      <c r="B19" s="21" t="s">
        <v>240</v>
      </c>
      <c r="C19" s="21" t="s">
        <v>241</v>
      </c>
      <c r="D19" s="34"/>
      <c r="E19" s="25" t="n">
        <v>46179</v>
      </c>
      <c r="F19" s="25" t="n">
        <f aca="false">WORKDAY(E19,G19)</f>
        <v>46280</v>
      </c>
      <c r="G19" s="26" t="n">
        <v>72</v>
      </c>
      <c r="H19" s="27" t="n">
        <f aca="false">(GX19* 5)/M19</f>
        <v>20.4166666666667</v>
      </c>
      <c r="I19" s="27" t="n">
        <f aca="false">G19-H19</f>
        <v>51.5833333333333</v>
      </c>
      <c r="J19" s="22" t="s">
        <v>244</v>
      </c>
      <c r="K19" s="36" t="n">
        <v>200000</v>
      </c>
      <c r="L19" s="36" t="n">
        <v>432000</v>
      </c>
      <c r="M19" s="37" t="n">
        <f aca="false">(L19/G19)*5</f>
        <v>30000</v>
      </c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 t="s">
        <v>214</v>
      </c>
      <c r="EL19" s="41"/>
      <c r="EM19" s="41" t="s">
        <v>214</v>
      </c>
      <c r="EN19" s="41" t="s">
        <v>214</v>
      </c>
      <c r="EO19" s="41"/>
      <c r="EP19" s="41"/>
      <c r="EQ19" s="30"/>
      <c r="ER19" s="30"/>
      <c r="ES19" s="30" t="s">
        <v>214</v>
      </c>
      <c r="ET19" s="30"/>
      <c r="EU19" s="30"/>
      <c r="EV19" s="30" t="s">
        <v>214</v>
      </c>
      <c r="EW19" s="30"/>
      <c r="EX19" s="30"/>
      <c r="EY19" s="30"/>
      <c r="EZ19" s="30"/>
      <c r="FA19" s="30"/>
      <c r="FB19" s="30"/>
      <c r="FC19" s="30" t="s">
        <v>214</v>
      </c>
      <c r="FD19" s="30"/>
      <c r="FE19" s="30"/>
      <c r="FF19" s="30"/>
      <c r="FG19" s="30"/>
      <c r="FH19" s="30"/>
      <c r="FI19" s="30"/>
      <c r="FJ19" s="30"/>
      <c r="FK19" s="30"/>
      <c r="FL19" s="30" t="s">
        <v>214</v>
      </c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 t="n">
        <v>30000</v>
      </c>
      <c r="GU19" s="30" t="n">
        <v>30000</v>
      </c>
      <c r="GV19" s="30" t="n">
        <v>32500</v>
      </c>
      <c r="GW19" s="30" t="n">
        <v>30000</v>
      </c>
      <c r="GX19" s="30" t="n">
        <f aca="false">SUM(N19:GW19)</f>
        <v>122500</v>
      </c>
      <c r="GY19" s="36" t="n">
        <f aca="false">SUM(L19-GX19)</f>
        <v>309500</v>
      </c>
      <c r="GZ19" s="32" t="n">
        <f aca="false">SUM( H19/5)</f>
        <v>4.08333333333333</v>
      </c>
      <c r="HA19" s="32" t="n">
        <f aca="false">SUM( I19/5)</f>
        <v>10.3166666666667</v>
      </c>
      <c r="HB19" s="33" t="n">
        <f aca="false">SUM(GZ19/4)</f>
        <v>1.02083333333333</v>
      </c>
      <c r="HC19" s="33" t="n">
        <f aca="false">SUM(HA19/4)</f>
        <v>2.57916666666667</v>
      </c>
    </row>
    <row r="20" customFormat="false" ht="28.5" hidden="true" customHeight="true" outlineLevel="0" collapsed="false">
      <c r="A20" s="26" t="n">
        <v>3814</v>
      </c>
      <c r="B20" s="21" t="s">
        <v>240</v>
      </c>
      <c r="C20" s="21" t="s">
        <v>241</v>
      </c>
      <c r="D20" s="34"/>
      <c r="E20" s="25" t="n">
        <v>46193</v>
      </c>
      <c r="F20" s="25" t="n">
        <f aca="false">WORKDAY(E20,G20)</f>
        <v>46294</v>
      </c>
      <c r="G20" s="26" t="n">
        <v>72</v>
      </c>
      <c r="H20" s="27" t="n">
        <f aca="false">(GX20* 5)/M20</f>
        <v>4.52222222222222</v>
      </c>
      <c r="I20" s="27" t="n">
        <f aca="false">G20-H20</f>
        <v>67.4777777777778</v>
      </c>
      <c r="J20" s="22" t="s">
        <v>245</v>
      </c>
      <c r="K20" s="39" t="n">
        <v>300000</v>
      </c>
      <c r="L20" s="36" t="n">
        <v>648000</v>
      </c>
      <c r="M20" s="37" t="n">
        <f aca="false">(L20/G20)*5</f>
        <v>45000</v>
      </c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 t="s">
        <v>214</v>
      </c>
      <c r="EL20" s="41"/>
      <c r="EM20" s="41" t="s">
        <v>214</v>
      </c>
      <c r="EN20" s="41" t="s">
        <v>214</v>
      </c>
      <c r="EO20" s="41"/>
      <c r="EP20" s="41"/>
      <c r="EQ20" s="30"/>
      <c r="ER20" s="30"/>
      <c r="ES20" s="30" t="s">
        <v>214</v>
      </c>
      <c r="ET20" s="30"/>
      <c r="EU20" s="30"/>
      <c r="EV20" s="30" t="s">
        <v>214</v>
      </c>
      <c r="EW20" s="30"/>
      <c r="EX20" s="30"/>
      <c r="EY20" s="30"/>
      <c r="EZ20" s="30"/>
      <c r="FA20" s="30"/>
      <c r="FB20" s="30"/>
      <c r="FC20" s="30" t="s">
        <v>214</v>
      </c>
      <c r="FD20" s="30"/>
      <c r="FE20" s="30"/>
      <c r="FF20" s="30"/>
      <c r="FG20" s="30"/>
      <c r="FH20" s="30"/>
      <c r="FI20" s="30"/>
      <c r="FJ20" s="30"/>
      <c r="FK20" s="30"/>
      <c r="FL20" s="30" t="s">
        <v>214</v>
      </c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 t="n">
        <v>40700</v>
      </c>
      <c r="GX20" s="30" t="n">
        <f aca="false">SUM(N20:GW20)</f>
        <v>40700</v>
      </c>
      <c r="GY20" s="36" t="n">
        <f aca="false">SUM(L20-GX20)</f>
        <v>607300</v>
      </c>
      <c r="GZ20" s="32" t="n">
        <f aca="false">SUM( H20/5)</f>
        <v>0.904444444444444</v>
      </c>
      <c r="HA20" s="32" t="n">
        <f aca="false">SUM( I20/5)</f>
        <v>13.4955555555556</v>
      </c>
      <c r="HB20" s="33" t="n">
        <f aca="false">SUM(GZ20/4)</f>
        <v>0.226111111111111</v>
      </c>
      <c r="HC20" s="33" t="n">
        <f aca="false">SUM(HA20/4)</f>
        <v>3.37388888888889</v>
      </c>
    </row>
    <row r="21" customFormat="false" ht="33" hidden="true" customHeight="true" outlineLevel="0" collapsed="false">
      <c r="A21" s="26" t="n">
        <v>3797</v>
      </c>
      <c r="B21" s="21" t="s">
        <v>246</v>
      </c>
      <c r="C21" s="21" t="s">
        <v>247</v>
      </c>
      <c r="D21" s="34"/>
      <c r="E21" s="25" t="n">
        <v>46181</v>
      </c>
      <c r="F21" s="25" t="n">
        <f aca="false">WORKDAY(E21,G21)</f>
        <v>46293</v>
      </c>
      <c r="G21" s="26" t="n">
        <v>80</v>
      </c>
      <c r="H21" s="42" t="n">
        <f aca="false">(GX21* 5)/M21</f>
        <v>0</v>
      </c>
      <c r="I21" s="42" t="n">
        <f aca="false">G21-H21</f>
        <v>80</v>
      </c>
      <c r="J21" s="35" t="s">
        <v>248</v>
      </c>
      <c r="K21" s="36" t="n">
        <v>250000</v>
      </c>
      <c r="L21" s="36" t="n">
        <v>540000</v>
      </c>
      <c r="M21" s="37" t="n">
        <f aca="false">(L21/G21)*5</f>
        <v>33750</v>
      </c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 t="s">
        <v>214</v>
      </c>
      <c r="EL21" s="41"/>
      <c r="EM21" s="41" t="s">
        <v>214</v>
      </c>
      <c r="EN21" s="41" t="s">
        <v>214</v>
      </c>
      <c r="EO21" s="41"/>
      <c r="EP21" s="41"/>
      <c r="EQ21" s="30"/>
      <c r="ER21" s="30"/>
      <c r="ES21" s="30" t="s">
        <v>214</v>
      </c>
      <c r="ET21" s="30"/>
      <c r="EU21" s="30"/>
      <c r="EV21" s="30" t="s">
        <v>214</v>
      </c>
      <c r="EW21" s="30"/>
      <c r="EX21" s="30"/>
      <c r="EY21" s="30"/>
      <c r="EZ21" s="30"/>
      <c r="FA21" s="30"/>
      <c r="FB21" s="30"/>
      <c r="FC21" s="30" t="s">
        <v>214</v>
      </c>
      <c r="FD21" s="30"/>
      <c r="FE21" s="30"/>
      <c r="FF21" s="30"/>
      <c r="FG21" s="30"/>
      <c r="FH21" s="30"/>
      <c r="FI21" s="30"/>
      <c r="FJ21" s="30"/>
      <c r="FK21" s="30"/>
      <c r="FL21" s="30" t="s">
        <v>214</v>
      </c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 t="n">
        <f aca="false">SUM(N21:GW21)</f>
        <v>0</v>
      </c>
      <c r="GY21" s="36" t="n">
        <f aca="false">SUM(L21-GX21)</f>
        <v>540000</v>
      </c>
      <c r="GZ21" s="32" t="n">
        <f aca="false">SUM( H21/5)</f>
        <v>0</v>
      </c>
      <c r="HA21" s="32" t="n">
        <f aca="false">SUM( I21/5)</f>
        <v>16</v>
      </c>
      <c r="HB21" s="33" t="n">
        <f aca="false">SUM(GZ21/4)</f>
        <v>0</v>
      </c>
      <c r="HC21" s="33" t="n">
        <f aca="false">SUM(HA21/4)</f>
        <v>4</v>
      </c>
    </row>
    <row r="22" customFormat="false" ht="28.5" hidden="true" customHeight="true" outlineLevel="0" collapsed="false">
      <c r="A22" s="26" t="n">
        <v>3139</v>
      </c>
      <c r="B22" s="21" t="s">
        <v>249</v>
      </c>
      <c r="C22" s="21" t="s">
        <v>250</v>
      </c>
      <c r="D22" s="34" t="n">
        <v>27252034574</v>
      </c>
      <c r="E22" s="25" t="n">
        <v>46019</v>
      </c>
      <c r="F22" s="25" t="n">
        <f aca="false">WORKDAY(E22,G22)</f>
        <v>46119</v>
      </c>
      <c r="G22" s="26" t="n">
        <v>72</v>
      </c>
      <c r="H22" s="27" t="n">
        <f aca="false">(GX22* 5)/M22</f>
        <v>64.1215805471125</v>
      </c>
      <c r="I22" s="27" t="n">
        <f aca="false">G22-H22</f>
        <v>7.87841945288754</v>
      </c>
      <c r="J22" s="22" t="s">
        <v>243</v>
      </c>
      <c r="K22" s="39" t="n">
        <v>150000</v>
      </c>
      <c r="L22" s="36" t="n">
        <v>329000</v>
      </c>
      <c r="M22" s="43" t="n">
        <f aca="false">(L22/G22)*5</f>
        <v>22847.2222222222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 t="s">
        <v>214</v>
      </c>
      <c r="EL22" s="41"/>
      <c r="EM22" s="41" t="s">
        <v>214</v>
      </c>
      <c r="EN22" s="41" t="s">
        <v>214</v>
      </c>
      <c r="EO22" s="41"/>
      <c r="EP22" s="41"/>
      <c r="EQ22" s="30"/>
      <c r="ER22" s="30"/>
      <c r="ES22" s="30" t="s">
        <v>214</v>
      </c>
      <c r="ET22" s="30"/>
      <c r="EU22" s="30"/>
      <c r="EV22" s="30" t="s">
        <v>214</v>
      </c>
      <c r="EW22" s="30"/>
      <c r="EX22" s="30"/>
      <c r="EY22" s="30"/>
      <c r="EZ22" s="30"/>
      <c r="FA22" s="30"/>
      <c r="FB22" s="30"/>
      <c r="FC22" s="30" t="s">
        <v>214</v>
      </c>
      <c r="FD22" s="30"/>
      <c r="FE22" s="30"/>
      <c r="FF22" s="30"/>
      <c r="FG22" s="30"/>
      <c r="FH22" s="30"/>
      <c r="FI22" s="30"/>
      <c r="FJ22" s="30"/>
      <c r="FK22" s="30"/>
      <c r="FL22" s="30" t="s">
        <v>214</v>
      </c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 t="n">
        <v>22500</v>
      </c>
      <c r="FY22" s="30" t="n">
        <v>22500</v>
      </c>
      <c r="FZ22" s="30"/>
      <c r="GA22" s="30" t="n">
        <v>22500</v>
      </c>
      <c r="GB22" s="30"/>
      <c r="GC22" s="30"/>
      <c r="GD22" s="30" t="n">
        <v>45000</v>
      </c>
      <c r="GE22" s="30"/>
      <c r="GF22" s="30" t="n">
        <v>22500</v>
      </c>
      <c r="GG22" s="30"/>
      <c r="GH22" s="30" t="n">
        <v>22500</v>
      </c>
      <c r="GI22" s="30"/>
      <c r="GJ22" s="30"/>
      <c r="GK22" s="30"/>
      <c r="GL22" s="30" t="n">
        <v>22500</v>
      </c>
      <c r="GM22" s="30" t="n">
        <v>22500</v>
      </c>
      <c r="GN22" s="30"/>
      <c r="GO22" s="30" t="n">
        <v>23000</v>
      </c>
      <c r="GP22" s="30"/>
      <c r="GQ22" s="30"/>
      <c r="GR22" s="30"/>
      <c r="GS22" s="30"/>
      <c r="GT22" s="30"/>
      <c r="GU22" s="30" t="n">
        <v>22500</v>
      </c>
      <c r="GV22" s="30" t="n">
        <v>22500</v>
      </c>
      <c r="GW22" s="30" t="n">
        <v>22500</v>
      </c>
      <c r="GX22" s="30" t="n">
        <f aca="false">SUM(N22:GW22)</f>
        <v>293000</v>
      </c>
      <c r="GY22" s="36" t="n">
        <f aca="false">SUM(L22-GX22)</f>
        <v>36000</v>
      </c>
      <c r="GZ22" s="32" t="n">
        <f aca="false">SUM( H22/5)</f>
        <v>12.8243161094225</v>
      </c>
      <c r="HA22" s="32" t="n">
        <f aca="false">SUM( I22/5)</f>
        <v>1.57568389057751</v>
      </c>
      <c r="HB22" s="33" t="n">
        <f aca="false">SUM(GZ22/4)</f>
        <v>3.20607902735562</v>
      </c>
      <c r="HC22" s="33" t="n">
        <f aca="false">SUM(HA22/4)</f>
        <v>0.393920972644377</v>
      </c>
    </row>
    <row r="23" customFormat="false" ht="28.5" hidden="true" customHeight="true" outlineLevel="0" collapsed="false">
      <c r="A23" s="26" t="n">
        <v>3347</v>
      </c>
      <c r="B23" s="21" t="s">
        <v>251</v>
      </c>
      <c r="C23" s="21" t="s">
        <v>252</v>
      </c>
      <c r="D23" s="34" t="s">
        <v>253</v>
      </c>
      <c r="E23" s="25" t="n">
        <v>45750</v>
      </c>
      <c r="F23" s="25" t="n">
        <f aca="false">WORKDAY(E23,G23)</f>
        <v>45974</v>
      </c>
      <c r="G23" s="26" t="n">
        <v>160</v>
      </c>
      <c r="H23" s="27" t="n">
        <f aca="false">(GX23* 5)/M23</f>
        <v>130</v>
      </c>
      <c r="I23" s="27" t="n">
        <f aca="false">G23-H23</f>
        <v>30</v>
      </c>
      <c r="J23" s="35" t="s">
        <v>254</v>
      </c>
      <c r="K23" s="31" t="n">
        <v>300000</v>
      </c>
      <c r="L23" s="31" t="n">
        <v>900000</v>
      </c>
      <c r="M23" s="37" t="n">
        <f aca="false">(L23/G23)*5</f>
        <v>28125</v>
      </c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 t="s">
        <v>214</v>
      </c>
      <c r="EJ23" s="41"/>
      <c r="EK23" s="41" t="s">
        <v>214</v>
      </c>
      <c r="EL23" s="41"/>
      <c r="EM23" s="41"/>
      <c r="EN23" s="41"/>
      <c r="EO23" s="41"/>
      <c r="EP23" s="41" t="n">
        <v>112500</v>
      </c>
      <c r="EQ23" s="30"/>
      <c r="ER23" s="30"/>
      <c r="ES23" s="30"/>
      <c r="ET23" s="30"/>
      <c r="EU23" s="30"/>
      <c r="EV23" s="30"/>
      <c r="EW23" s="30" t="n">
        <v>112500</v>
      </c>
      <c r="EX23" s="30"/>
      <c r="EY23" s="30"/>
      <c r="EZ23" s="30"/>
      <c r="FA23" s="30"/>
      <c r="FB23" s="30" t="n">
        <v>112500</v>
      </c>
      <c r="FC23" s="30"/>
      <c r="FD23" s="30"/>
      <c r="FE23" s="30"/>
      <c r="FF23" s="30"/>
      <c r="FG23" s="30"/>
      <c r="FH23" s="30" t="n">
        <v>65650</v>
      </c>
      <c r="FI23" s="30"/>
      <c r="FJ23" s="30"/>
      <c r="FK23" s="30"/>
      <c r="FL23" s="30"/>
      <c r="FM23" s="30"/>
      <c r="FN23" s="30"/>
      <c r="FO23" s="30" t="n">
        <v>112500</v>
      </c>
      <c r="FP23" s="30"/>
      <c r="FQ23" s="30"/>
      <c r="FR23" s="30"/>
      <c r="FS23" s="30"/>
      <c r="FT23" s="30" t="n">
        <v>115600</v>
      </c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30"/>
      <c r="GT23" s="30"/>
      <c r="GU23" s="30"/>
      <c r="GV23" s="30" t="n">
        <v>100000</v>
      </c>
      <c r="GW23" s="30"/>
      <c r="GX23" s="30" t="n">
        <f aca="false">SUM(N23:GW23)</f>
        <v>731250</v>
      </c>
      <c r="GY23" s="36" t="n">
        <f aca="false">SUM(L23-GX23)</f>
        <v>168750</v>
      </c>
      <c r="GZ23" s="32" t="n">
        <f aca="false">SUM( H23/5)</f>
        <v>26</v>
      </c>
      <c r="HA23" s="32" t="n">
        <f aca="false">SUM( I23/5)</f>
        <v>6</v>
      </c>
      <c r="HB23" s="33" t="n">
        <f aca="false">SUM(GZ23/4)</f>
        <v>6.5</v>
      </c>
      <c r="HC23" s="33" t="n">
        <f aca="false">SUM(HA23/4)</f>
        <v>1.5</v>
      </c>
    </row>
    <row r="24" customFormat="false" ht="28.5" hidden="true" customHeight="true" outlineLevel="0" collapsed="false">
      <c r="A24" s="26" t="n">
        <v>3538</v>
      </c>
      <c r="B24" s="21" t="s">
        <v>251</v>
      </c>
      <c r="C24" s="21" t="s">
        <v>252</v>
      </c>
      <c r="D24" s="34" t="s">
        <v>253</v>
      </c>
      <c r="E24" s="25" t="n">
        <v>45878</v>
      </c>
      <c r="F24" s="25" t="n">
        <f aca="false">WORKDAY(E24,G24)</f>
        <v>46157</v>
      </c>
      <c r="G24" s="26" t="n">
        <v>200</v>
      </c>
      <c r="H24" s="27" t="n">
        <f aca="false">(GX24* 5)/M24</f>
        <v>3.40384615384615</v>
      </c>
      <c r="I24" s="27" t="n">
        <f aca="false">G24-H24</f>
        <v>196.596153846154</v>
      </c>
      <c r="J24" s="35" t="s">
        <v>255</v>
      </c>
      <c r="K24" s="36" t="n">
        <v>1000000</v>
      </c>
      <c r="L24" s="36" t="n">
        <v>3120000</v>
      </c>
      <c r="M24" s="37" t="n">
        <f aca="false">(L24/G24)*5</f>
        <v>78000</v>
      </c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 t="s">
        <v>214</v>
      </c>
      <c r="EL24" s="41"/>
      <c r="EM24" s="41" t="s">
        <v>214</v>
      </c>
      <c r="EN24" s="41" t="s">
        <v>214</v>
      </c>
      <c r="EO24" s="41"/>
      <c r="EP24" s="41"/>
      <c r="EQ24" s="30"/>
      <c r="ER24" s="30"/>
      <c r="ES24" s="30" t="s">
        <v>214</v>
      </c>
      <c r="ET24" s="30"/>
      <c r="EU24" s="30"/>
      <c r="EV24" s="30" t="s">
        <v>214</v>
      </c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 t="n">
        <v>53100</v>
      </c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 t="n">
        <f aca="false">SUM(N24:GW24)</f>
        <v>53100</v>
      </c>
      <c r="GY24" s="36" t="n">
        <f aca="false">SUM(L24-GX24)</f>
        <v>3066900</v>
      </c>
      <c r="GZ24" s="32" t="n">
        <f aca="false">SUM( H24/5)</f>
        <v>0.680769230769231</v>
      </c>
      <c r="HA24" s="32" t="n">
        <f aca="false">SUM( I24/5)</f>
        <v>39.3192307692308</v>
      </c>
      <c r="HB24" s="33" t="n">
        <f aca="false">SUM(GZ24/4)</f>
        <v>0.170192307692308</v>
      </c>
      <c r="HC24" s="33" t="n">
        <f aca="false">SUM(HA24/4)</f>
        <v>9.82980769230769</v>
      </c>
      <c r="HE24" s="1" t="s">
        <v>214</v>
      </c>
    </row>
    <row r="25" customFormat="false" ht="28.5" hidden="true" customHeight="false" outlineLevel="0" collapsed="false">
      <c r="A25" s="26" t="n">
        <v>3551</v>
      </c>
      <c r="B25" s="21" t="s">
        <v>256</v>
      </c>
      <c r="C25" s="21" t="s">
        <v>257</v>
      </c>
      <c r="D25" s="34"/>
      <c r="E25" s="25" t="n">
        <v>46003</v>
      </c>
      <c r="F25" s="25" t="n">
        <f aca="false">WORKDAY(E25,G25)</f>
        <v>46227</v>
      </c>
      <c r="G25" s="26" t="n">
        <v>160</v>
      </c>
      <c r="H25" s="27" t="n">
        <f aca="false">(GX25* 5)/M25</f>
        <v>120</v>
      </c>
      <c r="I25" s="27" t="n">
        <f aca="false">G25-H25</f>
        <v>40</v>
      </c>
      <c r="J25" s="22" t="s">
        <v>258</v>
      </c>
      <c r="K25" s="36" t="n">
        <v>500000</v>
      </c>
      <c r="L25" s="36" t="n">
        <v>1440000</v>
      </c>
      <c r="M25" s="37" t="n">
        <f aca="false">(L25/G25)*5</f>
        <v>45000</v>
      </c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 t="s">
        <v>214</v>
      </c>
      <c r="EL25" s="41"/>
      <c r="EM25" s="41" t="s">
        <v>214</v>
      </c>
      <c r="EN25" s="41" t="s">
        <v>214</v>
      </c>
      <c r="EO25" s="41"/>
      <c r="EP25" s="41"/>
      <c r="EQ25" s="30"/>
      <c r="ER25" s="30"/>
      <c r="ES25" s="30" t="s">
        <v>214</v>
      </c>
      <c r="ET25" s="30"/>
      <c r="EU25" s="30"/>
      <c r="EV25" s="30" t="s">
        <v>214</v>
      </c>
      <c r="EW25" s="30"/>
      <c r="EX25" s="30"/>
      <c r="EY25" s="30"/>
      <c r="EZ25" s="30"/>
      <c r="FA25" s="30"/>
      <c r="FB25" s="30"/>
      <c r="FC25" s="30" t="s">
        <v>214</v>
      </c>
      <c r="FD25" s="30"/>
      <c r="FE25" s="30"/>
      <c r="FF25" s="30"/>
      <c r="FG25" s="30"/>
      <c r="FH25" s="30"/>
      <c r="FI25" s="30"/>
      <c r="FJ25" s="30"/>
      <c r="FK25" s="30"/>
      <c r="FL25" s="30" t="s">
        <v>214</v>
      </c>
      <c r="FM25" s="30"/>
      <c r="FN25" s="30"/>
      <c r="FO25" s="30"/>
      <c r="FP25" s="30"/>
      <c r="FQ25" s="30"/>
      <c r="FR25" s="30"/>
      <c r="FS25" s="30"/>
      <c r="FT25" s="30"/>
      <c r="FU25" s="30" t="n">
        <v>45000</v>
      </c>
      <c r="FV25" s="30" t="n">
        <v>45000</v>
      </c>
      <c r="FW25" s="30" t="n">
        <v>45000</v>
      </c>
      <c r="FX25" s="30" t="n">
        <v>45000</v>
      </c>
      <c r="FY25" s="30" t="n">
        <v>45000</v>
      </c>
      <c r="FZ25" s="30" t="n">
        <v>45000</v>
      </c>
      <c r="GA25" s="30" t="n">
        <v>45000</v>
      </c>
      <c r="GB25" s="30" t="n">
        <v>45000</v>
      </c>
      <c r="GC25" s="30"/>
      <c r="GD25" s="30" t="n">
        <v>90000</v>
      </c>
      <c r="GE25" s="30" t="n">
        <v>45000</v>
      </c>
      <c r="GF25" s="30" t="n">
        <v>45000</v>
      </c>
      <c r="GG25" s="30" t="n">
        <v>45000</v>
      </c>
      <c r="GH25" s="30"/>
      <c r="GI25" s="30" t="n">
        <v>90000</v>
      </c>
      <c r="GJ25" s="30"/>
      <c r="GK25" s="30" t="n">
        <v>45000</v>
      </c>
      <c r="GL25" s="30" t="n">
        <v>45000</v>
      </c>
      <c r="GM25" s="30" t="n">
        <v>45000</v>
      </c>
      <c r="GN25" s="30" t="n">
        <v>45000</v>
      </c>
      <c r="GO25" s="30"/>
      <c r="GP25" s="30" t="n">
        <v>45000</v>
      </c>
      <c r="GQ25" s="30"/>
      <c r="GR25" s="30" t="n">
        <v>45000</v>
      </c>
      <c r="GS25" s="30"/>
      <c r="GT25" s="30"/>
      <c r="GU25" s="30" t="n">
        <v>45000</v>
      </c>
      <c r="GV25" s="30" t="n">
        <v>45000</v>
      </c>
      <c r="GW25" s="30" t="n">
        <v>45000</v>
      </c>
      <c r="GX25" s="30" t="n">
        <f aca="false">SUM(N25:GW25)</f>
        <v>1080000</v>
      </c>
      <c r="GY25" s="36" t="n">
        <f aca="false">SUM(L25-GX25)</f>
        <v>360000</v>
      </c>
      <c r="GZ25" s="32" t="n">
        <f aca="false">SUM( H25/5)</f>
        <v>24</v>
      </c>
      <c r="HA25" s="32" t="n">
        <f aca="false">SUM( I25/5)</f>
        <v>8</v>
      </c>
      <c r="HB25" s="33" t="n">
        <f aca="false">SUM(GZ25/4)</f>
        <v>6</v>
      </c>
      <c r="HC25" s="33" t="n">
        <f aca="false">SUM(HA25/4)</f>
        <v>2</v>
      </c>
    </row>
    <row r="26" customFormat="false" ht="28.5" hidden="true" customHeight="false" outlineLevel="0" collapsed="false">
      <c r="A26" s="26" t="n">
        <v>3820</v>
      </c>
      <c r="B26" s="21" t="s">
        <v>256</v>
      </c>
      <c r="C26" s="21" t="s">
        <v>257</v>
      </c>
      <c r="D26" s="34"/>
      <c r="E26" s="25" t="n">
        <v>46198</v>
      </c>
      <c r="F26" s="25" t="n">
        <f aca="false">WORKDAY(E26,G26)</f>
        <v>46310</v>
      </c>
      <c r="G26" s="26" t="n">
        <v>80</v>
      </c>
      <c r="H26" s="27" t="n">
        <f aca="false">(GX26* 5)/M26</f>
        <v>0</v>
      </c>
      <c r="I26" s="27" t="n">
        <f aca="false">G26-H26</f>
        <v>80</v>
      </c>
      <c r="J26" s="22" t="s">
        <v>259</v>
      </c>
      <c r="K26" s="36" t="n">
        <v>100000</v>
      </c>
      <c r="L26" s="36" t="n">
        <v>216000</v>
      </c>
      <c r="M26" s="37" t="n">
        <f aca="false">(L26/G26)*5</f>
        <v>13500</v>
      </c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 t="s">
        <v>214</v>
      </c>
      <c r="EL26" s="41"/>
      <c r="EM26" s="41" t="s">
        <v>214</v>
      </c>
      <c r="EN26" s="41" t="s">
        <v>214</v>
      </c>
      <c r="EO26" s="41"/>
      <c r="EP26" s="41"/>
      <c r="EQ26" s="30"/>
      <c r="ER26" s="30"/>
      <c r="ES26" s="30" t="s">
        <v>214</v>
      </c>
      <c r="ET26" s="30"/>
      <c r="EU26" s="30"/>
      <c r="EV26" s="30" t="s">
        <v>214</v>
      </c>
      <c r="EW26" s="30"/>
      <c r="EX26" s="30"/>
      <c r="EY26" s="30"/>
      <c r="EZ26" s="30"/>
      <c r="FA26" s="30"/>
      <c r="FB26" s="30"/>
      <c r="FC26" s="30" t="s">
        <v>214</v>
      </c>
      <c r="FD26" s="30"/>
      <c r="FE26" s="30"/>
      <c r="FF26" s="30"/>
      <c r="FG26" s="30"/>
      <c r="FH26" s="30"/>
      <c r="FI26" s="30"/>
      <c r="FJ26" s="30"/>
      <c r="FK26" s="30"/>
      <c r="FL26" s="30" t="s">
        <v>214</v>
      </c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  <c r="GK26" s="30"/>
      <c r="GL26" s="30"/>
      <c r="GM26" s="30"/>
      <c r="GN26" s="30"/>
      <c r="GO26" s="30"/>
      <c r="GP26" s="30"/>
      <c r="GQ26" s="30"/>
      <c r="GR26" s="30"/>
      <c r="GS26" s="30"/>
      <c r="GT26" s="30"/>
      <c r="GU26" s="30"/>
      <c r="GV26" s="30"/>
      <c r="GW26" s="30"/>
      <c r="GX26" s="30" t="n">
        <f aca="false">SUM(N26:GW26)</f>
        <v>0</v>
      </c>
      <c r="GY26" s="36" t="n">
        <f aca="false">SUM(L26-GX26)</f>
        <v>216000</v>
      </c>
      <c r="GZ26" s="32" t="n">
        <f aca="false">SUM( H26/5)</f>
        <v>0</v>
      </c>
      <c r="HA26" s="32" t="n">
        <f aca="false">SUM( I26/5)</f>
        <v>16</v>
      </c>
      <c r="HB26" s="33" t="n">
        <f aca="false">SUM(GZ26/4)</f>
        <v>0</v>
      </c>
      <c r="HC26" s="33" t="n">
        <f aca="false">SUM(HA26/4)</f>
        <v>4</v>
      </c>
    </row>
    <row r="27" customFormat="false" ht="28.5" hidden="true" customHeight="false" outlineLevel="0" collapsed="false">
      <c r="A27" s="26" t="n">
        <v>3452</v>
      </c>
      <c r="B27" s="34" t="s">
        <v>260</v>
      </c>
      <c r="C27" s="34" t="s">
        <v>261</v>
      </c>
      <c r="D27" s="44"/>
      <c r="E27" s="25" t="n">
        <v>46014</v>
      </c>
      <c r="F27" s="25" t="n">
        <f aca="false">WORKDAY(E27,G27)</f>
        <v>46182</v>
      </c>
      <c r="G27" s="26" t="n">
        <v>120</v>
      </c>
      <c r="H27" s="27" t="n">
        <f aca="false">(GX27* 5)/M27</f>
        <v>82.7299783549784</v>
      </c>
      <c r="I27" s="27" t="n">
        <f aca="false">G27-H27</f>
        <v>37.2700216450216</v>
      </c>
      <c r="J27" s="38" t="s">
        <v>262</v>
      </c>
      <c r="K27" s="31" t="n">
        <v>3360000</v>
      </c>
      <c r="L27" s="31" t="n">
        <v>8870400</v>
      </c>
      <c r="M27" s="37" t="n">
        <f aca="false">(L27/G27)*5</f>
        <v>369600</v>
      </c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 t="s">
        <v>214</v>
      </c>
      <c r="EL27" s="41"/>
      <c r="EM27" s="41" t="s">
        <v>214</v>
      </c>
      <c r="EN27" s="41" t="s">
        <v>214</v>
      </c>
      <c r="EO27" s="41"/>
      <c r="EP27" s="41"/>
      <c r="EQ27" s="30"/>
      <c r="ER27" s="30"/>
      <c r="ES27" s="30" t="s">
        <v>214</v>
      </c>
      <c r="ET27" s="30"/>
      <c r="EU27" s="30"/>
      <c r="EV27" s="30" t="s">
        <v>214</v>
      </c>
      <c r="EW27" s="30"/>
      <c r="EX27" s="30"/>
      <c r="EY27" s="30"/>
      <c r="EZ27" s="30"/>
      <c r="FA27" s="30"/>
      <c r="FB27" s="30"/>
      <c r="FC27" s="30" t="s">
        <v>214</v>
      </c>
      <c r="FD27" s="30"/>
      <c r="FE27" s="30"/>
      <c r="FF27" s="30"/>
      <c r="FG27" s="30"/>
      <c r="FH27" s="30"/>
      <c r="FI27" s="30"/>
      <c r="FJ27" s="30"/>
      <c r="FK27" s="30"/>
      <c r="FL27" s="30" t="s">
        <v>214</v>
      </c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 t="n">
        <v>800000</v>
      </c>
      <c r="GB27" s="30" t="n">
        <v>678400</v>
      </c>
      <c r="GC27" s="30"/>
      <c r="GD27" s="30"/>
      <c r="GE27" s="30" t="n">
        <v>300000</v>
      </c>
      <c r="GF27" s="30" t="n">
        <v>600000</v>
      </c>
      <c r="GG27" s="30" t="n">
        <v>300000</v>
      </c>
      <c r="GH27" s="30" t="n">
        <v>210000</v>
      </c>
      <c r="GI27" s="30" t="n">
        <v>300000</v>
      </c>
      <c r="GJ27" s="30" t="n">
        <v>300000</v>
      </c>
      <c r="GK27" s="30" t="n">
        <v>500000</v>
      </c>
      <c r="GL27" s="30" t="n">
        <v>300000</v>
      </c>
      <c r="GM27" s="30"/>
      <c r="GN27" s="30" t="n">
        <v>149000</v>
      </c>
      <c r="GO27" s="30" t="n">
        <v>229000</v>
      </c>
      <c r="GP27" s="30"/>
      <c r="GQ27" s="30" t="n">
        <v>300000</v>
      </c>
      <c r="GR27" s="30" t="n">
        <v>300000</v>
      </c>
      <c r="GS27" s="30"/>
      <c r="GT27" s="30" t="n">
        <v>549000</v>
      </c>
      <c r="GU27" s="30"/>
      <c r="GV27" s="30"/>
      <c r="GW27" s="30" t="n">
        <v>300000</v>
      </c>
      <c r="GX27" s="30" t="n">
        <f aca="false">SUM(N27:GW27)</f>
        <v>6115400</v>
      </c>
      <c r="GY27" s="36" t="n">
        <f aca="false">SUM(L27-GX27)</f>
        <v>2755000</v>
      </c>
      <c r="GZ27" s="32" t="n">
        <f aca="false">SUM( H27/5)</f>
        <v>16.5459956709957</v>
      </c>
      <c r="HA27" s="32" t="n">
        <f aca="false">SUM( I27/5)</f>
        <v>7.45400432900433</v>
      </c>
      <c r="HB27" s="33" t="n">
        <f aca="false">SUM(GZ27/4)</f>
        <v>4.13649891774892</v>
      </c>
      <c r="HC27" s="33" t="n">
        <f aca="false">SUM(HA27/4)</f>
        <v>1.86350108225108</v>
      </c>
    </row>
    <row r="28" customFormat="false" ht="28.5" hidden="true" customHeight="false" outlineLevel="0" collapsed="false">
      <c r="A28" s="26" t="n">
        <v>3801</v>
      </c>
      <c r="B28" s="34" t="s">
        <v>260</v>
      </c>
      <c r="C28" s="34" t="s">
        <v>261</v>
      </c>
      <c r="D28" s="44"/>
      <c r="E28" s="25" t="n">
        <v>46183</v>
      </c>
      <c r="F28" s="25" t="n">
        <f aca="false">WORKDAY(E28,G28)</f>
        <v>46295</v>
      </c>
      <c r="G28" s="26" t="n">
        <v>80</v>
      </c>
      <c r="H28" s="27" t="n">
        <f aca="false">(GX28* 5)/M28</f>
        <v>0</v>
      </c>
      <c r="I28" s="27" t="n">
        <f aca="false">G28-H28</f>
        <v>80</v>
      </c>
      <c r="J28" s="38" t="s">
        <v>263</v>
      </c>
      <c r="K28" s="31" t="n">
        <v>1300000</v>
      </c>
      <c r="L28" s="31" t="n">
        <v>2808000</v>
      </c>
      <c r="M28" s="37" t="n">
        <f aca="false">(L28/G28)*5</f>
        <v>175500</v>
      </c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 t="s">
        <v>214</v>
      </c>
      <c r="EL28" s="41"/>
      <c r="EM28" s="41" t="s">
        <v>214</v>
      </c>
      <c r="EN28" s="41" t="s">
        <v>214</v>
      </c>
      <c r="EO28" s="41"/>
      <c r="EP28" s="41"/>
      <c r="EQ28" s="30"/>
      <c r="ER28" s="30"/>
      <c r="ES28" s="30" t="s">
        <v>214</v>
      </c>
      <c r="ET28" s="30"/>
      <c r="EU28" s="30"/>
      <c r="EV28" s="30" t="s">
        <v>214</v>
      </c>
      <c r="EW28" s="30"/>
      <c r="EX28" s="30"/>
      <c r="EY28" s="30"/>
      <c r="EZ28" s="30"/>
      <c r="FA28" s="30"/>
      <c r="FB28" s="30"/>
      <c r="FC28" s="30" t="s">
        <v>214</v>
      </c>
      <c r="FD28" s="30"/>
      <c r="FE28" s="30"/>
      <c r="FF28" s="30"/>
      <c r="FG28" s="30"/>
      <c r="FH28" s="30"/>
      <c r="FI28" s="30"/>
      <c r="FJ28" s="30"/>
      <c r="FK28" s="30"/>
      <c r="FL28" s="30" t="s">
        <v>214</v>
      </c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 t="n">
        <f aca="false">SUM(N28:GW28)</f>
        <v>0</v>
      </c>
      <c r="GY28" s="36" t="n">
        <f aca="false">SUM(L28-GX28)</f>
        <v>2808000</v>
      </c>
      <c r="GZ28" s="32" t="n">
        <f aca="false">SUM( H28/5)</f>
        <v>0</v>
      </c>
      <c r="HA28" s="32" t="n">
        <f aca="false">SUM( I28/5)</f>
        <v>16</v>
      </c>
      <c r="HB28" s="33" t="n">
        <f aca="false">SUM(GZ28/4)</f>
        <v>0</v>
      </c>
      <c r="HC28" s="33" t="n">
        <f aca="false">SUM(HA28/4)</f>
        <v>4</v>
      </c>
    </row>
    <row r="29" customFormat="false" ht="28.5" hidden="true" customHeight="true" outlineLevel="0" collapsed="false">
      <c r="A29" s="26" t="n">
        <v>3672</v>
      </c>
      <c r="B29" s="21" t="s">
        <v>264</v>
      </c>
      <c r="C29" s="21" t="s">
        <v>265</v>
      </c>
      <c r="D29" s="34"/>
      <c r="E29" s="25" t="n">
        <v>46088</v>
      </c>
      <c r="F29" s="25" t="n">
        <f aca="false">WORKDAY(E29,G29)</f>
        <v>46189</v>
      </c>
      <c r="G29" s="26" t="n">
        <v>72</v>
      </c>
      <c r="H29" s="27" t="n">
        <f aca="false">(GX29* 5)/M29</f>
        <v>70</v>
      </c>
      <c r="I29" s="27" t="n">
        <f aca="false">G29-H29</f>
        <v>2</v>
      </c>
      <c r="J29" s="22" t="s">
        <v>266</v>
      </c>
      <c r="K29" s="45" t="n">
        <v>100000</v>
      </c>
      <c r="L29" s="31" t="n">
        <v>216000</v>
      </c>
      <c r="M29" s="37" t="n">
        <f aca="false">(L29/G29)*5</f>
        <v>15000</v>
      </c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 t="s">
        <v>214</v>
      </c>
      <c r="EL29" s="41"/>
      <c r="EM29" s="41" t="s">
        <v>214</v>
      </c>
      <c r="EN29" s="41" t="s">
        <v>214</v>
      </c>
      <c r="EO29" s="41"/>
      <c r="EP29" s="41"/>
      <c r="EQ29" s="30"/>
      <c r="ER29" s="30"/>
      <c r="ES29" s="30" t="s">
        <v>214</v>
      </c>
      <c r="ET29" s="30"/>
      <c r="EU29" s="30"/>
      <c r="EV29" s="30" t="s">
        <v>214</v>
      </c>
      <c r="EW29" s="30"/>
      <c r="EX29" s="30"/>
      <c r="EY29" s="30"/>
      <c r="EZ29" s="30"/>
      <c r="FA29" s="30"/>
      <c r="FB29" s="30"/>
      <c r="FC29" s="30" t="s">
        <v>214</v>
      </c>
      <c r="FD29" s="30"/>
      <c r="FE29" s="30"/>
      <c r="FF29" s="30"/>
      <c r="FG29" s="30"/>
      <c r="FH29" s="30"/>
      <c r="FI29" s="30"/>
      <c r="FJ29" s="30"/>
      <c r="FK29" s="30"/>
      <c r="FL29" s="30" t="s">
        <v>214</v>
      </c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 t="n">
        <v>15000</v>
      </c>
      <c r="GI29" s="30" t="n">
        <v>15000</v>
      </c>
      <c r="GJ29" s="30" t="n">
        <v>15000</v>
      </c>
      <c r="GK29" s="30" t="n">
        <v>15000</v>
      </c>
      <c r="GL29" s="30"/>
      <c r="GM29" s="30" t="n">
        <v>15000</v>
      </c>
      <c r="GN29" s="30" t="n">
        <v>15000</v>
      </c>
      <c r="GO29" s="30" t="n">
        <v>15000</v>
      </c>
      <c r="GP29" s="30" t="n">
        <v>15000</v>
      </c>
      <c r="GQ29" s="30" t="n">
        <v>15000</v>
      </c>
      <c r="GR29" s="30" t="n">
        <v>15000</v>
      </c>
      <c r="GS29" s="30" t="n">
        <v>15000</v>
      </c>
      <c r="GT29" s="30"/>
      <c r="GU29" s="30" t="n">
        <v>15000</v>
      </c>
      <c r="GV29" s="30" t="n">
        <v>15000</v>
      </c>
      <c r="GW29" s="30" t="n">
        <v>15000</v>
      </c>
      <c r="GX29" s="30" t="n">
        <f aca="false">SUM(N29:GW29)</f>
        <v>210000</v>
      </c>
      <c r="GY29" s="36" t="n">
        <f aca="false">SUM(L29-GX29)</f>
        <v>6000</v>
      </c>
      <c r="GZ29" s="32" t="n">
        <f aca="false">SUM( H29/5)</f>
        <v>14</v>
      </c>
      <c r="HA29" s="32" t="n">
        <f aca="false">SUM( I29/5)</f>
        <v>0.4</v>
      </c>
      <c r="HB29" s="33" t="n">
        <f aca="false">SUM(GZ29/4)</f>
        <v>3.5</v>
      </c>
      <c r="HC29" s="33" t="n">
        <f aca="false">SUM(HA29/4)</f>
        <v>0.1</v>
      </c>
    </row>
    <row r="30" customFormat="false" ht="28.5" hidden="true" customHeight="true" outlineLevel="0" collapsed="false">
      <c r="A30" s="26" t="n">
        <v>3674</v>
      </c>
      <c r="B30" s="21" t="s">
        <v>264</v>
      </c>
      <c r="C30" s="21" t="s">
        <v>265</v>
      </c>
      <c r="D30" s="34"/>
      <c r="E30" s="25" t="n">
        <v>46091</v>
      </c>
      <c r="F30" s="25" t="n">
        <f aca="false">WORKDAY(E30,G30)</f>
        <v>46315</v>
      </c>
      <c r="G30" s="26" t="n">
        <v>160</v>
      </c>
      <c r="H30" s="27" t="n">
        <f aca="false">(GX30* 5)/M30</f>
        <v>68.3333333333333</v>
      </c>
      <c r="I30" s="27" t="n">
        <f aca="false">G30-H30</f>
        <v>91.6666666666667</v>
      </c>
      <c r="J30" s="22" t="s">
        <v>267</v>
      </c>
      <c r="K30" s="46" t="n">
        <v>400000</v>
      </c>
      <c r="L30" s="36" t="n">
        <v>1152000</v>
      </c>
      <c r="M30" s="37" t="n">
        <f aca="false">(L30/G30)*5</f>
        <v>36000</v>
      </c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 t="s">
        <v>214</v>
      </c>
      <c r="EL30" s="41"/>
      <c r="EM30" s="41" t="s">
        <v>214</v>
      </c>
      <c r="EN30" s="41" t="s">
        <v>214</v>
      </c>
      <c r="EO30" s="41"/>
      <c r="EP30" s="41"/>
      <c r="EQ30" s="30"/>
      <c r="ER30" s="30"/>
      <c r="ES30" s="30" t="s">
        <v>214</v>
      </c>
      <c r="ET30" s="30"/>
      <c r="EU30" s="30"/>
      <c r="EV30" s="30" t="s">
        <v>214</v>
      </c>
      <c r="EW30" s="30"/>
      <c r="EX30" s="30"/>
      <c r="EY30" s="30"/>
      <c r="EZ30" s="30"/>
      <c r="FA30" s="30"/>
      <c r="FB30" s="30"/>
      <c r="FC30" s="30" t="s">
        <v>214</v>
      </c>
      <c r="FD30" s="30"/>
      <c r="FE30" s="30"/>
      <c r="FF30" s="30"/>
      <c r="FG30" s="30"/>
      <c r="FH30" s="30"/>
      <c r="FI30" s="30"/>
      <c r="FJ30" s="30"/>
      <c r="FK30" s="30"/>
      <c r="FL30" s="30" t="s">
        <v>214</v>
      </c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 t="n">
        <v>36000</v>
      </c>
      <c r="GI30" s="30" t="n">
        <v>36000</v>
      </c>
      <c r="GJ30" s="30" t="n">
        <v>36000</v>
      </c>
      <c r="GK30" s="30" t="n">
        <v>36000</v>
      </c>
      <c r="GL30" s="30"/>
      <c r="GM30" s="30" t="n">
        <v>36000</v>
      </c>
      <c r="GN30" s="30" t="n">
        <v>36000</v>
      </c>
      <c r="GO30" s="30" t="n">
        <v>36000</v>
      </c>
      <c r="GP30" s="30" t="n">
        <v>36000</v>
      </c>
      <c r="GQ30" s="30" t="n">
        <v>36000</v>
      </c>
      <c r="GR30" s="30" t="n">
        <v>24000</v>
      </c>
      <c r="GS30" s="30" t="n">
        <v>36000</v>
      </c>
      <c r="GT30" s="30"/>
      <c r="GU30" s="30" t="n">
        <v>36000</v>
      </c>
      <c r="GV30" s="30" t="n">
        <v>36000</v>
      </c>
      <c r="GW30" s="30" t="n">
        <v>36000</v>
      </c>
      <c r="GX30" s="30" t="n">
        <f aca="false">SUM(N30:GW30)</f>
        <v>492000</v>
      </c>
      <c r="GY30" s="36" t="n">
        <f aca="false">SUM(L30-GX30)</f>
        <v>660000</v>
      </c>
      <c r="GZ30" s="32" t="n">
        <f aca="false">SUM( H30/5)</f>
        <v>13.6666666666667</v>
      </c>
      <c r="HA30" s="32" t="n">
        <f aca="false">SUM( I30/5)</f>
        <v>18.3333333333333</v>
      </c>
      <c r="HB30" s="33" t="n">
        <f aca="false">SUM(GZ30/4)</f>
        <v>3.41666666666667</v>
      </c>
      <c r="HC30" s="33" t="n">
        <f aca="false">SUM(HA30/4)</f>
        <v>4.58333333333333</v>
      </c>
    </row>
    <row r="31" customFormat="false" ht="28.5" hidden="true" customHeight="true" outlineLevel="0" collapsed="false">
      <c r="A31" s="26" t="n">
        <v>3764</v>
      </c>
      <c r="B31" s="21" t="s">
        <v>264</v>
      </c>
      <c r="C31" s="21" t="s">
        <v>265</v>
      </c>
      <c r="D31" s="34"/>
      <c r="E31" s="25" t="n">
        <v>46154</v>
      </c>
      <c r="F31" s="25" t="n">
        <f aca="false">WORKDAY(E31,G31)</f>
        <v>46378</v>
      </c>
      <c r="G31" s="26" t="n">
        <v>160</v>
      </c>
      <c r="H31" s="27" t="n">
        <f aca="false">(GX31* 5)/M31</f>
        <v>30</v>
      </c>
      <c r="I31" s="27" t="n">
        <f aca="false">G31-H31</f>
        <v>130</v>
      </c>
      <c r="J31" s="22" t="s">
        <v>258</v>
      </c>
      <c r="K31" s="45" t="n">
        <v>500000</v>
      </c>
      <c r="L31" s="31" t="n">
        <v>1440000</v>
      </c>
      <c r="M31" s="29" t="n">
        <f aca="false">(L31/G31)*5</f>
        <v>45000</v>
      </c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 t="s">
        <v>214</v>
      </c>
      <c r="EL31" s="30"/>
      <c r="EM31" s="30" t="s">
        <v>214</v>
      </c>
      <c r="EN31" s="30" t="s">
        <v>214</v>
      </c>
      <c r="EO31" s="30"/>
      <c r="EP31" s="30"/>
      <c r="EQ31" s="30"/>
      <c r="ER31" s="30"/>
      <c r="ES31" s="30" t="s">
        <v>214</v>
      </c>
      <c r="ET31" s="30"/>
      <c r="EU31" s="30"/>
      <c r="EV31" s="30" t="s">
        <v>214</v>
      </c>
      <c r="EW31" s="30"/>
      <c r="EX31" s="30"/>
      <c r="EY31" s="30"/>
      <c r="EZ31" s="30"/>
      <c r="FA31" s="30"/>
      <c r="FB31" s="30"/>
      <c r="FC31" s="30" t="s">
        <v>214</v>
      </c>
      <c r="FD31" s="30"/>
      <c r="FE31" s="30"/>
      <c r="FF31" s="30"/>
      <c r="FG31" s="30"/>
      <c r="FH31" s="30"/>
      <c r="FI31" s="30"/>
      <c r="FJ31" s="30"/>
      <c r="FK31" s="30"/>
      <c r="FL31" s="30" t="s">
        <v>214</v>
      </c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  <c r="GQ31" s="30" t="n">
        <v>45000</v>
      </c>
      <c r="GR31" s="30" t="n">
        <v>45000</v>
      </c>
      <c r="GS31" s="30" t="n">
        <v>45000</v>
      </c>
      <c r="GT31" s="30"/>
      <c r="GU31" s="30" t="n">
        <v>45000</v>
      </c>
      <c r="GV31" s="30" t="n">
        <v>45000</v>
      </c>
      <c r="GW31" s="30" t="n">
        <v>45000</v>
      </c>
      <c r="GX31" s="30" t="n">
        <f aca="false">SUM(N31:GW31)</f>
        <v>270000</v>
      </c>
      <c r="GY31" s="36" t="n">
        <f aca="false">SUM(L31-GX31)</f>
        <v>1170000</v>
      </c>
      <c r="GZ31" s="32" t="n">
        <f aca="false">SUM( H31/5)</f>
        <v>6</v>
      </c>
      <c r="HA31" s="32" t="n">
        <f aca="false">SUM( I31/5)</f>
        <v>26</v>
      </c>
      <c r="HB31" s="33" t="n">
        <f aca="false">SUM(GZ31/4)</f>
        <v>1.5</v>
      </c>
      <c r="HC31" s="33" t="n">
        <f aca="false">SUM(HA31/4)</f>
        <v>6.5</v>
      </c>
    </row>
    <row r="32" customFormat="false" ht="28.5" hidden="true" customHeight="true" outlineLevel="0" collapsed="false">
      <c r="A32" s="26" t="n">
        <v>3778</v>
      </c>
      <c r="B32" s="21" t="s">
        <v>264</v>
      </c>
      <c r="C32" s="21" t="s">
        <v>265</v>
      </c>
      <c r="D32" s="34"/>
      <c r="E32" s="25" t="n">
        <v>46167</v>
      </c>
      <c r="F32" s="25" t="n">
        <f aca="false">WORKDAY(E32,G32)</f>
        <v>46503</v>
      </c>
      <c r="G32" s="26" t="n">
        <v>240</v>
      </c>
      <c r="H32" s="27" t="n">
        <f aca="false">(GX32* 5)/M32</f>
        <v>19.8385185185185</v>
      </c>
      <c r="I32" s="27" t="n">
        <f aca="false">G32-H32</f>
        <v>220.161481481481</v>
      </c>
      <c r="J32" s="22" t="s">
        <v>268</v>
      </c>
      <c r="K32" s="47" t="n">
        <v>1500000</v>
      </c>
      <c r="L32" s="31" t="n">
        <v>5062500</v>
      </c>
      <c r="M32" s="37" t="n">
        <f aca="false">(L32/G32)*5</f>
        <v>105468.75</v>
      </c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 t="s">
        <v>214</v>
      </c>
      <c r="EL32" s="30"/>
      <c r="EM32" s="30" t="s">
        <v>214</v>
      </c>
      <c r="EN32" s="30" t="s">
        <v>214</v>
      </c>
      <c r="EO32" s="30"/>
      <c r="EP32" s="30"/>
      <c r="EQ32" s="30"/>
      <c r="ER32" s="30"/>
      <c r="ES32" s="30" t="s">
        <v>214</v>
      </c>
      <c r="ET32" s="30"/>
      <c r="EU32" s="30"/>
      <c r="EV32" s="30" t="s">
        <v>214</v>
      </c>
      <c r="EW32" s="30"/>
      <c r="EX32" s="30"/>
      <c r="EY32" s="30"/>
      <c r="EZ32" s="30"/>
      <c r="FA32" s="30"/>
      <c r="FB32" s="30"/>
      <c r="FC32" s="30" t="s">
        <v>214</v>
      </c>
      <c r="FD32" s="30"/>
      <c r="FE32" s="30"/>
      <c r="FF32" s="30"/>
      <c r="FG32" s="30"/>
      <c r="FH32" s="30"/>
      <c r="FI32" s="30"/>
      <c r="FJ32" s="30"/>
      <c r="FK32" s="30"/>
      <c r="FL32" s="30" t="s">
        <v>214</v>
      </c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 t="n">
        <v>105468.75</v>
      </c>
      <c r="GT32" s="30"/>
      <c r="GU32" s="30" t="n">
        <v>105000</v>
      </c>
      <c r="GV32" s="30" t="n">
        <v>104000</v>
      </c>
      <c r="GW32" s="30" t="n">
        <v>104000</v>
      </c>
      <c r="GX32" s="30" t="n">
        <f aca="false">SUM(N32:GW32)</f>
        <v>418468.75</v>
      </c>
      <c r="GY32" s="36" t="n">
        <f aca="false">SUM(L32-GX32)</f>
        <v>4644031.25</v>
      </c>
      <c r="GZ32" s="32" t="n">
        <f aca="false">SUM( H32/5)</f>
        <v>3.9677037037037</v>
      </c>
      <c r="HA32" s="32" t="n">
        <f aca="false">SUM( I32/5)</f>
        <v>44.0322962962963</v>
      </c>
      <c r="HB32" s="33" t="n">
        <f aca="false">SUM(GZ32/4)</f>
        <v>0.991925925925926</v>
      </c>
      <c r="HC32" s="33" t="n">
        <f aca="false">SUM(HA32/4)</f>
        <v>11.0080740740741</v>
      </c>
    </row>
    <row r="33" customFormat="false" ht="28.5" hidden="true" customHeight="true" outlineLevel="0" collapsed="false">
      <c r="A33" s="26" t="n">
        <v>3817</v>
      </c>
      <c r="B33" s="21" t="s">
        <v>264</v>
      </c>
      <c r="C33" s="21" t="s">
        <v>265</v>
      </c>
      <c r="D33" s="34"/>
      <c r="E33" s="25" t="n">
        <v>46196</v>
      </c>
      <c r="F33" s="25" t="n">
        <f aca="false">WORKDAY(E33,G33)</f>
        <v>46420</v>
      </c>
      <c r="G33" s="26" t="n">
        <v>160</v>
      </c>
      <c r="H33" s="27" t="n">
        <f aca="false">(GX33* 5)/M33</f>
        <v>0</v>
      </c>
      <c r="I33" s="27" t="n">
        <f aca="false">G33-H33</f>
        <v>160</v>
      </c>
      <c r="J33" s="22" t="s">
        <v>267</v>
      </c>
      <c r="K33" s="46" t="n">
        <v>400000</v>
      </c>
      <c r="L33" s="36" t="n">
        <v>1152000</v>
      </c>
      <c r="M33" s="29" t="n">
        <f aca="false">(L33/G33)*5</f>
        <v>36000</v>
      </c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 t="s">
        <v>214</v>
      </c>
      <c r="EL33" s="30"/>
      <c r="EM33" s="30" t="s">
        <v>214</v>
      </c>
      <c r="EN33" s="30" t="s">
        <v>214</v>
      </c>
      <c r="EO33" s="30"/>
      <c r="EP33" s="30"/>
      <c r="EQ33" s="30"/>
      <c r="ER33" s="30"/>
      <c r="ES33" s="30" t="s">
        <v>214</v>
      </c>
      <c r="ET33" s="30"/>
      <c r="EU33" s="30"/>
      <c r="EV33" s="30" t="s">
        <v>214</v>
      </c>
      <c r="EW33" s="30"/>
      <c r="EX33" s="30"/>
      <c r="EY33" s="30"/>
      <c r="EZ33" s="30"/>
      <c r="FA33" s="30"/>
      <c r="FB33" s="30"/>
      <c r="FC33" s="30" t="s">
        <v>214</v>
      </c>
      <c r="FD33" s="30"/>
      <c r="FE33" s="30"/>
      <c r="FF33" s="30"/>
      <c r="FG33" s="30"/>
      <c r="FH33" s="30"/>
      <c r="FI33" s="30"/>
      <c r="FJ33" s="30"/>
      <c r="FK33" s="30"/>
      <c r="FL33" s="30" t="s">
        <v>214</v>
      </c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0"/>
      <c r="GW33" s="30"/>
      <c r="GX33" s="30" t="n">
        <f aca="false">SUM(N33:GW33)</f>
        <v>0</v>
      </c>
      <c r="GY33" s="36" t="n">
        <f aca="false">SUM(L33-GX33)</f>
        <v>1152000</v>
      </c>
      <c r="GZ33" s="32" t="n">
        <f aca="false">SUM( H33/5)</f>
        <v>0</v>
      </c>
      <c r="HA33" s="32" t="n">
        <f aca="false">SUM( I33/5)</f>
        <v>32</v>
      </c>
      <c r="HB33" s="33" t="n">
        <f aca="false">SUM(GZ33/4)</f>
        <v>0</v>
      </c>
      <c r="HC33" s="33" t="n">
        <f aca="false">SUM(HA33/4)</f>
        <v>8</v>
      </c>
    </row>
    <row r="34" customFormat="false" ht="28.5" hidden="true" customHeight="true" outlineLevel="0" collapsed="false">
      <c r="A34" s="26" t="n">
        <v>3490</v>
      </c>
      <c r="B34" s="21" t="s">
        <v>269</v>
      </c>
      <c r="C34" s="21" t="s">
        <v>270</v>
      </c>
      <c r="D34" s="34" t="n">
        <v>24016318</v>
      </c>
      <c r="E34" s="25" t="n">
        <v>45883</v>
      </c>
      <c r="F34" s="25" t="n">
        <f aca="false">WORKDAY(E34,G34)</f>
        <v>46051</v>
      </c>
      <c r="G34" s="26" t="n">
        <v>120</v>
      </c>
      <c r="H34" s="27" t="n">
        <f aca="false">(GX34* 5)/M34</f>
        <v>64.6022727272727</v>
      </c>
      <c r="I34" s="27" t="n">
        <f aca="false">G34-H34</f>
        <v>55.3977272727273</v>
      </c>
      <c r="J34" s="35" t="s">
        <v>271</v>
      </c>
      <c r="K34" s="36" t="n">
        <v>800000</v>
      </c>
      <c r="L34" s="36" t="n">
        <v>2112000</v>
      </c>
      <c r="M34" s="37" t="n">
        <f aca="false">(L34/G34)*5</f>
        <v>88000</v>
      </c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 t="s">
        <v>214</v>
      </c>
      <c r="EL34" s="30"/>
      <c r="EM34" s="30" t="s">
        <v>214</v>
      </c>
      <c r="EN34" s="30" t="s">
        <v>214</v>
      </c>
      <c r="EO34" s="30"/>
      <c r="EP34" s="30"/>
      <c r="EQ34" s="30"/>
      <c r="ER34" s="30"/>
      <c r="ES34" s="30" t="s">
        <v>214</v>
      </c>
      <c r="ET34" s="30"/>
      <c r="EU34" s="30"/>
      <c r="EV34" s="30" t="s">
        <v>214</v>
      </c>
      <c r="EW34" s="30"/>
      <c r="EX34" s="30"/>
      <c r="EY34" s="30"/>
      <c r="EZ34" s="30"/>
      <c r="FA34" s="30"/>
      <c r="FB34" s="30"/>
      <c r="FC34" s="30" t="s">
        <v>214</v>
      </c>
      <c r="FD34" s="30"/>
      <c r="FE34" s="30"/>
      <c r="FF34" s="30" t="n">
        <v>97000</v>
      </c>
      <c r="FG34" s="30"/>
      <c r="FH34" s="30" t="n">
        <v>97000</v>
      </c>
      <c r="FI34" s="30"/>
      <c r="FJ34" s="30"/>
      <c r="FK34" s="30" t="n">
        <v>97000</v>
      </c>
      <c r="FL34" s="30"/>
      <c r="FM34" s="30" t="n">
        <v>50000</v>
      </c>
      <c r="FN34" s="30" t="n">
        <v>47000</v>
      </c>
      <c r="FO34" s="30" t="n">
        <v>60000</v>
      </c>
      <c r="FP34" s="30"/>
      <c r="FQ34" s="30" t="n">
        <v>97000</v>
      </c>
      <c r="FR34" s="30"/>
      <c r="FS34" s="30"/>
      <c r="FT34" s="30" t="n">
        <v>60000</v>
      </c>
      <c r="FU34" s="30"/>
      <c r="FV34" s="30" t="n">
        <v>37000</v>
      </c>
      <c r="FW34" s="30"/>
      <c r="FX34" s="30" t="n">
        <v>40000</v>
      </c>
      <c r="FY34" s="30" t="n">
        <v>40000</v>
      </c>
      <c r="FZ34" s="30"/>
      <c r="GA34" s="30"/>
      <c r="GB34" s="30"/>
      <c r="GC34" s="30"/>
      <c r="GD34" s="30" t="n">
        <v>40000</v>
      </c>
      <c r="GE34" s="30" t="n">
        <v>40000</v>
      </c>
      <c r="GF34" s="30"/>
      <c r="GG34" s="30" t="n">
        <v>45000</v>
      </c>
      <c r="GH34" s="30"/>
      <c r="GI34" s="30"/>
      <c r="GJ34" s="30"/>
      <c r="GK34" s="30" t="n">
        <v>80000</v>
      </c>
      <c r="GL34" s="30"/>
      <c r="GM34" s="30" t="n">
        <v>60000</v>
      </c>
      <c r="GN34" s="30"/>
      <c r="GO34" s="30"/>
      <c r="GP34" s="30" t="n">
        <v>30000</v>
      </c>
      <c r="GQ34" s="30" t="n">
        <v>40000</v>
      </c>
      <c r="GR34" s="30"/>
      <c r="GS34" s="30" t="n">
        <v>45000</v>
      </c>
      <c r="GT34" s="30" t="n">
        <v>35000</v>
      </c>
      <c r="GU34" s="30"/>
      <c r="GV34" s="30"/>
      <c r="GW34" s="30"/>
      <c r="GX34" s="30" t="n">
        <f aca="false">SUM(N34:GW34)</f>
        <v>1137000</v>
      </c>
      <c r="GY34" s="36" t="n">
        <f aca="false">SUM(L34-GX34)</f>
        <v>975000</v>
      </c>
      <c r="GZ34" s="32" t="n">
        <f aca="false">SUM( H34/5)</f>
        <v>12.9204545454545</v>
      </c>
      <c r="HA34" s="32" t="n">
        <f aca="false">SUM( I34/5)</f>
        <v>11.0795454545455</v>
      </c>
      <c r="HB34" s="33" t="n">
        <f aca="false">SUM(GZ34/4)</f>
        <v>3.23011363636364</v>
      </c>
      <c r="HC34" s="33" t="n">
        <f aca="false">SUM(HA34/4)</f>
        <v>2.76988636363636</v>
      </c>
    </row>
    <row r="35" customFormat="false" ht="28.5" hidden="true" customHeight="true" outlineLevel="0" collapsed="false">
      <c r="A35" s="26" t="n">
        <v>3631</v>
      </c>
      <c r="B35" s="21" t="s">
        <v>272</v>
      </c>
      <c r="C35" s="21" t="s">
        <v>273</v>
      </c>
      <c r="D35" s="34"/>
      <c r="E35" s="25" t="n">
        <v>46059</v>
      </c>
      <c r="F35" s="25" t="n">
        <f aca="false">WORKDAY(E35,G35)</f>
        <v>46171</v>
      </c>
      <c r="G35" s="26" t="n">
        <v>80</v>
      </c>
      <c r="H35" s="27" t="n">
        <f aca="false">(GX35* 5)/M35</f>
        <v>74.5679012345679</v>
      </c>
      <c r="I35" s="27" t="n">
        <f aca="false">G35-H35</f>
        <v>5.4320987654321</v>
      </c>
      <c r="J35" s="48" t="s">
        <v>274</v>
      </c>
      <c r="K35" s="37" t="n">
        <v>300000</v>
      </c>
      <c r="L35" s="31" t="n">
        <v>648000</v>
      </c>
      <c r="M35" s="37" t="n">
        <f aca="false">(L35/G35)*5</f>
        <v>40500</v>
      </c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 t="s">
        <v>214</v>
      </c>
      <c r="EL35" s="30"/>
      <c r="EM35" s="30" t="s">
        <v>214</v>
      </c>
      <c r="EN35" s="30" t="s">
        <v>214</v>
      </c>
      <c r="EO35" s="30"/>
      <c r="EP35" s="30"/>
      <c r="EQ35" s="30"/>
      <c r="ER35" s="30"/>
      <c r="ES35" s="30" t="s">
        <v>214</v>
      </c>
      <c r="ET35" s="30"/>
      <c r="EU35" s="30"/>
      <c r="EV35" s="30" t="s">
        <v>214</v>
      </c>
      <c r="EW35" s="30"/>
      <c r="EX35" s="30"/>
      <c r="EY35" s="30"/>
      <c r="EZ35" s="30"/>
      <c r="FA35" s="30"/>
      <c r="FB35" s="30"/>
      <c r="FC35" s="30" t="s">
        <v>214</v>
      </c>
      <c r="FD35" s="30"/>
      <c r="FE35" s="30"/>
      <c r="FF35" s="30"/>
      <c r="FG35" s="30"/>
      <c r="FH35" s="30"/>
      <c r="FI35" s="30"/>
      <c r="FJ35" s="30"/>
      <c r="FK35" s="30"/>
      <c r="FL35" s="30" t="s">
        <v>214</v>
      </c>
      <c r="FM35" s="30"/>
      <c r="FN35" s="30"/>
      <c r="FO35" s="30"/>
      <c r="FP35" s="30"/>
      <c r="FQ35" s="30"/>
      <c r="FR35" s="30"/>
      <c r="FS35" s="30"/>
      <c r="FT35" s="30"/>
      <c r="FU35" s="30"/>
      <c r="FV35" s="30"/>
      <c r="FW35" s="30"/>
      <c r="FX35" s="30"/>
      <c r="FY35" s="30"/>
      <c r="FZ35" s="30"/>
      <c r="GA35" s="30"/>
      <c r="GB35" s="30"/>
      <c r="GC35" s="30"/>
      <c r="GD35" s="30"/>
      <c r="GE35" s="30"/>
      <c r="GF35" s="30" t="n">
        <v>162000</v>
      </c>
      <c r="GG35" s="30"/>
      <c r="GH35" s="30"/>
      <c r="GI35" s="30"/>
      <c r="GJ35" s="30" t="s">
        <v>214</v>
      </c>
      <c r="GK35" s="30" t="n">
        <v>118000</v>
      </c>
      <c r="GL35" s="30"/>
      <c r="GM35" s="30"/>
      <c r="GN35" s="30"/>
      <c r="GO35" s="30" t="n">
        <v>162000</v>
      </c>
      <c r="GP35" s="30"/>
      <c r="GQ35" s="30"/>
      <c r="GR35" s="30"/>
      <c r="GS35" s="30"/>
      <c r="GT35" s="30" t="n">
        <v>162000</v>
      </c>
      <c r="GU35" s="30"/>
      <c r="GV35" s="30"/>
      <c r="GW35" s="30"/>
      <c r="GX35" s="30" t="n">
        <f aca="false">SUM(N35:GW35)</f>
        <v>604000</v>
      </c>
      <c r="GY35" s="36" t="n">
        <f aca="false">SUM(L35-GX35)</f>
        <v>44000</v>
      </c>
      <c r="GZ35" s="32" t="n">
        <f aca="false">SUM( H35/5)</f>
        <v>14.9135802469136</v>
      </c>
      <c r="HA35" s="32" t="n">
        <f aca="false">SUM( I35/5)</f>
        <v>1.08641975308642</v>
      </c>
      <c r="HB35" s="33" t="n">
        <f aca="false">SUM(GZ35/4)</f>
        <v>3.72839506172839</v>
      </c>
      <c r="HC35" s="33" t="n">
        <f aca="false">SUM(HA35/4)</f>
        <v>0.271604938271605</v>
      </c>
    </row>
    <row r="36" customFormat="false" ht="28.5" hidden="true" customHeight="true" outlineLevel="0" collapsed="false">
      <c r="A36" s="26" t="n">
        <v>3757</v>
      </c>
      <c r="B36" s="21" t="s">
        <v>272</v>
      </c>
      <c r="C36" s="21" t="s">
        <v>273</v>
      </c>
      <c r="D36" s="34"/>
      <c r="E36" s="25" t="n">
        <v>46150</v>
      </c>
      <c r="F36" s="25" t="n">
        <f aca="false">WORKDAY(E36,G36)</f>
        <v>46430</v>
      </c>
      <c r="G36" s="26" t="n">
        <v>200</v>
      </c>
      <c r="H36" s="27" t="n">
        <f aca="false">(GX36* 5)/M36</f>
        <v>4.87179487179487</v>
      </c>
      <c r="I36" s="27" t="n">
        <f aca="false">G36-H36</f>
        <v>195.128205128205</v>
      </c>
      <c r="J36" s="48" t="s">
        <v>275</v>
      </c>
      <c r="K36" s="29" t="n">
        <v>500000</v>
      </c>
      <c r="L36" s="36" t="n">
        <v>1560000</v>
      </c>
      <c r="M36" s="37" t="n">
        <f aca="false">(L36/G36)*5</f>
        <v>39000</v>
      </c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 t="s">
        <v>214</v>
      </c>
      <c r="EL36" s="30"/>
      <c r="EM36" s="30" t="s">
        <v>214</v>
      </c>
      <c r="EN36" s="30" t="s">
        <v>214</v>
      </c>
      <c r="EO36" s="30"/>
      <c r="EP36" s="30"/>
      <c r="EQ36" s="30"/>
      <c r="ER36" s="30"/>
      <c r="ES36" s="30" t="s">
        <v>214</v>
      </c>
      <c r="ET36" s="30"/>
      <c r="EU36" s="30"/>
      <c r="EV36" s="30" t="s">
        <v>214</v>
      </c>
      <c r="EW36" s="30"/>
      <c r="EX36" s="30"/>
      <c r="EY36" s="30"/>
      <c r="EZ36" s="30"/>
      <c r="FA36" s="30"/>
      <c r="FB36" s="30"/>
      <c r="FC36" s="30" t="s">
        <v>214</v>
      </c>
      <c r="FD36" s="30"/>
      <c r="FE36" s="30"/>
      <c r="FF36" s="30"/>
      <c r="FG36" s="30"/>
      <c r="FH36" s="30"/>
      <c r="FI36" s="30"/>
      <c r="FJ36" s="30"/>
      <c r="FK36" s="30"/>
      <c r="FL36" s="30" t="s">
        <v>214</v>
      </c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30"/>
      <c r="GT36" s="30" t="n">
        <v>38000</v>
      </c>
      <c r="GU36" s="30"/>
      <c r="GV36" s="30"/>
      <c r="GW36" s="30"/>
      <c r="GX36" s="30" t="n">
        <f aca="false">SUM(N36:GW36)</f>
        <v>38000</v>
      </c>
      <c r="GY36" s="36" t="n">
        <f aca="false">SUM(L36-GX36)</f>
        <v>1522000</v>
      </c>
      <c r="GZ36" s="32" t="n">
        <f aca="false">SUM( H36/5)</f>
        <v>0.974358974358974</v>
      </c>
      <c r="HA36" s="32" t="n">
        <f aca="false">SUM( I36/5)</f>
        <v>39.025641025641</v>
      </c>
      <c r="HB36" s="33" t="n">
        <f aca="false">SUM(GZ36/4)</f>
        <v>0.243589743589744</v>
      </c>
      <c r="HC36" s="33" t="n">
        <f aca="false">SUM(HA36/4)</f>
        <v>9.75641025641026</v>
      </c>
    </row>
    <row r="37" customFormat="false" ht="28.5" hidden="true" customHeight="true" outlineLevel="0" collapsed="false">
      <c r="A37" s="26" t="n">
        <v>3486</v>
      </c>
      <c r="B37" s="21" t="s">
        <v>276</v>
      </c>
      <c r="C37" s="21" t="s">
        <v>277</v>
      </c>
      <c r="D37" s="34"/>
      <c r="E37" s="25" t="n">
        <v>45974</v>
      </c>
      <c r="F37" s="25" t="n">
        <f aca="false">WORKDAY(E37,G37)</f>
        <v>46198</v>
      </c>
      <c r="G37" s="26" t="n">
        <v>160</v>
      </c>
      <c r="H37" s="27" t="n">
        <f aca="false">(GX37* 5)/M37</f>
        <v>110</v>
      </c>
      <c r="I37" s="27" t="n">
        <f aca="false">G37-H37</f>
        <v>50</v>
      </c>
      <c r="J37" s="49" t="s">
        <v>278</v>
      </c>
      <c r="K37" s="36" t="n">
        <v>300000</v>
      </c>
      <c r="L37" s="36" t="n">
        <v>864000</v>
      </c>
      <c r="M37" s="29" t="n">
        <f aca="false">(L37/G37)*5</f>
        <v>27000</v>
      </c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 t="s">
        <v>214</v>
      </c>
      <c r="EL37" s="30"/>
      <c r="EM37" s="30" t="s">
        <v>214</v>
      </c>
      <c r="EN37" s="30" t="s">
        <v>214</v>
      </c>
      <c r="EO37" s="30"/>
      <c r="EP37" s="30"/>
      <c r="EQ37" s="30"/>
      <c r="ER37" s="30"/>
      <c r="ES37" s="30" t="s">
        <v>214</v>
      </c>
      <c r="ET37" s="30"/>
      <c r="EU37" s="30"/>
      <c r="EV37" s="30" t="s">
        <v>214</v>
      </c>
      <c r="EW37" s="30"/>
      <c r="EX37" s="30"/>
      <c r="EY37" s="30"/>
      <c r="EZ37" s="30"/>
      <c r="FA37" s="30"/>
      <c r="FB37" s="30"/>
      <c r="FC37" s="30" t="s">
        <v>214</v>
      </c>
      <c r="FD37" s="30"/>
      <c r="FE37" s="30"/>
      <c r="FF37" s="30"/>
      <c r="FG37" s="30"/>
      <c r="FH37" s="30"/>
      <c r="FI37" s="30"/>
      <c r="FJ37" s="30"/>
      <c r="FK37" s="30"/>
      <c r="FL37" s="30" t="s">
        <v>214</v>
      </c>
      <c r="FM37" s="30"/>
      <c r="FN37" s="30"/>
      <c r="FO37" s="30"/>
      <c r="FP37" s="30"/>
      <c r="FQ37" s="30"/>
      <c r="FR37" s="30"/>
      <c r="FS37" s="30" t="n">
        <v>54000</v>
      </c>
      <c r="FT37" s="30"/>
      <c r="FU37" s="30" t="n">
        <v>54000</v>
      </c>
      <c r="FV37" s="30"/>
      <c r="FW37" s="30"/>
      <c r="FX37" s="30" t="n">
        <v>54000</v>
      </c>
      <c r="FY37" s="30"/>
      <c r="FZ37" s="30" t="n">
        <v>54000</v>
      </c>
      <c r="GA37" s="30"/>
      <c r="GB37" s="30"/>
      <c r="GC37" s="30" t="n">
        <v>54000</v>
      </c>
      <c r="GD37" s="30"/>
      <c r="GE37" s="30" t="n">
        <v>54000</v>
      </c>
      <c r="GF37" s="30"/>
      <c r="GG37" s="30" t="n">
        <v>54000</v>
      </c>
      <c r="GH37" s="30"/>
      <c r="GI37" s="30" t="n">
        <v>54000</v>
      </c>
      <c r="GJ37" s="30"/>
      <c r="GK37" s="30" t="n">
        <v>54000</v>
      </c>
      <c r="GL37" s="30"/>
      <c r="GM37" s="30"/>
      <c r="GN37" s="30"/>
      <c r="GO37" s="30"/>
      <c r="GP37" s="30"/>
      <c r="GQ37" s="30" t="n">
        <v>54000</v>
      </c>
      <c r="GR37" s="30"/>
      <c r="GS37" s="30"/>
      <c r="GT37" s="30"/>
      <c r="GU37" s="30" t="n">
        <v>54000</v>
      </c>
      <c r="GV37" s="30"/>
      <c r="GW37" s="30"/>
      <c r="GX37" s="30" t="n">
        <f aca="false">SUM(N37:GW37)</f>
        <v>594000</v>
      </c>
      <c r="GY37" s="36" t="n">
        <f aca="false">SUM(L37-GX37)</f>
        <v>270000</v>
      </c>
      <c r="GZ37" s="32" t="n">
        <f aca="false">SUM( H37/5)</f>
        <v>22</v>
      </c>
      <c r="HA37" s="32" t="n">
        <f aca="false">SUM( I37/5)</f>
        <v>10</v>
      </c>
      <c r="HB37" s="33" t="n">
        <f aca="false">SUM(GZ37/4)</f>
        <v>5.5</v>
      </c>
      <c r="HC37" s="33" t="n">
        <f aca="false">SUM(HA37/4)</f>
        <v>2.5</v>
      </c>
    </row>
    <row r="38" customFormat="false" ht="28.5" hidden="true" customHeight="true" outlineLevel="0" collapsed="false">
      <c r="A38" s="26" t="n">
        <v>3646</v>
      </c>
      <c r="B38" s="21" t="s">
        <v>276</v>
      </c>
      <c r="C38" s="21" t="s">
        <v>277</v>
      </c>
      <c r="D38" s="34"/>
      <c r="E38" s="25" t="n">
        <v>46073</v>
      </c>
      <c r="F38" s="25" t="n">
        <f aca="false">WORKDAY(E38,G38)</f>
        <v>46297</v>
      </c>
      <c r="G38" s="26" t="n">
        <v>160</v>
      </c>
      <c r="H38" s="27" t="n">
        <f aca="false">(GX38* 5)/M38</f>
        <v>50</v>
      </c>
      <c r="I38" s="27" t="n">
        <f aca="false">G38-H38</f>
        <v>110</v>
      </c>
      <c r="J38" s="49" t="s">
        <v>279</v>
      </c>
      <c r="K38" s="36" t="n">
        <v>200000</v>
      </c>
      <c r="L38" s="36" t="n">
        <v>576000</v>
      </c>
      <c r="M38" s="29" t="n">
        <f aca="false">(L38/G38)*5</f>
        <v>18000</v>
      </c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 t="s">
        <v>214</v>
      </c>
      <c r="EL38" s="30"/>
      <c r="EM38" s="30" t="s">
        <v>214</v>
      </c>
      <c r="EN38" s="30" t="s">
        <v>214</v>
      </c>
      <c r="EO38" s="30"/>
      <c r="EP38" s="30"/>
      <c r="EQ38" s="30"/>
      <c r="ER38" s="30"/>
      <c r="ES38" s="30" t="s">
        <v>214</v>
      </c>
      <c r="ET38" s="30"/>
      <c r="EU38" s="30"/>
      <c r="EV38" s="30" t="s">
        <v>214</v>
      </c>
      <c r="EW38" s="30"/>
      <c r="EX38" s="30"/>
      <c r="EY38" s="30"/>
      <c r="EZ38" s="30"/>
      <c r="FA38" s="30"/>
      <c r="FB38" s="30"/>
      <c r="FC38" s="30" t="s">
        <v>214</v>
      </c>
      <c r="FD38" s="30"/>
      <c r="FE38" s="30"/>
      <c r="FF38" s="30"/>
      <c r="FG38" s="30"/>
      <c r="FH38" s="30"/>
      <c r="FI38" s="30"/>
      <c r="FJ38" s="30"/>
      <c r="FK38" s="30"/>
      <c r="FL38" s="30" t="s">
        <v>214</v>
      </c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 t="n">
        <v>36000</v>
      </c>
      <c r="GG38" s="30"/>
      <c r="GH38" s="30" t="n">
        <v>36000</v>
      </c>
      <c r="GI38" s="30"/>
      <c r="GJ38" s="30" t="n">
        <v>36000</v>
      </c>
      <c r="GK38" s="30"/>
      <c r="GL38" s="30"/>
      <c r="GM38" s="30"/>
      <c r="GN38" s="30"/>
      <c r="GO38" s="30"/>
      <c r="GP38" s="30"/>
      <c r="GQ38" s="30" t="s">
        <v>214</v>
      </c>
      <c r="GR38" s="30"/>
      <c r="GS38" s="30"/>
      <c r="GT38" s="30" t="n">
        <v>36000</v>
      </c>
      <c r="GU38" s="30"/>
      <c r="GV38" s="30"/>
      <c r="GW38" s="30" t="n">
        <v>36000</v>
      </c>
      <c r="GX38" s="30" t="n">
        <f aca="false">SUM(N38:GW38)</f>
        <v>180000</v>
      </c>
      <c r="GY38" s="36" t="n">
        <f aca="false">SUM(L38-GX38)</f>
        <v>396000</v>
      </c>
      <c r="GZ38" s="32" t="n">
        <f aca="false">SUM( H38/5)</f>
        <v>10</v>
      </c>
      <c r="HA38" s="32" t="n">
        <f aca="false">SUM( I38/5)</f>
        <v>22</v>
      </c>
      <c r="HB38" s="33" t="n">
        <f aca="false">SUM(GZ38/4)</f>
        <v>2.5</v>
      </c>
      <c r="HC38" s="33" t="n">
        <f aca="false">SUM(HA38/4)</f>
        <v>5.5</v>
      </c>
    </row>
    <row r="39" customFormat="false" ht="28.5" hidden="true" customHeight="true" outlineLevel="0" collapsed="false">
      <c r="A39" s="26" t="n">
        <v>3701</v>
      </c>
      <c r="B39" s="21" t="s">
        <v>276</v>
      </c>
      <c r="C39" s="21" t="s">
        <v>277</v>
      </c>
      <c r="D39" s="34"/>
      <c r="E39" s="25" t="n">
        <v>46107</v>
      </c>
      <c r="F39" s="25" t="n">
        <f aca="false">WORKDAY(E39,G39)</f>
        <v>46331</v>
      </c>
      <c r="G39" s="26" t="n">
        <v>160</v>
      </c>
      <c r="H39" s="27" t="n">
        <f aca="false">(GX39* 5)/M39</f>
        <v>31.1111111111111</v>
      </c>
      <c r="I39" s="27" t="n">
        <f aca="false">G39-H39</f>
        <v>128.888888888889</v>
      </c>
      <c r="J39" s="49" t="s">
        <v>279</v>
      </c>
      <c r="K39" s="36" t="n">
        <v>200000</v>
      </c>
      <c r="L39" s="36" t="n">
        <v>576000</v>
      </c>
      <c r="M39" s="37" t="n">
        <f aca="false">(L39/G39)*5</f>
        <v>18000</v>
      </c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 t="s">
        <v>214</v>
      </c>
      <c r="EL39" s="30"/>
      <c r="EM39" s="30" t="s">
        <v>214</v>
      </c>
      <c r="EN39" s="30" t="s">
        <v>214</v>
      </c>
      <c r="EO39" s="30"/>
      <c r="EP39" s="30"/>
      <c r="EQ39" s="30"/>
      <c r="ER39" s="30"/>
      <c r="ES39" s="30" t="s">
        <v>214</v>
      </c>
      <c r="ET39" s="30"/>
      <c r="EU39" s="30"/>
      <c r="EV39" s="30" t="s">
        <v>214</v>
      </c>
      <c r="EW39" s="30"/>
      <c r="EX39" s="30"/>
      <c r="EY39" s="30"/>
      <c r="EZ39" s="30"/>
      <c r="FA39" s="30"/>
      <c r="FB39" s="30"/>
      <c r="FC39" s="30" t="s">
        <v>214</v>
      </c>
      <c r="FD39" s="30"/>
      <c r="FE39" s="30"/>
      <c r="FF39" s="30"/>
      <c r="FG39" s="30"/>
      <c r="FH39" s="30"/>
      <c r="FI39" s="30"/>
      <c r="FJ39" s="30"/>
      <c r="FK39" s="30"/>
      <c r="FL39" s="30" t="s">
        <v>214</v>
      </c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  <c r="GA39" s="30"/>
      <c r="GB39" s="30"/>
      <c r="GC39" s="30"/>
      <c r="GD39" s="30"/>
      <c r="GE39" s="30"/>
      <c r="GF39" s="30"/>
      <c r="GG39" s="30"/>
      <c r="GH39" s="30"/>
      <c r="GI39" s="30"/>
      <c r="GJ39" s="30"/>
      <c r="GK39" s="30"/>
      <c r="GL39" s="30"/>
      <c r="GM39" s="30"/>
      <c r="GN39" s="30" t="n">
        <v>40000</v>
      </c>
      <c r="GO39" s="30"/>
      <c r="GP39" s="30"/>
      <c r="GQ39" s="30"/>
      <c r="GR39" s="30"/>
      <c r="GS39" s="30"/>
      <c r="GT39" s="30" t="n">
        <v>36000</v>
      </c>
      <c r="GU39" s="30"/>
      <c r="GV39" s="30"/>
      <c r="GW39" s="30" t="n">
        <v>36000</v>
      </c>
      <c r="GX39" s="30" t="n">
        <f aca="false">SUM(N39:GW39)</f>
        <v>112000</v>
      </c>
      <c r="GY39" s="36" t="n">
        <f aca="false">SUM(L39-GX39)</f>
        <v>464000</v>
      </c>
      <c r="GZ39" s="32" t="n">
        <f aca="false">SUM( H39/5)</f>
        <v>6.22222222222222</v>
      </c>
      <c r="HA39" s="32" t="n">
        <f aca="false">SUM( I39/5)</f>
        <v>25.7777777777778</v>
      </c>
      <c r="HB39" s="33" t="n">
        <f aca="false">SUM(GZ39/4)</f>
        <v>1.55555555555556</v>
      </c>
      <c r="HC39" s="33" t="n">
        <f aca="false">SUM(HA39/4)</f>
        <v>6.44444444444445</v>
      </c>
    </row>
    <row r="40" customFormat="false" ht="28.5" hidden="true" customHeight="true" outlineLevel="0" collapsed="false">
      <c r="A40" s="26" t="n">
        <v>3429</v>
      </c>
      <c r="B40" s="21" t="s">
        <v>280</v>
      </c>
      <c r="C40" s="21" t="s">
        <v>281</v>
      </c>
      <c r="D40" s="34" t="n">
        <v>20386454729</v>
      </c>
      <c r="E40" s="25" t="n">
        <v>45972</v>
      </c>
      <c r="F40" s="25" t="n">
        <f aca="false">WORKDAY(E40,G40)</f>
        <v>46252</v>
      </c>
      <c r="G40" s="26" t="n">
        <v>200</v>
      </c>
      <c r="H40" s="27" t="n">
        <f aca="false">(GX40* 5)/M40</f>
        <v>100</v>
      </c>
      <c r="I40" s="27" t="n">
        <f aca="false">G40-H40</f>
        <v>100</v>
      </c>
      <c r="J40" s="35" t="s">
        <v>282</v>
      </c>
      <c r="K40" s="36" t="n">
        <v>500000</v>
      </c>
      <c r="L40" s="36" t="n">
        <v>1560000</v>
      </c>
      <c r="M40" s="29" t="n">
        <f aca="false">(L40/G40)*5</f>
        <v>39000</v>
      </c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 t="s">
        <v>214</v>
      </c>
      <c r="EL40" s="30"/>
      <c r="EM40" s="30" t="s">
        <v>214</v>
      </c>
      <c r="EN40" s="30" t="s">
        <v>214</v>
      </c>
      <c r="EO40" s="30"/>
      <c r="EP40" s="30"/>
      <c r="EQ40" s="30"/>
      <c r="ER40" s="30"/>
      <c r="ES40" s="30" t="s">
        <v>214</v>
      </c>
      <c r="ET40" s="30"/>
      <c r="EU40" s="30"/>
      <c r="EV40" s="30" t="s">
        <v>214</v>
      </c>
      <c r="EW40" s="30"/>
      <c r="EX40" s="30"/>
      <c r="EY40" s="30"/>
      <c r="EZ40" s="30"/>
      <c r="FA40" s="30"/>
      <c r="FB40" s="30"/>
      <c r="FC40" s="30" t="s">
        <v>214</v>
      </c>
      <c r="FD40" s="30"/>
      <c r="FE40" s="30"/>
      <c r="FF40" s="30"/>
      <c r="FG40" s="30"/>
      <c r="FH40" s="30"/>
      <c r="FI40" s="30"/>
      <c r="FJ40" s="30"/>
      <c r="FK40" s="30"/>
      <c r="FL40" s="30" t="s">
        <v>214</v>
      </c>
      <c r="FM40" s="30"/>
      <c r="FN40" s="30"/>
      <c r="FO40" s="30"/>
      <c r="FP40" s="30"/>
      <c r="FQ40" s="30"/>
      <c r="FR40" s="30"/>
      <c r="FS40" s="30" t="n">
        <v>156000</v>
      </c>
      <c r="FT40" s="30"/>
      <c r="FU40" s="30"/>
      <c r="FV40" s="30"/>
      <c r="FW40" s="30"/>
      <c r="FX40" s="30" t="n">
        <v>156000</v>
      </c>
      <c r="FY40" s="30"/>
      <c r="FZ40" s="30"/>
      <c r="GA40" s="30"/>
      <c r="GB40" s="30"/>
      <c r="GC40" s="30"/>
      <c r="GD40" s="30"/>
      <c r="GE40" s="30"/>
      <c r="GF40" s="30" t="n">
        <v>156000</v>
      </c>
      <c r="GG40" s="30"/>
      <c r="GH40" s="30"/>
      <c r="GI40" s="30"/>
      <c r="GJ40" s="30"/>
      <c r="GK40" s="30" t="n">
        <v>156000</v>
      </c>
      <c r="GL40" s="30"/>
      <c r="GM40" s="30"/>
      <c r="GN40" s="30"/>
      <c r="GO40" s="30"/>
      <c r="GP40" s="30" t="n">
        <v>156000</v>
      </c>
      <c r="GQ40" s="30"/>
      <c r="GR40" s="30"/>
      <c r="GS40" s="30"/>
      <c r="GT40" s="30"/>
      <c r="GU40" s="30"/>
      <c r="GV40" s="30"/>
      <c r="GW40" s="30"/>
      <c r="GX40" s="30" t="n">
        <f aca="false">SUM(N40:GW40)</f>
        <v>780000</v>
      </c>
      <c r="GY40" s="36" t="n">
        <f aca="false">SUM(L40-GX40)</f>
        <v>780000</v>
      </c>
      <c r="GZ40" s="32" t="n">
        <f aca="false">SUM( H40/5)</f>
        <v>20</v>
      </c>
      <c r="HA40" s="32" t="n">
        <f aca="false">SUM( I40/5)</f>
        <v>20</v>
      </c>
      <c r="HB40" s="33" t="n">
        <f aca="false">SUM(GZ40/4)</f>
        <v>5</v>
      </c>
      <c r="HC40" s="33" t="n">
        <f aca="false">SUM(HA40/4)</f>
        <v>5</v>
      </c>
    </row>
    <row r="41" customFormat="false" ht="28.5" hidden="true" customHeight="true" outlineLevel="0" collapsed="false">
      <c r="A41" s="26" t="n">
        <v>3584</v>
      </c>
      <c r="B41" s="21" t="s">
        <v>280</v>
      </c>
      <c r="C41" s="21" t="s">
        <v>281</v>
      </c>
      <c r="D41" s="34" t="n">
        <v>20386454729</v>
      </c>
      <c r="E41" s="25" t="n">
        <v>46021</v>
      </c>
      <c r="F41" s="25" t="n">
        <f aca="false">WORKDAY(E41,G41)</f>
        <v>46133</v>
      </c>
      <c r="G41" s="26" t="n">
        <v>80</v>
      </c>
      <c r="H41" s="27" t="n">
        <f aca="false">(GX41* 5)/M41</f>
        <v>60</v>
      </c>
      <c r="I41" s="27" t="n">
        <f aca="false">G41-H41</f>
        <v>20</v>
      </c>
      <c r="J41" s="35" t="s">
        <v>283</v>
      </c>
      <c r="K41" s="36" t="n">
        <v>80000</v>
      </c>
      <c r="L41" s="36" t="n">
        <v>172800</v>
      </c>
      <c r="M41" s="29" t="n">
        <f aca="false">(L41/G41)*5</f>
        <v>10800</v>
      </c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 t="s">
        <v>214</v>
      </c>
      <c r="EL41" s="30"/>
      <c r="EM41" s="30" t="s">
        <v>214</v>
      </c>
      <c r="EN41" s="30" t="s">
        <v>214</v>
      </c>
      <c r="EO41" s="30"/>
      <c r="EP41" s="30"/>
      <c r="EQ41" s="30"/>
      <c r="ER41" s="30"/>
      <c r="ES41" s="30" t="s">
        <v>214</v>
      </c>
      <c r="ET41" s="30"/>
      <c r="EU41" s="30"/>
      <c r="EV41" s="30" t="s">
        <v>214</v>
      </c>
      <c r="EW41" s="30"/>
      <c r="EX41" s="30"/>
      <c r="EY41" s="30"/>
      <c r="EZ41" s="30"/>
      <c r="FA41" s="30"/>
      <c r="FB41" s="30"/>
      <c r="FC41" s="30" t="s">
        <v>214</v>
      </c>
      <c r="FD41" s="30"/>
      <c r="FE41" s="30"/>
      <c r="FF41" s="30"/>
      <c r="FG41" s="30"/>
      <c r="FH41" s="30"/>
      <c r="FI41" s="30"/>
      <c r="FJ41" s="30"/>
      <c r="FK41" s="30"/>
      <c r="FL41" s="30" t="s">
        <v>214</v>
      </c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 t="s">
        <v>214</v>
      </c>
      <c r="FY41" s="30"/>
      <c r="FZ41" s="30"/>
      <c r="GA41" s="30"/>
      <c r="GB41" s="30"/>
      <c r="GC41" s="30"/>
      <c r="GD41" s="30"/>
      <c r="GE41" s="30"/>
      <c r="GF41" s="30" t="n">
        <v>43200</v>
      </c>
      <c r="GG41" s="30"/>
      <c r="GH41" s="30"/>
      <c r="GI41" s="30"/>
      <c r="GJ41" s="30"/>
      <c r="GK41" s="30" t="n">
        <v>43200</v>
      </c>
      <c r="GL41" s="30"/>
      <c r="GM41" s="30"/>
      <c r="GN41" s="30"/>
      <c r="GO41" s="30"/>
      <c r="GP41" s="30" t="n">
        <v>43200</v>
      </c>
      <c r="GQ41" s="30"/>
      <c r="GR41" s="30"/>
      <c r="GS41" s="30"/>
      <c r="GT41" s="30"/>
      <c r="GU41" s="30"/>
      <c r="GV41" s="30"/>
      <c r="GW41" s="30"/>
      <c r="GX41" s="30" t="n">
        <f aca="false">SUM(N41:GW41)</f>
        <v>129600</v>
      </c>
      <c r="GY41" s="36" t="n">
        <f aca="false">SUM(L41-GX41)</f>
        <v>43200</v>
      </c>
      <c r="GZ41" s="32" t="n">
        <f aca="false">SUM( H41/5)</f>
        <v>12</v>
      </c>
      <c r="HA41" s="32" t="n">
        <f aca="false">SUM( I41/5)</f>
        <v>4</v>
      </c>
      <c r="HB41" s="33" t="n">
        <f aca="false">SUM(GZ41/4)</f>
        <v>3</v>
      </c>
      <c r="HC41" s="33" t="n">
        <f aca="false">SUM(HA41/4)</f>
        <v>1</v>
      </c>
    </row>
    <row r="42" customFormat="false" ht="28.5" hidden="true" customHeight="true" outlineLevel="0" collapsed="false">
      <c r="A42" s="26" t="n">
        <v>3612</v>
      </c>
      <c r="B42" s="21" t="s">
        <v>280</v>
      </c>
      <c r="C42" s="21" t="s">
        <v>281</v>
      </c>
      <c r="D42" s="34" t="n">
        <v>20386454729</v>
      </c>
      <c r="E42" s="25" t="n">
        <v>46043</v>
      </c>
      <c r="F42" s="25" t="n">
        <f aca="false">WORKDAY(E42,G42)</f>
        <v>46323</v>
      </c>
      <c r="G42" s="26" t="n">
        <v>200</v>
      </c>
      <c r="H42" s="27" t="n">
        <f aca="false">(GX42* 5)/M42</f>
        <v>40</v>
      </c>
      <c r="I42" s="27" t="n">
        <f aca="false">G42-H42</f>
        <v>160</v>
      </c>
      <c r="J42" s="35" t="s">
        <v>282</v>
      </c>
      <c r="K42" s="36" t="n">
        <v>500000</v>
      </c>
      <c r="L42" s="36" t="n">
        <v>1560000</v>
      </c>
      <c r="M42" s="29" t="n">
        <f aca="false">(L42/G42)*5</f>
        <v>39000</v>
      </c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 t="s">
        <v>214</v>
      </c>
      <c r="EL42" s="30"/>
      <c r="EM42" s="30" t="s">
        <v>214</v>
      </c>
      <c r="EN42" s="30" t="s">
        <v>214</v>
      </c>
      <c r="EO42" s="30"/>
      <c r="EP42" s="30"/>
      <c r="EQ42" s="30"/>
      <c r="ER42" s="30"/>
      <c r="ES42" s="30" t="s">
        <v>214</v>
      </c>
      <c r="ET42" s="30"/>
      <c r="EU42" s="30"/>
      <c r="EV42" s="30" t="s">
        <v>214</v>
      </c>
      <c r="EW42" s="30"/>
      <c r="EX42" s="30"/>
      <c r="EY42" s="30"/>
      <c r="EZ42" s="30"/>
      <c r="FA42" s="30"/>
      <c r="FB42" s="30"/>
      <c r="FC42" s="30" t="s">
        <v>214</v>
      </c>
      <c r="FD42" s="30"/>
      <c r="FE42" s="30"/>
      <c r="FF42" s="30"/>
      <c r="FG42" s="30"/>
      <c r="FH42" s="30"/>
      <c r="FI42" s="30"/>
      <c r="FJ42" s="30"/>
      <c r="FK42" s="30"/>
      <c r="FL42" s="30" t="s">
        <v>214</v>
      </c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 t="n">
        <v>156000</v>
      </c>
      <c r="GL42" s="30"/>
      <c r="GM42" s="30"/>
      <c r="GN42" s="30"/>
      <c r="GO42" s="30"/>
      <c r="GP42" s="30" t="n">
        <v>156000</v>
      </c>
      <c r="GQ42" s="30"/>
      <c r="GR42" s="30"/>
      <c r="GS42" s="30"/>
      <c r="GT42" s="30"/>
      <c r="GU42" s="30"/>
      <c r="GV42" s="30"/>
      <c r="GW42" s="30"/>
      <c r="GX42" s="30" t="n">
        <f aca="false">SUM(N42:GW42)</f>
        <v>312000</v>
      </c>
      <c r="GY42" s="36" t="n">
        <f aca="false">SUM(L42-GX42)</f>
        <v>1248000</v>
      </c>
      <c r="GZ42" s="32" t="n">
        <f aca="false">SUM( H42/5)</f>
        <v>8</v>
      </c>
      <c r="HA42" s="32" t="n">
        <f aca="false">SUM( I42/5)</f>
        <v>32</v>
      </c>
      <c r="HB42" s="33" t="n">
        <f aca="false">SUM(GZ42/4)</f>
        <v>2</v>
      </c>
      <c r="HC42" s="33" t="n">
        <f aca="false">SUM(HA42/4)</f>
        <v>8</v>
      </c>
    </row>
    <row r="43" customFormat="false" ht="28.5" hidden="true" customHeight="true" outlineLevel="0" collapsed="false">
      <c r="A43" s="26" t="n">
        <v>3725</v>
      </c>
      <c r="B43" s="21" t="s">
        <v>280</v>
      </c>
      <c r="C43" s="21" t="s">
        <v>281</v>
      </c>
      <c r="D43" s="34" t="n">
        <v>20386454729</v>
      </c>
      <c r="E43" s="25" t="n">
        <v>46128</v>
      </c>
      <c r="F43" s="25" t="n">
        <f aca="false">WORKDAY(E43,G43)</f>
        <v>46240</v>
      </c>
      <c r="G43" s="26" t="n">
        <v>80</v>
      </c>
      <c r="H43" s="27" t="n">
        <f aca="false">(GX43* 5)/M43</f>
        <v>20</v>
      </c>
      <c r="I43" s="27" t="n">
        <f aca="false">G43-H43</f>
        <v>60</v>
      </c>
      <c r="J43" s="35" t="s">
        <v>284</v>
      </c>
      <c r="K43" s="31" t="n">
        <v>250000</v>
      </c>
      <c r="L43" s="31" t="n">
        <v>540000</v>
      </c>
      <c r="M43" s="37" t="n">
        <f aca="false">(L43/G43)*5</f>
        <v>33750</v>
      </c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 t="s">
        <v>214</v>
      </c>
      <c r="EL43" s="30"/>
      <c r="EM43" s="30" t="s">
        <v>214</v>
      </c>
      <c r="EN43" s="30" t="s">
        <v>214</v>
      </c>
      <c r="EO43" s="30"/>
      <c r="EP43" s="30"/>
      <c r="EQ43" s="30"/>
      <c r="ER43" s="30"/>
      <c r="ES43" s="30" t="s">
        <v>214</v>
      </c>
      <c r="ET43" s="30"/>
      <c r="EU43" s="30"/>
      <c r="EV43" s="30" t="s">
        <v>214</v>
      </c>
      <c r="EW43" s="30"/>
      <c r="EX43" s="30"/>
      <c r="EY43" s="30"/>
      <c r="EZ43" s="30"/>
      <c r="FA43" s="30"/>
      <c r="FB43" s="30"/>
      <c r="FC43" s="30" t="s">
        <v>214</v>
      </c>
      <c r="FD43" s="30"/>
      <c r="FE43" s="30"/>
      <c r="FF43" s="30"/>
      <c r="FG43" s="30"/>
      <c r="FH43" s="30"/>
      <c r="FI43" s="30"/>
      <c r="FJ43" s="30"/>
      <c r="FK43" s="30"/>
      <c r="FL43" s="30" t="s">
        <v>214</v>
      </c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 t="n">
        <v>135000</v>
      </c>
      <c r="GQ43" s="30"/>
      <c r="GR43" s="30"/>
      <c r="GS43" s="30"/>
      <c r="GT43" s="30"/>
      <c r="GU43" s="30"/>
      <c r="GV43" s="30"/>
      <c r="GW43" s="30"/>
      <c r="GX43" s="30" t="n">
        <f aca="false">SUM(N43:GW43)</f>
        <v>135000</v>
      </c>
      <c r="GY43" s="36" t="n">
        <f aca="false">SUM(L43-GX43)</f>
        <v>405000</v>
      </c>
      <c r="GZ43" s="32" t="n">
        <f aca="false">SUM( H43/5)</f>
        <v>4</v>
      </c>
      <c r="HA43" s="32" t="n">
        <f aca="false">SUM( I43/5)</f>
        <v>12</v>
      </c>
      <c r="HB43" s="33" t="n">
        <f aca="false">SUM(GZ43/4)</f>
        <v>1</v>
      </c>
      <c r="HC43" s="33" t="n">
        <f aca="false">SUM(HA43/4)</f>
        <v>3</v>
      </c>
    </row>
    <row r="44" customFormat="false" ht="28.5" hidden="true" customHeight="false" outlineLevel="0" collapsed="false">
      <c r="A44" s="26" t="n">
        <v>3719</v>
      </c>
      <c r="B44" s="21" t="s">
        <v>285</v>
      </c>
      <c r="C44" s="21" t="s">
        <v>286</v>
      </c>
      <c r="D44" s="34"/>
      <c r="E44" s="25" t="n">
        <v>46123</v>
      </c>
      <c r="F44" s="25" t="n">
        <f aca="false">WORKDAY(E44,G44)</f>
        <v>46290</v>
      </c>
      <c r="G44" s="26" t="n">
        <v>120</v>
      </c>
      <c r="H44" s="27" t="n">
        <f aca="false">(GX44* 5)/M44</f>
        <v>40</v>
      </c>
      <c r="I44" s="27" t="n">
        <f aca="false">G44-H44</f>
        <v>80</v>
      </c>
      <c r="J44" s="35" t="s">
        <v>287</v>
      </c>
      <c r="K44" s="36" t="n">
        <v>150000</v>
      </c>
      <c r="L44" s="36" t="n">
        <v>396000</v>
      </c>
      <c r="M44" s="37" t="n">
        <f aca="false">(L44/G44)*5</f>
        <v>16500</v>
      </c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 t="s">
        <v>214</v>
      </c>
      <c r="EL44" s="30"/>
      <c r="EM44" s="30" t="s">
        <v>214</v>
      </c>
      <c r="EN44" s="30" t="s">
        <v>214</v>
      </c>
      <c r="EO44" s="30"/>
      <c r="EP44" s="30"/>
      <c r="EQ44" s="30"/>
      <c r="ER44" s="30"/>
      <c r="ES44" s="30" t="s">
        <v>214</v>
      </c>
      <c r="ET44" s="30"/>
      <c r="EU44" s="30"/>
      <c r="EV44" s="30" t="s">
        <v>214</v>
      </c>
      <c r="EW44" s="30"/>
      <c r="EX44" s="30"/>
      <c r="EY44" s="30"/>
      <c r="EZ44" s="30"/>
      <c r="FA44" s="30"/>
      <c r="FB44" s="30"/>
      <c r="FC44" s="30" t="s">
        <v>214</v>
      </c>
      <c r="FD44" s="30"/>
      <c r="FE44" s="30"/>
      <c r="FF44" s="30"/>
      <c r="FG44" s="30"/>
      <c r="FH44" s="30"/>
      <c r="FI44" s="30"/>
      <c r="FJ44" s="30"/>
      <c r="FK44" s="30"/>
      <c r="FL44" s="30" t="s">
        <v>214</v>
      </c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  <c r="GK44" s="30"/>
      <c r="GL44" s="30"/>
      <c r="GM44" s="30"/>
      <c r="GN44" s="30"/>
      <c r="GO44" s="30"/>
      <c r="GP44" s="30" t="n">
        <v>66000</v>
      </c>
      <c r="GQ44" s="30"/>
      <c r="GR44" s="30"/>
      <c r="GS44" s="30"/>
      <c r="GT44" s="30"/>
      <c r="GU44" s="30" t="n">
        <v>66000</v>
      </c>
      <c r="GV44" s="30"/>
      <c r="GW44" s="30"/>
      <c r="GX44" s="30" t="n">
        <f aca="false">SUM(N44:GW44)</f>
        <v>132000</v>
      </c>
      <c r="GY44" s="36" t="n">
        <f aca="false">SUM(L44-GX44)</f>
        <v>264000</v>
      </c>
      <c r="GZ44" s="32" t="n">
        <f aca="false">SUM( H44/5)</f>
        <v>8</v>
      </c>
      <c r="HA44" s="32" t="n">
        <f aca="false">SUM( I44/5)</f>
        <v>16</v>
      </c>
      <c r="HB44" s="33" t="n">
        <f aca="false">SUM(GZ44/4)</f>
        <v>2</v>
      </c>
      <c r="HC44" s="33" t="n">
        <f aca="false">SUM(HA44/4)</f>
        <v>4</v>
      </c>
    </row>
    <row r="45" customFormat="false" ht="28.5" hidden="true" customHeight="true" outlineLevel="0" collapsed="false">
      <c r="A45" s="26" t="n">
        <v>3741</v>
      </c>
      <c r="B45" s="21" t="s">
        <v>285</v>
      </c>
      <c r="C45" s="21" t="s">
        <v>286</v>
      </c>
      <c r="D45" s="34"/>
      <c r="E45" s="25" t="n">
        <v>46136</v>
      </c>
      <c r="F45" s="25" t="n">
        <f aca="false">WORKDAY(E45,G45)</f>
        <v>46248</v>
      </c>
      <c r="G45" s="26" t="n">
        <v>80</v>
      </c>
      <c r="H45" s="27" t="n">
        <f aca="false">(GX45* 5)/M45</f>
        <v>40</v>
      </c>
      <c r="I45" s="27" t="n">
        <f aca="false">G45-H45</f>
        <v>40</v>
      </c>
      <c r="J45" s="35" t="s">
        <v>259</v>
      </c>
      <c r="K45" s="36" t="n">
        <v>100000</v>
      </c>
      <c r="L45" s="36" t="n">
        <v>216000</v>
      </c>
      <c r="M45" s="29" t="n">
        <f aca="false">(L45/G45)*5</f>
        <v>13500</v>
      </c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 t="s">
        <v>214</v>
      </c>
      <c r="EL45" s="30"/>
      <c r="EM45" s="30" t="s">
        <v>214</v>
      </c>
      <c r="EN45" s="30" t="s">
        <v>214</v>
      </c>
      <c r="EO45" s="30"/>
      <c r="EP45" s="30"/>
      <c r="EQ45" s="30"/>
      <c r="ER45" s="30"/>
      <c r="ES45" s="30" t="s">
        <v>214</v>
      </c>
      <c r="ET45" s="30"/>
      <c r="EU45" s="30"/>
      <c r="EV45" s="30" t="s">
        <v>214</v>
      </c>
      <c r="EW45" s="30"/>
      <c r="EX45" s="30"/>
      <c r="EY45" s="30"/>
      <c r="EZ45" s="30"/>
      <c r="FA45" s="30"/>
      <c r="FB45" s="30"/>
      <c r="FC45" s="30" t="s">
        <v>214</v>
      </c>
      <c r="FD45" s="30"/>
      <c r="FE45" s="30"/>
      <c r="FF45" s="30"/>
      <c r="FG45" s="30"/>
      <c r="FH45" s="30"/>
      <c r="FI45" s="30"/>
      <c r="FJ45" s="30"/>
      <c r="FK45" s="30"/>
      <c r="FL45" s="30" t="s">
        <v>214</v>
      </c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GK45" s="30"/>
      <c r="GL45" s="30"/>
      <c r="GM45" s="30"/>
      <c r="GN45" s="30"/>
      <c r="GO45" s="30"/>
      <c r="GP45" s="30" t="n">
        <v>54000</v>
      </c>
      <c r="GQ45" s="30"/>
      <c r="GR45" s="30"/>
      <c r="GS45" s="30"/>
      <c r="GT45" s="30" t="n">
        <v>54000</v>
      </c>
      <c r="GU45" s="30"/>
      <c r="GV45" s="30"/>
      <c r="GW45" s="30"/>
      <c r="GX45" s="30" t="n">
        <f aca="false">SUM(N45:GW45)</f>
        <v>108000</v>
      </c>
      <c r="GY45" s="36" t="n">
        <f aca="false">SUM(L45-GX45)</f>
        <v>108000</v>
      </c>
      <c r="GZ45" s="32" t="n">
        <f aca="false">SUM( H45/5)</f>
        <v>8</v>
      </c>
      <c r="HA45" s="32" t="n">
        <f aca="false">SUM( I45/5)</f>
        <v>8</v>
      </c>
      <c r="HB45" s="33" t="n">
        <f aca="false">SUM(GZ45/4)</f>
        <v>2</v>
      </c>
      <c r="HC45" s="33" t="n">
        <f aca="false">SUM(HA45/4)</f>
        <v>2</v>
      </c>
    </row>
    <row r="46" customFormat="false" ht="28.5" hidden="true" customHeight="true" outlineLevel="0" collapsed="false">
      <c r="A46" s="26" t="n">
        <v>3771</v>
      </c>
      <c r="B46" s="21" t="s">
        <v>285</v>
      </c>
      <c r="C46" s="21" t="s">
        <v>286</v>
      </c>
      <c r="D46" s="34"/>
      <c r="E46" s="25" t="n">
        <v>46162</v>
      </c>
      <c r="F46" s="25" t="n">
        <f aca="false">WORKDAY(E46,G46)</f>
        <v>46246</v>
      </c>
      <c r="G46" s="26" t="n">
        <v>60</v>
      </c>
      <c r="H46" s="27" t="n">
        <f aca="false">(GX46* 5)/M46</f>
        <v>20</v>
      </c>
      <c r="I46" s="27" t="n">
        <f aca="false">G46-H46</f>
        <v>40</v>
      </c>
      <c r="J46" s="35" t="s">
        <v>288</v>
      </c>
      <c r="K46" s="31" t="n">
        <v>60000</v>
      </c>
      <c r="L46" s="31" t="n">
        <v>115200</v>
      </c>
      <c r="M46" s="37" t="n">
        <f aca="false">(L46/G46)*5</f>
        <v>9600</v>
      </c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 t="s">
        <v>214</v>
      </c>
      <c r="EL46" s="30"/>
      <c r="EM46" s="30" t="s">
        <v>214</v>
      </c>
      <c r="EN46" s="30" t="s">
        <v>214</v>
      </c>
      <c r="EO46" s="30"/>
      <c r="EP46" s="30"/>
      <c r="EQ46" s="30"/>
      <c r="ER46" s="30"/>
      <c r="ES46" s="30" t="s">
        <v>214</v>
      </c>
      <c r="ET46" s="30"/>
      <c r="EU46" s="30"/>
      <c r="EV46" s="30" t="s">
        <v>214</v>
      </c>
      <c r="EW46" s="30"/>
      <c r="EX46" s="30"/>
      <c r="EY46" s="30"/>
      <c r="EZ46" s="30"/>
      <c r="FA46" s="30"/>
      <c r="FB46" s="30"/>
      <c r="FC46" s="30" t="s">
        <v>214</v>
      </c>
      <c r="FD46" s="30"/>
      <c r="FE46" s="30"/>
      <c r="FF46" s="30"/>
      <c r="FG46" s="30"/>
      <c r="FH46" s="30"/>
      <c r="FI46" s="30"/>
      <c r="FJ46" s="30"/>
      <c r="FK46" s="30"/>
      <c r="FL46" s="30" t="s">
        <v>214</v>
      </c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 t="n">
        <v>38400</v>
      </c>
      <c r="GU46" s="30"/>
      <c r="GV46" s="30"/>
      <c r="GW46" s="30"/>
      <c r="GX46" s="30" t="n">
        <f aca="false">SUM(N46:GW46)</f>
        <v>38400</v>
      </c>
      <c r="GY46" s="36" t="n">
        <f aca="false">SUM(L46-GX46)</f>
        <v>76800</v>
      </c>
      <c r="GZ46" s="32" t="n">
        <f aca="false">SUM( H46/5)</f>
        <v>4</v>
      </c>
      <c r="HA46" s="32" t="n">
        <f aca="false">SUM( I46/5)</f>
        <v>8</v>
      </c>
      <c r="HB46" s="33" t="n">
        <f aca="false">SUM(GZ46/4)</f>
        <v>1</v>
      </c>
      <c r="HC46" s="33" t="n">
        <f aca="false">SUM(HA46/4)</f>
        <v>2</v>
      </c>
    </row>
    <row r="47" customFormat="false" ht="28.5" hidden="true" customHeight="true" outlineLevel="0" collapsed="false">
      <c r="A47" s="26" t="n">
        <v>3781</v>
      </c>
      <c r="B47" s="21" t="s">
        <v>285</v>
      </c>
      <c r="C47" s="21" t="s">
        <v>286</v>
      </c>
      <c r="D47" s="34"/>
      <c r="E47" s="25" t="n">
        <v>46169</v>
      </c>
      <c r="F47" s="25" t="n">
        <f aca="false">WORKDAY(E47,G47)</f>
        <v>46253</v>
      </c>
      <c r="G47" s="26" t="n">
        <v>60</v>
      </c>
      <c r="H47" s="27" t="n">
        <f aca="false">(GX47* 5)/M47</f>
        <v>20</v>
      </c>
      <c r="I47" s="27" t="n">
        <f aca="false">G47-H47</f>
        <v>40</v>
      </c>
      <c r="J47" s="35" t="s">
        <v>289</v>
      </c>
      <c r="K47" s="36" t="n">
        <v>50000</v>
      </c>
      <c r="L47" s="36" t="n">
        <v>96000</v>
      </c>
      <c r="M47" s="37" t="n">
        <f aca="false">(L47/G47)*5</f>
        <v>8000</v>
      </c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 t="s">
        <v>214</v>
      </c>
      <c r="EL47" s="30"/>
      <c r="EM47" s="30" t="s">
        <v>214</v>
      </c>
      <c r="EN47" s="30" t="s">
        <v>214</v>
      </c>
      <c r="EO47" s="30"/>
      <c r="EP47" s="30"/>
      <c r="EQ47" s="30"/>
      <c r="ER47" s="30"/>
      <c r="ES47" s="30" t="s">
        <v>214</v>
      </c>
      <c r="ET47" s="30"/>
      <c r="EU47" s="30"/>
      <c r="EV47" s="30" t="s">
        <v>214</v>
      </c>
      <c r="EW47" s="30"/>
      <c r="EX47" s="30"/>
      <c r="EY47" s="30"/>
      <c r="EZ47" s="30"/>
      <c r="FA47" s="30"/>
      <c r="FB47" s="30"/>
      <c r="FC47" s="30" t="s">
        <v>214</v>
      </c>
      <c r="FD47" s="30"/>
      <c r="FE47" s="30"/>
      <c r="FF47" s="30"/>
      <c r="FG47" s="30"/>
      <c r="FH47" s="30"/>
      <c r="FI47" s="30"/>
      <c r="FJ47" s="30"/>
      <c r="FK47" s="30"/>
      <c r="FL47" s="30" t="s">
        <v>214</v>
      </c>
      <c r="FM47" s="30"/>
      <c r="FN47" s="30"/>
      <c r="FO47" s="30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  <c r="GA47" s="30"/>
      <c r="GB47" s="30"/>
      <c r="GC47" s="30"/>
      <c r="GD47" s="30"/>
      <c r="GE47" s="30"/>
      <c r="GF47" s="30"/>
      <c r="GG47" s="30"/>
      <c r="GH47" s="30"/>
      <c r="GI47" s="30"/>
      <c r="GJ47" s="30"/>
      <c r="GK47" s="30"/>
      <c r="GL47" s="30"/>
      <c r="GM47" s="30"/>
      <c r="GN47" s="30"/>
      <c r="GO47" s="30"/>
      <c r="GP47" s="30"/>
      <c r="GQ47" s="30"/>
      <c r="GR47" s="30"/>
      <c r="GS47" s="30"/>
      <c r="GT47" s="30" t="n">
        <v>32000</v>
      </c>
      <c r="GU47" s="30"/>
      <c r="GV47" s="30"/>
      <c r="GW47" s="30"/>
      <c r="GX47" s="30" t="n">
        <f aca="false">SUM(N47:GW47)</f>
        <v>32000</v>
      </c>
      <c r="GY47" s="36" t="n">
        <f aca="false">SUM(L47-GX47)</f>
        <v>64000</v>
      </c>
      <c r="GZ47" s="32" t="n">
        <f aca="false">SUM( H47/5)</f>
        <v>4</v>
      </c>
      <c r="HA47" s="32" t="n">
        <f aca="false">SUM( I47/5)</f>
        <v>8</v>
      </c>
      <c r="HB47" s="33" t="n">
        <f aca="false">SUM(GZ47/4)</f>
        <v>1</v>
      </c>
      <c r="HC47" s="33" t="n">
        <f aca="false">SUM(HA47/4)</f>
        <v>2</v>
      </c>
    </row>
    <row r="48" customFormat="false" ht="28.5" hidden="true" customHeight="true" outlineLevel="0" collapsed="false">
      <c r="A48" s="26" t="n">
        <v>3811</v>
      </c>
      <c r="B48" s="21" t="s">
        <v>285</v>
      </c>
      <c r="C48" s="21" t="s">
        <v>286</v>
      </c>
      <c r="D48" s="34"/>
      <c r="E48" s="25" t="n">
        <v>46191</v>
      </c>
      <c r="F48" s="25" t="n">
        <f aca="false">WORKDAY(E48,G48)</f>
        <v>46303</v>
      </c>
      <c r="G48" s="26" t="n">
        <v>80</v>
      </c>
      <c r="H48" s="27" t="n">
        <f aca="false">(GX48* 5)/M48</f>
        <v>0</v>
      </c>
      <c r="I48" s="27" t="n">
        <f aca="false">G48-H48</f>
        <v>80</v>
      </c>
      <c r="J48" s="35" t="s">
        <v>290</v>
      </c>
      <c r="K48" s="36" t="n">
        <v>60000</v>
      </c>
      <c r="L48" s="36" t="n">
        <v>129600</v>
      </c>
      <c r="M48" s="37" t="n">
        <f aca="false">(L48/G48)*5</f>
        <v>8100</v>
      </c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 t="s">
        <v>214</v>
      </c>
      <c r="EL48" s="30"/>
      <c r="EM48" s="30" t="s">
        <v>214</v>
      </c>
      <c r="EN48" s="30" t="s">
        <v>214</v>
      </c>
      <c r="EO48" s="30"/>
      <c r="EP48" s="30"/>
      <c r="EQ48" s="30"/>
      <c r="ER48" s="30"/>
      <c r="ES48" s="30" t="s">
        <v>214</v>
      </c>
      <c r="ET48" s="30"/>
      <c r="EU48" s="30"/>
      <c r="EV48" s="30" t="s">
        <v>214</v>
      </c>
      <c r="EW48" s="30"/>
      <c r="EX48" s="30"/>
      <c r="EY48" s="30"/>
      <c r="EZ48" s="30"/>
      <c r="FA48" s="30"/>
      <c r="FB48" s="30"/>
      <c r="FC48" s="30" t="s">
        <v>214</v>
      </c>
      <c r="FD48" s="30"/>
      <c r="FE48" s="30"/>
      <c r="FF48" s="30"/>
      <c r="FG48" s="30"/>
      <c r="FH48" s="30"/>
      <c r="FI48" s="30"/>
      <c r="FJ48" s="30"/>
      <c r="FK48" s="30"/>
      <c r="FL48" s="30" t="s">
        <v>214</v>
      </c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  <c r="GQ48" s="30"/>
      <c r="GR48" s="30"/>
      <c r="GS48" s="30"/>
      <c r="GT48" s="30"/>
      <c r="GU48" s="30"/>
      <c r="GV48" s="30"/>
      <c r="GW48" s="30"/>
      <c r="GX48" s="30" t="n">
        <f aca="false">SUM(N48:GW48)</f>
        <v>0</v>
      </c>
      <c r="GY48" s="36" t="n">
        <f aca="false">SUM(L48-GX48)</f>
        <v>129600</v>
      </c>
      <c r="GZ48" s="32" t="n">
        <f aca="false">SUM( H48/5)</f>
        <v>0</v>
      </c>
      <c r="HA48" s="32" t="n">
        <f aca="false">SUM( I48/5)</f>
        <v>16</v>
      </c>
      <c r="HB48" s="33" t="n">
        <f aca="false">SUM(GZ48/4)</f>
        <v>0</v>
      </c>
      <c r="HC48" s="33" t="n">
        <f aca="false">SUM(HA48/4)</f>
        <v>4</v>
      </c>
    </row>
    <row r="49" customFormat="false" ht="28.5" hidden="true" customHeight="true" outlineLevel="0" collapsed="false">
      <c r="A49" s="26" t="n">
        <v>3819</v>
      </c>
      <c r="B49" s="21" t="s">
        <v>285</v>
      </c>
      <c r="C49" s="21" t="s">
        <v>286</v>
      </c>
      <c r="D49" s="34"/>
      <c r="E49" s="25" t="n">
        <v>46197</v>
      </c>
      <c r="F49" s="25" t="n">
        <f aca="false">WORKDAY(E49,G49)</f>
        <v>46309</v>
      </c>
      <c r="G49" s="26" t="n">
        <v>80</v>
      </c>
      <c r="H49" s="27" t="n">
        <f aca="false">(GX49* 5)/M49</f>
        <v>0</v>
      </c>
      <c r="I49" s="27" t="n">
        <f aca="false">G49-H49</f>
        <v>80</v>
      </c>
      <c r="J49" s="35" t="s">
        <v>290</v>
      </c>
      <c r="K49" s="31" t="n">
        <v>60000</v>
      </c>
      <c r="L49" s="31" t="n">
        <v>129600</v>
      </c>
      <c r="M49" s="37" t="n">
        <f aca="false">(L49/G49)*5</f>
        <v>8100</v>
      </c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 t="s">
        <v>214</v>
      </c>
      <c r="EL49" s="30"/>
      <c r="EM49" s="30" t="s">
        <v>214</v>
      </c>
      <c r="EN49" s="30" t="s">
        <v>214</v>
      </c>
      <c r="EO49" s="30"/>
      <c r="EP49" s="30"/>
      <c r="EQ49" s="30"/>
      <c r="ER49" s="30"/>
      <c r="ES49" s="30" t="s">
        <v>214</v>
      </c>
      <c r="ET49" s="30"/>
      <c r="EU49" s="30"/>
      <c r="EV49" s="30" t="s">
        <v>214</v>
      </c>
      <c r="EW49" s="30"/>
      <c r="EX49" s="30"/>
      <c r="EY49" s="30"/>
      <c r="EZ49" s="30"/>
      <c r="FA49" s="30"/>
      <c r="FB49" s="30"/>
      <c r="FC49" s="30" t="s">
        <v>214</v>
      </c>
      <c r="FD49" s="30"/>
      <c r="FE49" s="30"/>
      <c r="FF49" s="30"/>
      <c r="FG49" s="30"/>
      <c r="FH49" s="30"/>
      <c r="FI49" s="30"/>
      <c r="FJ49" s="30"/>
      <c r="FK49" s="30"/>
      <c r="FL49" s="30" t="s">
        <v>214</v>
      </c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  <c r="GA49" s="30"/>
      <c r="GB49" s="30"/>
      <c r="GC49" s="30"/>
      <c r="GD49" s="30"/>
      <c r="GE49" s="30"/>
      <c r="GF49" s="30"/>
      <c r="GG49" s="30"/>
      <c r="GH49" s="30"/>
      <c r="GI49" s="30"/>
      <c r="GJ49" s="30"/>
      <c r="GK49" s="30"/>
      <c r="GL49" s="30"/>
      <c r="GM49" s="30"/>
      <c r="GN49" s="30"/>
      <c r="GO49" s="30"/>
      <c r="GP49" s="30"/>
      <c r="GQ49" s="30"/>
      <c r="GR49" s="30"/>
      <c r="GS49" s="30"/>
      <c r="GT49" s="30"/>
      <c r="GU49" s="30"/>
      <c r="GV49" s="30"/>
      <c r="GW49" s="30"/>
      <c r="GX49" s="30" t="n">
        <f aca="false">SUM(N49:GW49)</f>
        <v>0</v>
      </c>
      <c r="GY49" s="36" t="n">
        <f aca="false">SUM(L49-GX49)</f>
        <v>129600</v>
      </c>
      <c r="GZ49" s="32" t="n">
        <f aca="false">SUM( H49/5)</f>
        <v>0</v>
      </c>
      <c r="HA49" s="32" t="n">
        <f aca="false">SUM( I49/5)</f>
        <v>16</v>
      </c>
      <c r="HB49" s="33" t="n">
        <f aca="false">SUM(GZ49/4)</f>
        <v>0</v>
      </c>
      <c r="HC49" s="33" t="n">
        <f aca="false">SUM(HA49/4)</f>
        <v>4</v>
      </c>
    </row>
    <row r="50" customFormat="false" ht="28.5" hidden="true" customHeight="true" outlineLevel="0" collapsed="false">
      <c r="A50" s="26" t="n">
        <v>2691</v>
      </c>
      <c r="B50" s="21" t="s">
        <v>291</v>
      </c>
      <c r="C50" s="21" t="s">
        <v>292</v>
      </c>
      <c r="D50" s="34"/>
      <c r="E50" s="25" t="n">
        <v>45983</v>
      </c>
      <c r="F50" s="25" t="n">
        <f aca="false">WORKDAY(E50,G50)</f>
        <v>46262</v>
      </c>
      <c r="G50" s="26" t="n">
        <v>200</v>
      </c>
      <c r="H50" s="27" t="n">
        <f aca="false">(GX50* 5)/M50</f>
        <v>119.935897435897</v>
      </c>
      <c r="I50" s="27" t="n">
        <f aca="false">G50-H50</f>
        <v>80.0641025641026</v>
      </c>
      <c r="J50" s="35" t="s">
        <v>293</v>
      </c>
      <c r="K50" s="36" t="n">
        <v>200000</v>
      </c>
      <c r="L50" s="36" t="n">
        <v>624000</v>
      </c>
      <c r="M50" s="37" t="n">
        <f aca="false">(L50/G50)*5</f>
        <v>15600</v>
      </c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 t="s">
        <v>214</v>
      </c>
      <c r="EL50" s="30"/>
      <c r="EM50" s="30" t="s">
        <v>214</v>
      </c>
      <c r="EN50" s="30" t="s">
        <v>214</v>
      </c>
      <c r="EO50" s="30"/>
      <c r="EP50" s="30"/>
      <c r="EQ50" s="30"/>
      <c r="ER50" s="30"/>
      <c r="ES50" s="30" t="s">
        <v>214</v>
      </c>
      <c r="ET50" s="30"/>
      <c r="EU50" s="30"/>
      <c r="EV50" s="30" t="s">
        <v>214</v>
      </c>
      <c r="EW50" s="30"/>
      <c r="EX50" s="30"/>
      <c r="EY50" s="30"/>
      <c r="EZ50" s="30"/>
      <c r="FA50" s="30"/>
      <c r="FB50" s="30"/>
      <c r="FC50" s="30" t="s">
        <v>214</v>
      </c>
      <c r="FD50" s="30"/>
      <c r="FE50" s="30"/>
      <c r="FF50" s="30"/>
      <c r="FG50" s="30"/>
      <c r="FH50" s="30"/>
      <c r="FI50" s="30"/>
      <c r="FJ50" s="30"/>
      <c r="FK50" s="30"/>
      <c r="FL50" s="30" t="s">
        <v>214</v>
      </c>
      <c r="FM50" s="30"/>
      <c r="FN50" s="30"/>
      <c r="FO50" s="30"/>
      <c r="FP50" s="30"/>
      <c r="FQ50" s="30"/>
      <c r="FR50" s="30"/>
      <c r="FS50" s="30"/>
      <c r="FT50" s="30"/>
      <c r="FU50" s="30" t="n">
        <v>62400</v>
      </c>
      <c r="FV50" s="30"/>
      <c r="FW50" s="30" t="n">
        <v>62400</v>
      </c>
      <c r="FX50" s="30"/>
      <c r="FY50" s="30"/>
      <c r="FZ50" s="30" t="n">
        <v>62400</v>
      </c>
      <c r="GA50" s="30"/>
      <c r="GB50" s="30"/>
      <c r="GC50" s="30"/>
      <c r="GD50" s="30"/>
      <c r="GE50" s="30"/>
      <c r="GF50" s="30"/>
      <c r="GG50" s="30"/>
      <c r="GH50" s="30"/>
      <c r="GI50" s="30"/>
      <c r="GJ50" s="30"/>
      <c r="GK50" s="30"/>
      <c r="GL50" s="30"/>
      <c r="GM50" s="30"/>
      <c r="GN50" s="30" t="n">
        <v>62000</v>
      </c>
      <c r="GO50" s="30"/>
      <c r="GP50" s="30"/>
      <c r="GQ50" s="30" t="n">
        <v>62500</v>
      </c>
      <c r="GR50" s="30"/>
      <c r="GS50" s="30"/>
      <c r="GT50" s="30"/>
      <c r="GU50" s="30"/>
      <c r="GV50" s="30"/>
      <c r="GW50" s="30" t="n">
        <v>62500</v>
      </c>
      <c r="GX50" s="30" t="n">
        <f aca="false">SUM(N50:GW50)</f>
        <v>374200</v>
      </c>
      <c r="GY50" s="36" t="n">
        <f aca="false">SUM(L50-GX50)</f>
        <v>249800</v>
      </c>
      <c r="GZ50" s="32" t="n">
        <f aca="false">SUM( H50/5)</f>
        <v>23.9871794871795</v>
      </c>
      <c r="HA50" s="32" t="n">
        <f aca="false">SUM( I50/5)</f>
        <v>16.0128205128205</v>
      </c>
      <c r="HB50" s="33" t="n">
        <f aca="false">SUM(GZ50/4)</f>
        <v>5.99679487179487</v>
      </c>
      <c r="HC50" s="33" t="n">
        <f aca="false">SUM(HA50/4)</f>
        <v>4.00320512820513</v>
      </c>
    </row>
    <row r="51" customFormat="false" ht="28.5" hidden="true" customHeight="true" outlineLevel="0" collapsed="false">
      <c r="A51" s="26" t="n">
        <v>3205</v>
      </c>
      <c r="B51" s="21" t="s">
        <v>291</v>
      </c>
      <c r="C51" s="21" t="s">
        <v>292</v>
      </c>
      <c r="D51" s="34"/>
      <c r="E51" s="25" t="n">
        <v>46028</v>
      </c>
      <c r="F51" s="25" t="n">
        <f aca="false">WORKDAY(E51,G51)</f>
        <v>46182</v>
      </c>
      <c r="G51" s="26" t="n">
        <v>110</v>
      </c>
      <c r="H51" s="27" t="n">
        <f aca="false">(GX51* 5)/M51</f>
        <v>109.166666666667</v>
      </c>
      <c r="I51" s="27" t="n">
        <f aca="false">G51-H51</f>
        <v>0.833333333333329</v>
      </c>
      <c r="J51" s="49" t="s">
        <v>294</v>
      </c>
      <c r="K51" s="36" t="n">
        <v>120000</v>
      </c>
      <c r="L51" s="36" t="n">
        <v>316800</v>
      </c>
      <c r="M51" s="37" t="n">
        <f aca="false">(L51/G51)*5</f>
        <v>14400</v>
      </c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 t="s">
        <v>214</v>
      </c>
      <c r="EL51" s="30"/>
      <c r="EM51" s="30" t="s">
        <v>214</v>
      </c>
      <c r="EN51" s="30" t="s">
        <v>214</v>
      </c>
      <c r="EO51" s="30"/>
      <c r="EP51" s="30"/>
      <c r="EQ51" s="30"/>
      <c r="ER51" s="30"/>
      <c r="ES51" s="30" t="s">
        <v>214</v>
      </c>
      <c r="ET51" s="30"/>
      <c r="EU51" s="30"/>
      <c r="EV51" s="30" t="s">
        <v>214</v>
      </c>
      <c r="EW51" s="30"/>
      <c r="EX51" s="30"/>
      <c r="EY51" s="30"/>
      <c r="EZ51" s="30"/>
      <c r="FA51" s="30"/>
      <c r="FB51" s="30"/>
      <c r="FC51" s="30" t="s">
        <v>214</v>
      </c>
      <c r="FD51" s="30"/>
      <c r="FE51" s="30"/>
      <c r="FF51" s="30"/>
      <c r="FG51" s="30"/>
      <c r="FH51" s="30"/>
      <c r="FI51" s="30"/>
      <c r="FJ51" s="30"/>
      <c r="FK51" s="30"/>
      <c r="FL51" s="30" t="s">
        <v>214</v>
      </c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 t="n">
        <v>29000</v>
      </c>
      <c r="FZ51" s="30"/>
      <c r="GA51" s="30"/>
      <c r="GB51" s="30"/>
      <c r="GC51" s="30" t="n">
        <v>29000</v>
      </c>
      <c r="GD51" s="30" t="n">
        <v>29000</v>
      </c>
      <c r="GE51" s="30" t="n">
        <v>62400</v>
      </c>
      <c r="GF51" s="30" t="n">
        <v>29000</v>
      </c>
      <c r="GG51" s="30"/>
      <c r="GH51" s="30"/>
      <c r="GI51" s="30" t="n">
        <v>20000</v>
      </c>
      <c r="GJ51" s="30"/>
      <c r="GK51" s="30"/>
      <c r="GL51" s="30"/>
      <c r="GM51" s="30"/>
      <c r="GN51" s="30"/>
      <c r="GO51" s="30" t="n">
        <v>29000</v>
      </c>
      <c r="GP51" s="30" t="n">
        <v>29000</v>
      </c>
      <c r="GQ51" s="30" t="n">
        <v>29000</v>
      </c>
      <c r="GR51" s="30"/>
      <c r="GS51" s="30" t="n">
        <v>29000</v>
      </c>
      <c r="GT51" s="30"/>
      <c r="GU51" s="30"/>
      <c r="GV51" s="30"/>
      <c r="GW51" s="30"/>
      <c r="GX51" s="30" t="n">
        <f aca="false">SUM(N51:GW51)</f>
        <v>314400</v>
      </c>
      <c r="GY51" s="36" t="n">
        <f aca="false">SUM(L51-GX51)</f>
        <v>2400</v>
      </c>
      <c r="GZ51" s="32" t="n">
        <f aca="false">SUM( H51/5)</f>
        <v>21.8333333333333</v>
      </c>
      <c r="HA51" s="32" t="n">
        <f aca="false">SUM( I51/5)</f>
        <v>0.166666666666666</v>
      </c>
      <c r="HB51" s="33" t="n">
        <f aca="false">SUM(GZ51/4)</f>
        <v>5.45833333333333</v>
      </c>
      <c r="HC51" s="33" t="n">
        <f aca="false">SUM(HA51/4)</f>
        <v>0.0416666666666664</v>
      </c>
    </row>
    <row r="52" customFormat="false" ht="28.5" hidden="true" customHeight="true" outlineLevel="0" collapsed="false">
      <c r="A52" s="26" t="n">
        <v>3704</v>
      </c>
      <c r="B52" s="21" t="s">
        <v>291</v>
      </c>
      <c r="C52" s="21" t="s">
        <v>292</v>
      </c>
      <c r="D52" s="34"/>
      <c r="E52" s="25" t="n">
        <v>46111</v>
      </c>
      <c r="F52" s="25" t="n">
        <f aca="false">WORKDAY(E52,G52)</f>
        <v>46279</v>
      </c>
      <c r="G52" s="26" t="n">
        <v>120</v>
      </c>
      <c r="H52" s="27" t="n">
        <f aca="false">(GX52* 5)/M52</f>
        <v>60</v>
      </c>
      <c r="I52" s="27" t="n">
        <f aca="false">G52-H52</f>
        <v>60</v>
      </c>
      <c r="J52" s="35" t="s">
        <v>295</v>
      </c>
      <c r="K52" s="39" t="n">
        <v>200000</v>
      </c>
      <c r="L52" s="36" t="n">
        <v>528000</v>
      </c>
      <c r="M52" s="37" t="n">
        <f aca="false">(L52/G52)*5</f>
        <v>22000</v>
      </c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 t="s">
        <v>214</v>
      </c>
      <c r="EL52" s="30"/>
      <c r="EM52" s="30" t="s">
        <v>214</v>
      </c>
      <c r="EN52" s="30" t="s">
        <v>214</v>
      </c>
      <c r="EO52" s="30"/>
      <c r="EP52" s="30"/>
      <c r="EQ52" s="30"/>
      <c r="ER52" s="30"/>
      <c r="ES52" s="30" t="s">
        <v>214</v>
      </c>
      <c r="ET52" s="30"/>
      <c r="EU52" s="30"/>
      <c r="EV52" s="30" t="s">
        <v>214</v>
      </c>
      <c r="EW52" s="30"/>
      <c r="EX52" s="30"/>
      <c r="EY52" s="30"/>
      <c r="EZ52" s="30"/>
      <c r="FA52" s="30"/>
      <c r="FB52" s="30"/>
      <c r="FC52" s="30" t="s">
        <v>214</v>
      </c>
      <c r="FD52" s="30"/>
      <c r="FE52" s="30"/>
      <c r="FF52" s="30"/>
      <c r="FG52" s="30"/>
      <c r="FH52" s="30"/>
      <c r="FI52" s="30"/>
      <c r="FJ52" s="30"/>
      <c r="FK52" s="30"/>
      <c r="FL52" s="30" t="s">
        <v>214</v>
      </c>
      <c r="FM52" s="30"/>
      <c r="FN52" s="30"/>
      <c r="FO52" s="30"/>
      <c r="FP52" s="30"/>
      <c r="FQ52" s="30"/>
      <c r="FR52" s="30"/>
      <c r="FS52" s="30"/>
      <c r="FT52" s="30"/>
      <c r="FU52" s="30"/>
      <c r="FV52" s="30"/>
      <c r="FW52" s="30"/>
      <c r="FX52" s="30"/>
      <c r="FY52" s="30"/>
      <c r="FZ52" s="30"/>
      <c r="GA52" s="30"/>
      <c r="GB52" s="30"/>
      <c r="GC52" s="30"/>
      <c r="GD52" s="30"/>
      <c r="GE52" s="30"/>
      <c r="GF52" s="30"/>
      <c r="GG52" s="30"/>
      <c r="GH52" s="30"/>
      <c r="GI52" s="30"/>
      <c r="GJ52" s="30"/>
      <c r="GK52" s="30"/>
      <c r="GL52" s="30"/>
      <c r="GM52" s="30" t="n">
        <v>88000</v>
      </c>
      <c r="GN52" s="30"/>
      <c r="GO52" s="30"/>
      <c r="GP52" s="30"/>
      <c r="GQ52" s="30"/>
      <c r="GR52" s="30" t="n">
        <v>88000</v>
      </c>
      <c r="GS52" s="30"/>
      <c r="GT52" s="30"/>
      <c r="GU52" s="30"/>
      <c r="GV52" s="30" t="n">
        <v>88000</v>
      </c>
      <c r="GW52" s="30"/>
      <c r="GX52" s="30" t="n">
        <f aca="false">SUM(N52:GW52)</f>
        <v>264000</v>
      </c>
      <c r="GY52" s="36" t="n">
        <f aca="false">SUM(L52-GX52)</f>
        <v>264000</v>
      </c>
      <c r="GZ52" s="32" t="n">
        <f aca="false">SUM( H52/5)</f>
        <v>12</v>
      </c>
      <c r="HA52" s="32" t="n">
        <f aca="false">SUM( I52/5)</f>
        <v>12</v>
      </c>
      <c r="HB52" s="33" t="n">
        <f aca="false">SUM(GZ52/4)</f>
        <v>3</v>
      </c>
      <c r="HC52" s="33" t="n">
        <f aca="false">SUM(HA52/4)</f>
        <v>3</v>
      </c>
    </row>
    <row r="53" customFormat="false" ht="28.5" hidden="true" customHeight="true" outlineLevel="0" collapsed="false">
      <c r="A53" s="26" t="n">
        <v>3767</v>
      </c>
      <c r="B53" s="21" t="s">
        <v>296</v>
      </c>
      <c r="C53" s="21" t="s">
        <v>292</v>
      </c>
      <c r="D53" s="34"/>
      <c r="E53" s="25" t="n">
        <v>46155</v>
      </c>
      <c r="F53" s="25" t="n">
        <f aca="false">WORKDAY(E53,G53)</f>
        <v>46379</v>
      </c>
      <c r="G53" s="26" t="n">
        <v>160</v>
      </c>
      <c r="H53" s="27" t="n">
        <f aca="false">(GX53* 5)/M53</f>
        <v>20.1851851851852</v>
      </c>
      <c r="I53" s="27" t="n">
        <f aca="false">G53-H53</f>
        <v>139.814814814815</v>
      </c>
      <c r="J53" s="35" t="s">
        <v>223</v>
      </c>
      <c r="K53" s="36" t="n">
        <v>300000</v>
      </c>
      <c r="L53" s="36" t="n">
        <v>864000</v>
      </c>
      <c r="M53" s="37" t="n">
        <f aca="false">(L53/G53)*5</f>
        <v>27000</v>
      </c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 t="s">
        <v>214</v>
      </c>
      <c r="EL53" s="30"/>
      <c r="EM53" s="30" t="s">
        <v>214</v>
      </c>
      <c r="EN53" s="30" t="s">
        <v>214</v>
      </c>
      <c r="EO53" s="30"/>
      <c r="EP53" s="30"/>
      <c r="EQ53" s="30"/>
      <c r="ER53" s="30"/>
      <c r="ES53" s="30" t="s">
        <v>214</v>
      </c>
      <c r="ET53" s="30"/>
      <c r="EU53" s="30"/>
      <c r="EV53" s="30" t="s">
        <v>214</v>
      </c>
      <c r="EW53" s="30"/>
      <c r="EX53" s="30"/>
      <c r="EY53" s="30"/>
      <c r="EZ53" s="30"/>
      <c r="FA53" s="30"/>
      <c r="FB53" s="30"/>
      <c r="FC53" s="30" t="s">
        <v>214</v>
      </c>
      <c r="FD53" s="30"/>
      <c r="FE53" s="30"/>
      <c r="FF53" s="30"/>
      <c r="FG53" s="30"/>
      <c r="FH53" s="30"/>
      <c r="FI53" s="30"/>
      <c r="FJ53" s="30"/>
      <c r="FK53" s="30"/>
      <c r="FL53" s="30" t="s">
        <v>214</v>
      </c>
      <c r="FM53" s="30"/>
      <c r="FN53" s="30"/>
      <c r="FO53" s="30"/>
      <c r="FP53" s="30"/>
      <c r="FQ53" s="30"/>
      <c r="FR53" s="30"/>
      <c r="FS53" s="30"/>
      <c r="FT53" s="30"/>
      <c r="FU53" s="30"/>
      <c r="FV53" s="30"/>
      <c r="FW53" s="30"/>
      <c r="FX53" s="30"/>
      <c r="FY53" s="30"/>
      <c r="FZ53" s="30"/>
      <c r="GA53" s="30"/>
      <c r="GB53" s="30"/>
      <c r="GC53" s="30"/>
      <c r="GD53" s="30"/>
      <c r="GE53" s="30"/>
      <c r="GF53" s="30"/>
      <c r="GG53" s="30"/>
      <c r="GH53" s="30"/>
      <c r="GI53" s="30"/>
      <c r="GJ53" s="30"/>
      <c r="GK53" s="30"/>
      <c r="GL53" s="30"/>
      <c r="GM53" s="30"/>
      <c r="GN53" s="30"/>
      <c r="GO53" s="30"/>
      <c r="GP53" s="30"/>
      <c r="GQ53" s="30"/>
      <c r="GR53" s="30"/>
      <c r="GS53" s="30"/>
      <c r="GT53" s="30" t="n">
        <v>109000</v>
      </c>
      <c r="GU53" s="30"/>
      <c r="GV53" s="30"/>
      <c r="GW53" s="30"/>
      <c r="GX53" s="30" t="n">
        <f aca="false">SUM(N53:GW53)</f>
        <v>109000</v>
      </c>
      <c r="GY53" s="36" t="n">
        <f aca="false">SUM(L53-GX53)</f>
        <v>755000</v>
      </c>
      <c r="GZ53" s="32" t="n">
        <f aca="false">SUM( H53/5)</f>
        <v>4.03703703703704</v>
      </c>
      <c r="HA53" s="32" t="n">
        <f aca="false">SUM( I53/5)</f>
        <v>27.962962962963</v>
      </c>
      <c r="HB53" s="33" t="n">
        <f aca="false">SUM(GZ53/4)</f>
        <v>1.00925925925926</v>
      </c>
      <c r="HC53" s="33" t="n">
        <f aca="false">SUM(HA53/4)</f>
        <v>6.99074074074074</v>
      </c>
    </row>
    <row r="54" customFormat="false" ht="28.5" hidden="true" customHeight="true" outlineLevel="0" collapsed="false">
      <c r="A54" s="26" t="n">
        <v>3716</v>
      </c>
      <c r="B54" s="21" t="s">
        <v>297</v>
      </c>
      <c r="C54" s="21" t="s">
        <v>292</v>
      </c>
      <c r="D54" s="34"/>
      <c r="E54" s="25" t="n">
        <v>46122</v>
      </c>
      <c r="F54" s="25" t="n">
        <f aca="false">WORKDAY(E54,G54)</f>
        <v>46224</v>
      </c>
      <c r="G54" s="26" t="n">
        <v>72</v>
      </c>
      <c r="H54" s="27" t="n">
        <f aca="false">(GX54* 5)/M54</f>
        <v>45</v>
      </c>
      <c r="I54" s="27" t="n">
        <f aca="false">G54-H54</f>
        <v>27</v>
      </c>
      <c r="J54" s="22" t="s">
        <v>244</v>
      </c>
      <c r="K54" s="36" t="n">
        <v>200000</v>
      </c>
      <c r="L54" s="36" t="n">
        <v>432000</v>
      </c>
      <c r="M54" s="37" t="n">
        <f aca="false">(L54/G54)*5</f>
        <v>30000</v>
      </c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 t="s">
        <v>214</v>
      </c>
      <c r="EL54" s="30"/>
      <c r="EM54" s="30" t="s">
        <v>214</v>
      </c>
      <c r="EN54" s="30" t="s">
        <v>214</v>
      </c>
      <c r="EO54" s="30"/>
      <c r="EP54" s="30"/>
      <c r="EQ54" s="30"/>
      <c r="ER54" s="30"/>
      <c r="ES54" s="30" t="s">
        <v>214</v>
      </c>
      <c r="ET54" s="30"/>
      <c r="EU54" s="30"/>
      <c r="EV54" s="30" t="s">
        <v>214</v>
      </c>
      <c r="EW54" s="30"/>
      <c r="EX54" s="30"/>
      <c r="EY54" s="30"/>
      <c r="EZ54" s="30"/>
      <c r="FA54" s="30"/>
      <c r="FB54" s="30"/>
      <c r="FC54" s="30" t="s">
        <v>214</v>
      </c>
      <c r="FD54" s="30"/>
      <c r="FE54" s="30"/>
      <c r="FF54" s="30"/>
      <c r="FG54" s="30"/>
      <c r="FH54" s="30"/>
      <c r="FI54" s="30"/>
      <c r="FJ54" s="30"/>
      <c r="FK54" s="30"/>
      <c r="FL54" s="30" t="s">
        <v>214</v>
      </c>
      <c r="FM54" s="30"/>
      <c r="FN54" s="30"/>
      <c r="FO54" s="30"/>
      <c r="FP54" s="30"/>
      <c r="FQ54" s="30"/>
      <c r="FR54" s="30"/>
      <c r="FS54" s="30"/>
      <c r="FT54" s="30"/>
      <c r="FU54" s="30"/>
      <c r="FV54" s="30"/>
      <c r="FW54" s="30"/>
      <c r="FX54" s="30"/>
      <c r="FY54" s="30"/>
      <c r="FZ54" s="30"/>
      <c r="GA54" s="30"/>
      <c r="GB54" s="30"/>
      <c r="GC54" s="30"/>
      <c r="GD54" s="30"/>
      <c r="GE54" s="30"/>
      <c r="GF54" s="30"/>
      <c r="GG54" s="30"/>
      <c r="GH54" s="30"/>
      <c r="GI54" s="30"/>
      <c r="GJ54" s="30"/>
      <c r="GK54" s="30"/>
      <c r="GL54" s="30"/>
      <c r="GM54" s="30" t="n">
        <v>30000</v>
      </c>
      <c r="GN54" s="30"/>
      <c r="GO54" s="30" t="n">
        <v>30000</v>
      </c>
      <c r="GP54" s="30" t="n">
        <v>30000</v>
      </c>
      <c r="GQ54" s="30" t="n">
        <v>30000</v>
      </c>
      <c r="GR54" s="30" t="n">
        <v>30000</v>
      </c>
      <c r="GS54" s="30" t="n">
        <v>30000</v>
      </c>
      <c r="GT54" s="30" t="n">
        <v>30000</v>
      </c>
      <c r="GU54" s="30" t="n">
        <v>30000</v>
      </c>
      <c r="GV54" s="30"/>
      <c r="GW54" s="30" t="n">
        <v>30000</v>
      </c>
      <c r="GX54" s="30" t="n">
        <f aca="false">SUM(N54:GW54)</f>
        <v>270000</v>
      </c>
      <c r="GY54" s="36" t="n">
        <f aca="false">SUM(L54-GX54)</f>
        <v>162000</v>
      </c>
      <c r="GZ54" s="32" t="n">
        <f aca="false">SUM( H54/5)</f>
        <v>9</v>
      </c>
      <c r="HA54" s="32" t="n">
        <f aca="false">SUM( I54/5)</f>
        <v>5.4</v>
      </c>
      <c r="HB54" s="33" t="n">
        <f aca="false">SUM(GZ54/4)</f>
        <v>2.25</v>
      </c>
      <c r="HC54" s="33" t="n">
        <f aca="false">SUM(HA54/4)</f>
        <v>1.35</v>
      </c>
    </row>
    <row r="55" customFormat="false" ht="28.5" hidden="true" customHeight="true" outlineLevel="0" collapsed="false">
      <c r="A55" s="26" t="n">
        <v>3667</v>
      </c>
      <c r="B55" s="21" t="s">
        <v>298</v>
      </c>
      <c r="C55" s="21" t="s">
        <v>292</v>
      </c>
      <c r="D55" s="34"/>
      <c r="E55" s="25" t="n">
        <v>46084</v>
      </c>
      <c r="F55" s="25" t="n">
        <f aca="false">WORKDAY(E55,G55)</f>
        <v>46196</v>
      </c>
      <c r="G55" s="26" t="n">
        <v>80</v>
      </c>
      <c r="H55" s="27" t="n">
        <f aca="false">(GX55* 5)/M55</f>
        <v>80</v>
      </c>
      <c r="I55" s="27" t="n">
        <f aca="false">G55-H55</f>
        <v>0</v>
      </c>
      <c r="J55" s="35" t="s">
        <v>299</v>
      </c>
      <c r="K55" s="36" t="n">
        <v>250000</v>
      </c>
      <c r="L55" s="36" t="n">
        <v>540000</v>
      </c>
      <c r="M55" s="37" t="n">
        <f aca="false">(L55/G55)*5</f>
        <v>33750</v>
      </c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 t="s">
        <v>214</v>
      </c>
      <c r="EL55" s="30"/>
      <c r="EM55" s="30" t="s">
        <v>214</v>
      </c>
      <c r="EN55" s="30" t="s">
        <v>214</v>
      </c>
      <c r="EO55" s="30"/>
      <c r="EP55" s="30"/>
      <c r="EQ55" s="30"/>
      <c r="ER55" s="30"/>
      <c r="ES55" s="30" t="s">
        <v>214</v>
      </c>
      <c r="ET55" s="30"/>
      <c r="EU55" s="30"/>
      <c r="EV55" s="30" t="s">
        <v>214</v>
      </c>
      <c r="EW55" s="30"/>
      <c r="EX55" s="30"/>
      <c r="EY55" s="30"/>
      <c r="EZ55" s="30"/>
      <c r="FA55" s="30"/>
      <c r="FB55" s="30"/>
      <c r="FC55" s="30" t="s">
        <v>214</v>
      </c>
      <c r="FD55" s="30"/>
      <c r="FE55" s="30"/>
      <c r="FF55" s="30"/>
      <c r="FG55" s="30"/>
      <c r="FH55" s="30"/>
      <c r="FI55" s="30"/>
      <c r="FJ55" s="30"/>
      <c r="FK55" s="30"/>
      <c r="FL55" s="30" t="s">
        <v>214</v>
      </c>
      <c r="FM55" s="30"/>
      <c r="FN55" s="30"/>
      <c r="FO55" s="30"/>
      <c r="FP55" s="30"/>
      <c r="FQ55" s="30"/>
      <c r="FR55" s="30"/>
      <c r="FS55" s="30"/>
      <c r="FT55" s="30"/>
      <c r="FU55" s="30"/>
      <c r="FV55" s="30"/>
      <c r="FW55" s="30"/>
      <c r="FX55" s="30"/>
      <c r="FY55" s="30"/>
      <c r="FZ55" s="30"/>
      <c r="GA55" s="30"/>
      <c r="GB55" s="30"/>
      <c r="GC55" s="30"/>
      <c r="GD55" s="30"/>
      <c r="GE55" s="30"/>
      <c r="GF55" s="30"/>
      <c r="GG55" s="30"/>
      <c r="GH55" s="30"/>
      <c r="GI55" s="30"/>
      <c r="GJ55" s="30" t="n">
        <v>135000</v>
      </c>
      <c r="GK55" s="30"/>
      <c r="GL55" s="30"/>
      <c r="GM55" s="30"/>
      <c r="GN55" s="30"/>
      <c r="GO55" s="30" t="n">
        <v>135000</v>
      </c>
      <c r="GP55" s="30"/>
      <c r="GQ55" s="30"/>
      <c r="GR55" s="30"/>
      <c r="GS55" s="30" t="n">
        <v>135000</v>
      </c>
      <c r="GT55" s="30"/>
      <c r="GU55" s="30"/>
      <c r="GV55" s="30"/>
      <c r="GW55" s="30" t="n">
        <v>135000</v>
      </c>
      <c r="GX55" s="30" t="n">
        <f aca="false">SUM(N55:GW55)</f>
        <v>540000</v>
      </c>
      <c r="GY55" s="36" t="n">
        <f aca="false">SUM(L55-GX55)</f>
        <v>0</v>
      </c>
      <c r="GZ55" s="32" t="n">
        <f aca="false">SUM( H55/5)</f>
        <v>16</v>
      </c>
      <c r="HA55" s="32" t="n">
        <f aca="false">SUM( I55/5)</f>
        <v>0</v>
      </c>
      <c r="HB55" s="33" t="n">
        <f aca="false">SUM(GZ55/4)</f>
        <v>4</v>
      </c>
      <c r="HC55" s="33" t="n">
        <f aca="false">SUM(HA55/4)</f>
        <v>0</v>
      </c>
    </row>
    <row r="56" customFormat="false" ht="33" hidden="true" customHeight="true" outlineLevel="0" collapsed="false">
      <c r="A56" s="26" t="n">
        <v>3780</v>
      </c>
      <c r="B56" s="21" t="s">
        <v>298</v>
      </c>
      <c r="C56" s="21" t="s">
        <v>292</v>
      </c>
      <c r="D56" s="34"/>
      <c r="E56" s="25" t="n">
        <v>46168</v>
      </c>
      <c r="F56" s="25" t="n">
        <f aca="false">WORKDAY(E56,G56)</f>
        <v>46280</v>
      </c>
      <c r="G56" s="26" t="n">
        <v>80</v>
      </c>
      <c r="H56" s="27" t="n">
        <f aca="false">(GX56* 5)/M56</f>
        <v>20</v>
      </c>
      <c r="I56" s="27" t="n">
        <f aca="false">G56-H56</f>
        <v>60</v>
      </c>
      <c r="J56" s="35" t="s">
        <v>300</v>
      </c>
      <c r="K56" s="36" t="n">
        <v>200000</v>
      </c>
      <c r="L56" s="36" t="n">
        <v>432000</v>
      </c>
      <c r="M56" s="29" t="n">
        <f aca="false">(L56/G56)*5</f>
        <v>27000</v>
      </c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 t="s">
        <v>214</v>
      </c>
      <c r="EL56" s="30"/>
      <c r="EM56" s="30" t="s">
        <v>214</v>
      </c>
      <c r="EN56" s="30" t="s">
        <v>214</v>
      </c>
      <c r="EO56" s="30"/>
      <c r="EP56" s="30"/>
      <c r="EQ56" s="30"/>
      <c r="ER56" s="30"/>
      <c r="ES56" s="30" t="s">
        <v>214</v>
      </c>
      <c r="ET56" s="30"/>
      <c r="EU56" s="30"/>
      <c r="EV56" s="30" t="s">
        <v>214</v>
      </c>
      <c r="EW56" s="30"/>
      <c r="EX56" s="30"/>
      <c r="EY56" s="30"/>
      <c r="EZ56" s="30"/>
      <c r="FA56" s="30"/>
      <c r="FB56" s="30"/>
      <c r="FC56" s="30" t="s">
        <v>214</v>
      </c>
      <c r="FD56" s="30"/>
      <c r="FE56" s="30"/>
      <c r="FF56" s="30"/>
      <c r="FG56" s="30"/>
      <c r="FH56" s="30"/>
      <c r="FI56" s="30"/>
      <c r="FJ56" s="30"/>
      <c r="FK56" s="30"/>
      <c r="FL56" s="30" t="s">
        <v>214</v>
      </c>
      <c r="FM56" s="30"/>
      <c r="FN56" s="30"/>
      <c r="FO56" s="30"/>
      <c r="FP56" s="30"/>
      <c r="FQ56" s="30"/>
      <c r="FR56" s="30"/>
      <c r="FS56" s="30"/>
      <c r="FT56" s="30"/>
      <c r="FU56" s="30"/>
      <c r="FV56" s="30"/>
      <c r="FW56" s="30"/>
      <c r="FX56" s="30"/>
      <c r="FY56" s="30"/>
      <c r="FZ56" s="30"/>
      <c r="GA56" s="30"/>
      <c r="GB56" s="30"/>
      <c r="GC56" s="30"/>
      <c r="GD56" s="30"/>
      <c r="GE56" s="30"/>
      <c r="GF56" s="30"/>
      <c r="GG56" s="30"/>
      <c r="GH56" s="30"/>
      <c r="GI56" s="30"/>
      <c r="GJ56" s="30"/>
      <c r="GK56" s="30"/>
      <c r="GL56" s="30"/>
      <c r="GM56" s="30"/>
      <c r="GN56" s="30"/>
      <c r="GO56" s="30"/>
      <c r="GP56" s="30"/>
      <c r="GQ56" s="30"/>
      <c r="GR56" s="30"/>
      <c r="GS56" s="30"/>
      <c r="GT56" s="30"/>
      <c r="GU56" s="30"/>
      <c r="GV56" s="30"/>
      <c r="GW56" s="30" t="n">
        <v>108000</v>
      </c>
      <c r="GX56" s="30" t="n">
        <f aca="false">SUM(N56:GW56)</f>
        <v>108000</v>
      </c>
      <c r="GY56" s="36" t="n">
        <f aca="false">SUM(L56-GX56)</f>
        <v>324000</v>
      </c>
      <c r="GZ56" s="32" t="n">
        <f aca="false">SUM( H56/5)</f>
        <v>4</v>
      </c>
      <c r="HA56" s="32" t="n">
        <f aca="false">SUM( I56/5)</f>
        <v>12</v>
      </c>
      <c r="HB56" s="33" t="n">
        <f aca="false">SUM(GZ56/4)</f>
        <v>1</v>
      </c>
      <c r="HC56" s="33" t="n">
        <f aca="false">SUM(HA56/4)</f>
        <v>3</v>
      </c>
    </row>
    <row r="57" customFormat="false" ht="28.5" hidden="true" customHeight="true" outlineLevel="0" collapsed="false">
      <c r="A57" s="26" t="n">
        <v>3644</v>
      </c>
      <c r="B57" s="21" t="s">
        <v>301</v>
      </c>
      <c r="C57" s="21" t="s">
        <v>292</v>
      </c>
      <c r="D57" s="34"/>
      <c r="E57" s="25" t="n">
        <v>46070</v>
      </c>
      <c r="F57" s="25" t="n">
        <f aca="false">WORKDAY(E57,G57)</f>
        <v>46294</v>
      </c>
      <c r="G57" s="26" t="n">
        <v>160</v>
      </c>
      <c r="H57" s="27" t="n">
        <f aca="false">(GX57* 5)/M57</f>
        <v>71.1111111111111</v>
      </c>
      <c r="I57" s="27" t="n">
        <f aca="false">G57-H57</f>
        <v>88.8888888888889</v>
      </c>
      <c r="J57" s="35" t="s">
        <v>302</v>
      </c>
      <c r="K57" s="36" t="n">
        <v>500000</v>
      </c>
      <c r="L57" s="36" t="n">
        <v>1440000</v>
      </c>
      <c r="M57" s="29" t="n">
        <f aca="false">(L57/G57)*5</f>
        <v>45000</v>
      </c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 t="s">
        <v>214</v>
      </c>
      <c r="EL57" s="30"/>
      <c r="EM57" s="30" t="s">
        <v>214</v>
      </c>
      <c r="EN57" s="30" t="s">
        <v>214</v>
      </c>
      <c r="EO57" s="30"/>
      <c r="EP57" s="30"/>
      <c r="EQ57" s="30"/>
      <c r="ER57" s="30"/>
      <c r="ES57" s="30" t="s">
        <v>214</v>
      </c>
      <c r="ET57" s="30"/>
      <c r="EU57" s="30"/>
      <c r="EV57" s="30" t="s">
        <v>214</v>
      </c>
      <c r="EW57" s="30"/>
      <c r="EX57" s="30"/>
      <c r="EY57" s="30"/>
      <c r="EZ57" s="30"/>
      <c r="FA57" s="30"/>
      <c r="FB57" s="30"/>
      <c r="FC57" s="30" t="s">
        <v>214</v>
      </c>
      <c r="FD57" s="30"/>
      <c r="FE57" s="30"/>
      <c r="FF57" s="30"/>
      <c r="FG57" s="30"/>
      <c r="FH57" s="30"/>
      <c r="FI57" s="30"/>
      <c r="FJ57" s="30"/>
      <c r="FK57" s="30"/>
      <c r="FL57" s="30" t="s">
        <v>214</v>
      </c>
      <c r="FM57" s="30"/>
      <c r="FN57" s="30"/>
      <c r="FO57" s="30"/>
      <c r="FP57" s="30"/>
      <c r="FQ57" s="30"/>
      <c r="FR57" s="30"/>
      <c r="FS57" s="30"/>
      <c r="FT57" s="30"/>
      <c r="FU57" s="30"/>
      <c r="FV57" s="30"/>
      <c r="FW57" s="30"/>
      <c r="FX57" s="30"/>
      <c r="FY57" s="30"/>
      <c r="FZ57" s="30"/>
      <c r="GA57" s="30"/>
      <c r="GB57" s="30"/>
      <c r="GC57" s="30"/>
      <c r="GD57" s="30"/>
      <c r="GE57" s="30"/>
      <c r="GF57" s="30" t="n">
        <v>180000</v>
      </c>
      <c r="GG57" s="30"/>
      <c r="GH57" s="30"/>
      <c r="GI57" s="30"/>
      <c r="GJ57" s="30"/>
      <c r="GK57" s="30" t="n">
        <v>180000</v>
      </c>
      <c r="GL57" s="30"/>
      <c r="GM57" s="30"/>
      <c r="GN57" s="30"/>
      <c r="GO57" s="30"/>
      <c r="GP57" s="30" t="n">
        <v>180000</v>
      </c>
      <c r="GQ57" s="30"/>
      <c r="GR57" s="30"/>
      <c r="GS57" s="30"/>
      <c r="GT57" s="30" t="n">
        <v>100000</v>
      </c>
      <c r="GU57" s="30"/>
      <c r="GV57" s="30"/>
      <c r="GW57" s="30"/>
      <c r="GX57" s="30" t="n">
        <f aca="false">SUM(N57:GW57)</f>
        <v>640000</v>
      </c>
      <c r="GY57" s="36" t="n">
        <f aca="false">SUM(L57-GX57)</f>
        <v>800000</v>
      </c>
      <c r="GZ57" s="32" t="n">
        <f aca="false">SUM( H57/5)</f>
        <v>14.2222222222222</v>
      </c>
      <c r="HA57" s="32" t="n">
        <f aca="false">SUM( I57/5)</f>
        <v>17.7777777777778</v>
      </c>
      <c r="HB57" s="33" t="n">
        <f aca="false">SUM(GZ57/4)</f>
        <v>3.55555555555556</v>
      </c>
      <c r="HC57" s="33" t="n">
        <f aca="false">SUM(HA57/4)</f>
        <v>4.44444444444445</v>
      </c>
    </row>
    <row r="58" customFormat="false" ht="28.5" hidden="true" customHeight="true" outlineLevel="0" collapsed="false">
      <c r="A58" s="26" t="n">
        <v>3711</v>
      </c>
      <c r="B58" s="21" t="s">
        <v>301</v>
      </c>
      <c r="C58" s="21" t="s">
        <v>292</v>
      </c>
      <c r="D58" s="34"/>
      <c r="E58" s="25" t="n">
        <v>46116</v>
      </c>
      <c r="F58" s="25" t="n">
        <f aca="false">WORKDAY(E58,G58)</f>
        <v>46339</v>
      </c>
      <c r="G58" s="26" t="n">
        <v>160</v>
      </c>
      <c r="H58" s="27" t="n">
        <f aca="false">(GX58* 5)/M58</f>
        <v>40</v>
      </c>
      <c r="I58" s="27" t="n">
        <f aca="false">G58-H58</f>
        <v>120</v>
      </c>
      <c r="J58" s="35" t="s">
        <v>303</v>
      </c>
      <c r="K58" s="36" t="n">
        <v>150000</v>
      </c>
      <c r="L58" s="36" t="n">
        <v>432000</v>
      </c>
      <c r="M58" s="29" t="n">
        <f aca="false">(L58/G58)*5</f>
        <v>13500</v>
      </c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 t="s">
        <v>214</v>
      </c>
      <c r="EL58" s="30"/>
      <c r="EM58" s="30" t="s">
        <v>214</v>
      </c>
      <c r="EN58" s="30" t="s">
        <v>214</v>
      </c>
      <c r="EO58" s="30"/>
      <c r="EP58" s="30"/>
      <c r="EQ58" s="30"/>
      <c r="ER58" s="30"/>
      <c r="ES58" s="30" t="s">
        <v>214</v>
      </c>
      <c r="ET58" s="30"/>
      <c r="EU58" s="30"/>
      <c r="EV58" s="30" t="s">
        <v>214</v>
      </c>
      <c r="EW58" s="30"/>
      <c r="EX58" s="30"/>
      <c r="EY58" s="30"/>
      <c r="EZ58" s="30"/>
      <c r="FA58" s="30"/>
      <c r="FB58" s="30"/>
      <c r="FC58" s="30" t="s">
        <v>214</v>
      </c>
      <c r="FD58" s="30"/>
      <c r="FE58" s="30"/>
      <c r="FF58" s="30"/>
      <c r="FG58" s="30"/>
      <c r="FH58" s="30"/>
      <c r="FI58" s="30"/>
      <c r="FJ58" s="30"/>
      <c r="FK58" s="30"/>
      <c r="FL58" s="30" t="s">
        <v>214</v>
      </c>
      <c r="FM58" s="30"/>
      <c r="FN58" s="30"/>
      <c r="FO58" s="30"/>
      <c r="FP58" s="30"/>
      <c r="FQ58" s="30"/>
      <c r="FR58" s="30"/>
      <c r="FS58" s="30"/>
      <c r="FT58" s="30"/>
      <c r="FU58" s="30"/>
      <c r="FV58" s="30"/>
      <c r="FW58" s="30"/>
      <c r="FX58" s="30"/>
      <c r="FY58" s="30"/>
      <c r="FZ58" s="30"/>
      <c r="GA58" s="30"/>
      <c r="GB58" s="30"/>
      <c r="GC58" s="30"/>
      <c r="GD58" s="30"/>
      <c r="GE58" s="30"/>
      <c r="GF58" s="30"/>
      <c r="GG58" s="30"/>
      <c r="GH58" s="30"/>
      <c r="GI58" s="30"/>
      <c r="GJ58" s="30"/>
      <c r="GK58" s="30"/>
      <c r="GL58" s="30"/>
      <c r="GM58" s="30"/>
      <c r="GN58" s="30"/>
      <c r="GO58" s="30"/>
      <c r="GP58" s="30"/>
      <c r="GQ58" s="30" t="n">
        <v>54000</v>
      </c>
      <c r="GR58" s="30"/>
      <c r="GS58" s="30"/>
      <c r="GT58" s="30"/>
      <c r="GU58" s="30" t="n">
        <v>54000</v>
      </c>
      <c r="GV58" s="30"/>
      <c r="GW58" s="30"/>
      <c r="GX58" s="30" t="n">
        <f aca="false">SUM(N58:GW58)</f>
        <v>108000</v>
      </c>
      <c r="GY58" s="36" t="n">
        <f aca="false">SUM(L58-GX58)</f>
        <v>324000</v>
      </c>
      <c r="GZ58" s="32" t="n">
        <f aca="false">SUM( H58/5)</f>
        <v>8</v>
      </c>
      <c r="HA58" s="32" t="n">
        <f aca="false">SUM( I58/5)</f>
        <v>24</v>
      </c>
      <c r="HB58" s="33" t="n">
        <f aca="false">SUM(GZ58/4)</f>
        <v>2</v>
      </c>
      <c r="HC58" s="33" t="n">
        <f aca="false">SUM(HA58/4)</f>
        <v>6</v>
      </c>
    </row>
    <row r="59" customFormat="false" ht="28.5" hidden="true" customHeight="true" outlineLevel="0" collapsed="false">
      <c r="A59" s="26" t="n">
        <v>3227</v>
      </c>
      <c r="B59" s="21" t="s">
        <v>304</v>
      </c>
      <c r="C59" s="21" t="s">
        <v>305</v>
      </c>
      <c r="D59" s="34"/>
      <c r="E59" s="25" t="n">
        <v>45476</v>
      </c>
      <c r="F59" s="25" t="n">
        <f aca="false">WORKDAY(E59,G59)</f>
        <v>45700</v>
      </c>
      <c r="G59" s="26" t="n">
        <v>160</v>
      </c>
      <c r="H59" s="27" t="n">
        <f aca="false">(GX59* 5)/M59</f>
        <v>18.304347826087</v>
      </c>
      <c r="I59" s="27" t="n">
        <f aca="false">G59-H59</f>
        <v>141.695652173913</v>
      </c>
      <c r="J59" s="22" t="s">
        <v>306</v>
      </c>
      <c r="K59" s="36" t="n">
        <v>2557200</v>
      </c>
      <c r="L59" s="36" t="n">
        <v>3680000</v>
      </c>
      <c r="M59" s="37" t="n">
        <f aca="false">(L59/G59)*5</f>
        <v>115000</v>
      </c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 t="s">
        <v>214</v>
      </c>
      <c r="CB59" s="30" t="s">
        <v>214</v>
      </c>
      <c r="CC59" s="30" t="s">
        <v>214</v>
      </c>
      <c r="CD59" s="30" t="s">
        <v>214</v>
      </c>
      <c r="CE59" s="30" t="s">
        <v>214</v>
      </c>
      <c r="CF59" s="30"/>
      <c r="CG59" s="30" t="s">
        <v>214</v>
      </c>
      <c r="CH59" s="30" t="s">
        <v>214</v>
      </c>
      <c r="CI59" s="30"/>
      <c r="CJ59" s="30"/>
      <c r="CK59" s="30"/>
      <c r="CL59" s="30" t="s">
        <v>214</v>
      </c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 t="n">
        <v>100000</v>
      </c>
      <c r="CY59" s="30"/>
      <c r="CZ59" s="30" t="n">
        <v>17000</v>
      </c>
      <c r="DA59" s="30"/>
      <c r="DB59" s="30" t="n">
        <v>19000</v>
      </c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 t="n">
        <v>30000</v>
      </c>
      <c r="EH59" s="30"/>
      <c r="EI59" s="30"/>
      <c r="EJ59" s="30"/>
      <c r="EK59" s="30" t="n">
        <v>30000</v>
      </c>
      <c r="EL59" s="30"/>
      <c r="EM59" s="30"/>
      <c r="EN59" s="30"/>
      <c r="EO59" s="30"/>
      <c r="EP59" s="30" t="n">
        <v>15000</v>
      </c>
      <c r="EQ59" s="30" t="n">
        <v>15000</v>
      </c>
      <c r="ER59" s="30" t="n">
        <v>15000</v>
      </c>
      <c r="ES59" s="30" t="n">
        <v>15000</v>
      </c>
      <c r="ET59" s="30" t="n">
        <v>15000</v>
      </c>
      <c r="EU59" s="30" t="n">
        <v>15000</v>
      </c>
      <c r="EV59" s="30"/>
      <c r="EW59" s="30"/>
      <c r="EX59" s="30"/>
      <c r="EY59" s="30" t="n">
        <v>15000</v>
      </c>
      <c r="EZ59" s="30"/>
      <c r="FA59" s="30"/>
      <c r="FB59" s="30" t="n">
        <v>15000</v>
      </c>
      <c r="FC59" s="30" t="n">
        <v>15000</v>
      </c>
      <c r="FD59" s="30"/>
      <c r="FE59" s="30"/>
      <c r="FF59" s="30"/>
      <c r="FG59" s="30"/>
      <c r="FH59" s="30"/>
      <c r="FI59" s="30"/>
      <c r="FJ59" s="30"/>
      <c r="FK59" s="30" t="n">
        <v>15000</v>
      </c>
      <c r="FL59" s="30"/>
      <c r="FM59" s="30"/>
      <c r="FN59" s="30"/>
      <c r="FO59" s="30"/>
      <c r="FP59" s="30"/>
      <c r="FQ59" s="30"/>
      <c r="FR59" s="30" t="n">
        <v>15000</v>
      </c>
      <c r="FS59" s="30"/>
      <c r="FT59" s="30"/>
      <c r="FU59" s="30"/>
      <c r="FV59" s="30"/>
      <c r="FW59" s="30"/>
      <c r="FX59" s="30" t="n">
        <v>15000</v>
      </c>
      <c r="FY59" s="30"/>
      <c r="FZ59" s="30" t="n">
        <v>15000</v>
      </c>
      <c r="GA59" s="30"/>
      <c r="GB59" s="30" t="n">
        <v>15000</v>
      </c>
      <c r="GC59" s="30"/>
      <c r="GD59" s="30"/>
      <c r="GE59" s="30"/>
      <c r="GF59" s="30"/>
      <c r="GG59" s="30"/>
      <c r="GH59" s="30" t="n">
        <v>15000</v>
      </c>
      <c r="GI59" s="30"/>
      <c r="GJ59" s="30"/>
      <c r="GK59" s="30"/>
      <c r="GL59" s="30"/>
      <c r="GM59" s="30"/>
      <c r="GN59" s="30"/>
      <c r="GO59" s="30"/>
      <c r="GP59" s="30"/>
      <c r="GQ59" s="30"/>
      <c r="GR59" s="30"/>
      <c r="GS59" s="30"/>
      <c r="GT59" s="30"/>
      <c r="GU59" s="30"/>
      <c r="GV59" s="30"/>
      <c r="GW59" s="30"/>
      <c r="GX59" s="30" t="n">
        <f aca="false">SUM(N59:GW59)</f>
        <v>421000</v>
      </c>
      <c r="GY59" s="36" t="n">
        <f aca="false">SUM(L59-GX59)</f>
        <v>3259000</v>
      </c>
      <c r="GZ59" s="32" t="n">
        <f aca="false">SUM( H59/5)</f>
        <v>3.66086956521739</v>
      </c>
      <c r="HA59" s="32" t="n">
        <f aca="false">SUM( I59/5)</f>
        <v>28.3391304347826</v>
      </c>
      <c r="HB59" s="33" t="n">
        <f aca="false">SUM(GZ59/4)</f>
        <v>0.915217391304348</v>
      </c>
      <c r="HC59" s="33" t="n">
        <f aca="false">SUM(HA59/4)</f>
        <v>7.08478260869565</v>
      </c>
    </row>
    <row r="60" customFormat="false" ht="28.5" hidden="true" customHeight="true" outlineLevel="0" collapsed="false">
      <c r="A60" s="26" t="n">
        <v>3431</v>
      </c>
      <c r="B60" s="21" t="s">
        <v>307</v>
      </c>
      <c r="C60" s="21" t="s">
        <v>308</v>
      </c>
      <c r="D60" s="34"/>
      <c r="E60" s="25" t="n">
        <v>45798</v>
      </c>
      <c r="F60" s="25" t="n">
        <f aca="false">WORKDAY(E60,G60)</f>
        <v>45882</v>
      </c>
      <c r="G60" s="26" t="n">
        <v>60</v>
      </c>
      <c r="H60" s="27" t="n">
        <f aca="false">(GX60* 5)/M60</f>
        <v>49.1291291291291</v>
      </c>
      <c r="I60" s="27" t="n">
        <f aca="false">G60-H60</f>
        <v>10.8708708708709</v>
      </c>
      <c r="J60" s="35" t="s">
        <v>309</v>
      </c>
      <c r="K60" s="36" t="n">
        <v>270000</v>
      </c>
      <c r="L60" s="36" t="n">
        <v>499500</v>
      </c>
      <c r="M60" s="29" t="n">
        <f aca="false">(L60/G60)*5</f>
        <v>41625</v>
      </c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 t="s">
        <v>214</v>
      </c>
      <c r="EL60" s="30"/>
      <c r="EM60" s="30" t="s">
        <v>214</v>
      </c>
      <c r="EN60" s="30" t="s">
        <v>214</v>
      </c>
      <c r="EO60" s="30"/>
      <c r="EP60" s="30"/>
      <c r="EQ60" s="30"/>
      <c r="ER60" s="30"/>
      <c r="ES60" s="30"/>
      <c r="ET60" s="30"/>
      <c r="EU60" s="30" t="n">
        <v>166500</v>
      </c>
      <c r="EV60" s="30"/>
      <c r="EW60" s="30"/>
      <c r="EX60" s="30"/>
      <c r="EY60" s="30" t="n">
        <v>166500</v>
      </c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  <c r="FS60" s="30"/>
      <c r="FT60" s="30"/>
      <c r="FU60" s="30" t="n">
        <v>76000</v>
      </c>
      <c r="FV60" s="30"/>
      <c r="FW60" s="30"/>
      <c r="FX60" s="30"/>
      <c r="FY60" s="30"/>
      <c r="FZ60" s="30"/>
      <c r="GA60" s="30"/>
      <c r="GB60" s="30"/>
      <c r="GC60" s="30"/>
      <c r="GD60" s="30"/>
      <c r="GE60" s="30"/>
      <c r="GF60" s="30"/>
      <c r="GG60" s="30"/>
      <c r="GH60" s="30"/>
      <c r="GI60" s="30"/>
      <c r="GJ60" s="30"/>
      <c r="GK60" s="30"/>
      <c r="GL60" s="30"/>
      <c r="GM60" s="30"/>
      <c r="GN60" s="30"/>
      <c r="GO60" s="30"/>
      <c r="GP60" s="30"/>
      <c r="GQ60" s="30"/>
      <c r="GR60" s="30"/>
      <c r="GS60" s="30"/>
      <c r="GT60" s="30"/>
      <c r="GU60" s="30"/>
      <c r="GV60" s="30"/>
      <c r="GW60" s="30"/>
      <c r="GX60" s="30" t="n">
        <f aca="false">SUM(N60:GW60)</f>
        <v>409000</v>
      </c>
      <c r="GY60" s="36" t="n">
        <f aca="false">SUM(L60-GX60)</f>
        <v>90500</v>
      </c>
      <c r="GZ60" s="32" t="n">
        <f aca="false">SUM( H60/5)</f>
        <v>9.82582582582583</v>
      </c>
      <c r="HA60" s="32" t="n">
        <f aca="false">SUM( I60/5)</f>
        <v>2.17417417417418</v>
      </c>
      <c r="HB60" s="33" t="n">
        <f aca="false">SUM(GZ60/4)</f>
        <v>2.45645645645646</v>
      </c>
      <c r="HC60" s="33" t="n">
        <f aca="false">SUM(HA60/4)</f>
        <v>0.543543543543544</v>
      </c>
    </row>
    <row r="61" customFormat="false" ht="28.5" hidden="true" customHeight="true" outlineLevel="0" collapsed="false">
      <c r="A61" s="26" t="n">
        <v>3273</v>
      </c>
      <c r="B61" s="21" t="s">
        <v>310</v>
      </c>
      <c r="C61" s="21" t="s">
        <v>311</v>
      </c>
      <c r="D61" s="34"/>
      <c r="E61" s="25" t="n">
        <v>45297</v>
      </c>
      <c r="F61" s="25" t="n">
        <f aca="false">WORKDAY(E61,G61)</f>
        <v>45548</v>
      </c>
      <c r="G61" s="26" t="n">
        <v>180</v>
      </c>
      <c r="H61" s="27" t="n">
        <f aca="false">(GX61* 5)/M61</f>
        <v>150</v>
      </c>
      <c r="I61" s="27" t="n">
        <f aca="false">G61-H61</f>
        <v>30</v>
      </c>
      <c r="J61" s="35" t="s">
        <v>312</v>
      </c>
      <c r="K61" s="31" t="n">
        <v>150000</v>
      </c>
      <c r="L61" s="31" t="n">
        <v>480600</v>
      </c>
      <c r="M61" s="37" t="n">
        <f aca="false">(L61/G61)*5</f>
        <v>13350</v>
      </c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 t="s">
        <v>214</v>
      </c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 t="s">
        <v>214</v>
      </c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 t="n">
        <v>54500</v>
      </c>
      <c r="CC61" s="30"/>
      <c r="CD61" s="30"/>
      <c r="CE61" s="30"/>
      <c r="CF61" s="30" t="n">
        <v>54500</v>
      </c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 t="n">
        <v>20000</v>
      </c>
      <c r="DE61" s="30"/>
      <c r="DF61" s="30"/>
      <c r="DG61" s="30"/>
      <c r="DH61" s="30"/>
      <c r="DI61" s="30"/>
      <c r="DJ61" s="30"/>
      <c r="DK61" s="30"/>
      <c r="DL61" s="30" t="n">
        <v>20000</v>
      </c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 t="n">
        <v>31600</v>
      </c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 t="n">
        <v>15000</v>
      </c>
      <c r="EW61" s="30" t="n">
        <v>13000</v>
      </c>
      <c r="EX61" s="30"/>
      <c r="EY61" s="30" t="n">
        <v>12000</v>
      </c>
      <c r="EZ61" s="30"/>
      <c r="FA61" s="30"/>
      <c r="FB61" s="30" t="n">
        <v>10000</v>
      </c>
      <c r="FC61" s="30" t="n">
        <v>25000</v>
      </c>
      <c r="FD61" s="30"/>
      <c r="FE61" s="30"/>
      <c r="FF61" s="30" t="s">
        <v>214</v>
      </c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 t="n">
        <v>10000</v>
      </c>
      <c r="FR61" s="30"/>
      <c r="FS61" s="30" t="n">
        <v>100000</v>
      </c>
      <c r="FT61" s="30"/>
      <c r="FU61" s="30"/>
      <c r="FV61" s="30"/>
      <c r="FW61" s="30"/>
      <c r="FX61" s="30"/>
      <c r="FY61" s="30"/>
      <c r="FZ61" s="30"/>
      <c r="GA61" s="30"/>
      <c r="GB61" s="30"/>
      <c r="GC61" s="30"/>
      <c r="GD61" s="30"/>
      <c r="GE61" s="30"/>
      <c r="GF61" s="30" t="n">
        <v>34900</v>
      </c>
      <c r="GG61" s="30"/>
      <c r="GH61" s="30"/>
      <c r="GI61" s="30"/>
      <c r="GJ61" s="30"/>
      <c r="GK61" s="30"/>
      <c r="GL61" s="30"/>
      <c r="GM61" s="30"/>
      <c r="GN61" s="30"/>
      <c r="GO61" s="30"/>
      <c r="GP61" s="30"/>
      <c r="GQ61" s="30"/>
      <c r="GR61" s="30"/>
      <c r="GS61" s="30"/>
      <c r="GT61" s="30"/>
      <c r="GU61" s="30"/>
      <c r="GV61" s="30"/>
      <c r="GW61" s="30"/>
      <c r="GX61" s="30" t="n">
        <f aca="false">SUM(N61:GW61)</f>
        <v>400500</v>
      </c>
      <c r="GY61" s="36" t="n">
        <f aca="false">SUM(L61-GX61)</f>
        <v>80100</v>
      </c>
      <c r="GZ61" s="32" t="n">
        <f aca="false">SUM( H61/5)</f>
        <v>30</v>
      </c>
      <c r="HA61" s="32" t="n">
        <f aca="false">SUM( I61/5)</f>
        <v>6</v>
      </c>
      <c r="HB61" s="33" t="n">
        <f aca="false">SUM(GZ61/4)</f>
        <v>7.5</v>
      </c>
      <c r="HC61" s="33" t="n">
        <f aca="false">SUM(HA61/4)</f>
        <v>1.5</v>
      </c>
    </row>
    <row r="62" customFormat="false" ht="28.5" hidden="true" customHeight="true" outlineLevel="0" collapsed="false">
      <c r="A62" s="26" t="n">
        <v>3219</v>
      </c>
      <c r="B62" s="21" t="s">
        <v>313</v>
      </c>
      <c r="C62" s="50" t="s">
        <v>314</v>
      </c>
      <c r="D62" s="34" t="n">
        <v>22375673</v>
      </c>
      <c r="E62" s="25" t="n">
        <v>45674</v>
      </c>
      <c r="F62" s="25" t="n">
        <f aca="false">WORKDAY(E62,G62)</f>
        <v>46066</v>
      </c>
      <c r="G62" s="26" t="n">
        <v>280</v>
      </c>
      <c r="H62" s="27" t="n">
        <f aca="false">(GX62* 5)/M62</f>
        <v>240.076923076923</v>
      </c>
      <c r="I62" s="27" t="n">
        <f aca="false">G62-H62</f>
        <v>39.9230769230769</v>
      </c>
      <c r="J62" s="35" t="s">
        <v>315</v>
      </c>
      <c r="K62" s="36" t="n">
        <v>1200000</v>
      </c>
      <c r="L62" s="36" t="n">
        <v>3640000</v>
      </c>
      <c r="M62" s="29" t="n">
        <f aca="false">(L62/G62)*5</f>
        <v>65000</v>
      </c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 t="n">
        <v>200000</v>
      </c>
      <c r="EE62" s="30" t="n">
        <v>60000</v>
      </c>
      <c r="EF62" s="30"/>
      <c r="EG62" s="30"/>
      <c r="EH62" s="30"/>
      <c r="EI62" s="30" t="n">
        <v>260000</v>
      </c>
      <c r="EJ62" s="30"/>
      <c r="EK62" s="30"/>
      <c r="EL62" s="30" t="n">
        <v>260000</v>
      </c>
      <c r="EM62" s="30"/>
      <c r="EN62" s="30"/>
      <c r="EO62" s="30"/>
      <c r="EP62" s="30" t="n">
        <v>260000</v>
      </c>
      <c r="EQ62" s="30"/>
      <c r="ER62" s="30"/>
      <c r="ES62" s="30"/>
      <c r="ET62" s="30" t="n">
        <v>260000</v>
      </c>
      <c r="EU62" s="30"/>
      <c r="EV62" s="30"/>
      <c r="EW62" s="30"/>
      <c r="EX62" s="30"/>
      <c r="EY62" s="30"/>
      <c r="EZ62" s="30" t="n">
        <v>245000</v>
      </c>
      <c r="FA62" s="30"/>
      <c r="FB62" s="30" t="n">
        <v>150000</v>
      </c>
      <c r="FC62" s="30"/>
      <c r="FD62" s="30"/>
      <c r="FE62" s="30"/>
      <c r="FF62" s="30" t="s">
        <v>214</v>
      </c>
      <c r="FG62" s="30"/>
      <c r="FH62" s="30" t="s">
        <v>214</v>
      </c>
      <c r="FI62" s="30"/>
      <c r="FJ62" s="30"/>
      <c r="FK62" s="30" t="n">
        <v>200000</v>
      </c>
      <c r="FL62" s="30" t="n">
        <v>60000</v>
      </c>
      <c r="FM62" s="30"/>
      <c r="FN62" s="30"/>
      <c r="FO62" s="30"/>
      <c r="FP62" s="30"/>
      <c r="FQ62" s="30"/>
      <c r="FR62" s="30"/>
      <c r="FS62" s="30"/>
      <c r="FT62" s="30"/>
      <c r="FU62" s="30"/>
      <c r="FV62" s="30" t="n">
        <v>260000</v>
      </c>
      <c r="FW62" s="30"/>
      <c r="FX62" s="30"/>
      <c r="FY62" s="30"/>
      <c r="FZ62" s="30" t="n">
        <v>26000</v>
      </c>
      <c r="GA62" s="30"/>
      <c r="GB62" s="30"/>
      <c r="GC62" s="30"/>
      <c r="GD62" s="30" t="n">
        <v>230000</v>
      </c>
      <c r="GE62" s="30"/>
      <c r="GF62" s="30"/>
      <c r="GG62" s="30"/>
      <c r="GH62" s="30"/>
      <c r="GI62" s="30"/>
      <c r="GJ62" s="30"/>
      <c r="GK62" s="30" t="n">
        <v>100000</v>
      </c>
      <c r="GL62" s="30"/>
      <c r="GM62" s="30"/>
      <c r="GN62" s="30"/>
      <c r="GO62" s="30"/>
      <c r="GP62" s="30" t="n">
        <v>200000</v>
      </c>
      <c r="GQ62" s="30"/>
      <c r="GR62" s="30"/>
      <c r="GS62" s="30"/>
      <c r="GT62" s="30"/>
      <c r="GU62" s="30" t="n">
        <v>200000</v>
      </c>
      <c r="GV62" s="30"/>
      <c r="GW62" s="30" t="n">
        <v>150000</v>
      </c>
      <c r="GX62" s="30" t="n">
        <f aca="false">SUM(N62:GW62)</f>
        <v>3121000</v>
      </c>
      <c r="GY62" s="36" t="n">
        <f aca="false">SUM(L62-GX62)</f>
        <v>519000</v>
      </c>
      <c r="GZ62" s="32" t="n">
        <f aca="false">SUM( H62/5)</f>
        <v>48.0153846153846</v>
      </c>
      <c r="HA62" s="32" t="n">
        <f aca="false">SUM( I62/5)</f>
        <v>7.98461538461539</v>
      </c>
      <c r="HB62" s="33" t="n">
        <f aca="false">SUM(GZ62/4)</f>
        <v>12.0038461538462</v>
      </c>
      <c r="HC62" s="33" t="n">
        <f aca="false">SUM(HA62/4)</f>
        <v>1.99615384615385</v>
      </c>
    </row>
    <row r="63" customFormat="false" ht="28.5" hidden="true" customHeight="true" outlineLevel="0" collapsed="false">
      <c r="A63" s="26" t="n">
        <v>3004</v>
      </c>
      <c r="B63" s="21" t="s">
        <v>313</v>
      </c>
      <c r="C63" s="50" t="s">
        <v>314</v>
      </c>
      <c r="D63" s="34" t="n">
        <v>22375673</v>
      </c>
      <c r="E63" s="25" t="n">
        <v>45768</v>
      </c>
      <c r="F63" s="25" t="n">
        <f aca="false">WORKDAY(E63,G63)</f>
        <v>46160</v>
      </c>
      <c r="G63" s="26" t="n">
        <v>280</v>
      </c>
      <c r="H63" s="27" t="n">
        <f aca="false">(GX63* 5)/M63</f>
        <v>134.022988505747</v>
      </c>
      <c r="I63" s="27" t="n">
        <f aca="false">G63-H63</f>
        <v>145.977011494253</v>
      </c>
      <c r="J63" s="35" t="s">
        <v>316</v>
      </c>
      <c r="K63" s="36" t="n">
        <v>800000</v>
      </c>
      <c r="L63" s="36" t="n">
        <v>2436000</v>
      </c>
      <c r="M63" s="29" t="n">
        <f aca="false">(L63/G63)*5</f>
        <v>43500</v>
      </c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 t="s">
        <v>214</v>
      </c>
      <c r="EL63" s="30"/>
      <c r="EM63" s="30"/>
      <c r="EN63" s="30"/>
      <c r="EO63" s="30"/>
      <c r="EP63" s="30"/>
      <c r="EQ63" s="30"/>
      <c r="ER63" s="30"/>
      <c r="ES63" s="30" t="n">
        <v>160000</v>
      </c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 t="n">
        <v>100000</v>
      </c>
      <c r="FE63" s="30" t="n">
        <v>74000</v>
      </c>
      <c r="FF63" s="30"/>
      <c r="FG63" s="30"/>
      <c r="FH63" s="30"/>
      <c r="FI63" s="30" t="n">
        <v>140000</v>
      </c>
      <c r="FJ63" s="30"/>
      <c r="FK63" s="30"/>
      <c r="FL63" s="30"/>
      <c r="FM63" s="30" t="n">
        <v>164000</v>
      </c>
      <c r="FN63" s="30"/>
      <c r="FO63" s="30"/>
      <c r="FP63" s="30"/>
      <c r="FQ63" s="30"/>
      <c r="FR63" s="30" t="n">
        <v>160000</v>
      </c>
      <c r="FS63" s="30"/>
      <c r="FT63" s="30" t="s">
        <v>214</v>
      </c>
      <c r="FU63" s="30"/>
      <c r="FV63" s="30"/>
      <c r="FW63" s="30"/>
      <c r="FX63" s="30"/>
      <c r="FY63" s="30"/>
      <c r="FZ63" s="30" t="n">
        <v>174000</v>
      </c>
      <c r="GA63" s="30"/>
      <c r="GB63" s="30"/>
      <c r="GC63" s="30"/>
      <c r="GD63" s="30" t="n">
        <v>20000</v>
      </c>
      <c r="GE63" s="30"/>
      <c r="GF63" s="30"/>
      <c r="GG63" s="30"/>
      <c r="GH63" s="30" t="n">
        <v>174000</v>
      </c>
      <c r="GI63" s="30"/>
      <c r="GJ63" s="30"/>
      <c r="GK63" s="30"/>
      <c r="GL63" s="30"/>
      <c r="GM63" s="30"/>
      <c r="GN63" s="30"/>
      <c r="GO63" s="30"/>
      <c r="GP63" s="30"/>
      <c r="GQ63" s="30"/>
      <c r="GR63" s="30"/>
      <c r="GS63" s="30"/>
      <c r="GT63" s="30"/>
      <c r="GU63" s="30"/>
      <c r="GV63" s="30"/>
      <c r="GW63" s="30"/>
      <c r="GX63" s="30" t="n">
        <f aca="false">SUM(N63:GW63)</f>
        <v>1166000</v>
      </c>
      <c r="GY63" s="36" t="n">
        <f aca="false">SUM(L63-GX63)</f>
        <v>1270000</v>
      </c>
      <c r="GZ63" s="32" t="n">
        <f aca="false">SUM( H63/5)</f>
        <v>26.8045977011494</v>
      </c>
      <c r="HA63" s="32" t="n">
        <f aca="false">SUM( I63/5)</f>
        <v>29.1954022988506</v>
      </c>
      <c r="HB63" s="33" t="n">
        <f aca="false">SUM(GZ63/4)</f>
        <v>6.70114942528736</v>
      </c>
      <c r="HC63" s="33" t="n">
        <f aca="false">SUM(HA63/4)</f>
        <v>7.29885057471264</v>
      </c>
    </row>
    <row r="64" customFormat="false" ht="28.5" hidden="true" customHeight="true" outlineLevel="0" collapsed="false">
      <c r="A64" s="26" t="n">
        <v>3146</v>
      </c>
      <c r="B64" s="21" t="s">
        <v>313</v>
      </c>
      <c r="C64" s="50" t="s">
        <v>314</v>
      </c>
      <c r="D64" s="34" t="n">
        <v>22375673</v>
      </c>
      <c r="E64" s="25" t="n">
        <v>45813</v>
      </c>
      <c r="F64" s="25" t="n">
        <f aca="false">WORKDAY(E64,G64)</f>
        <v>46205</v>
      </c>
      <c r="G64" s="26" t="n">
        <v>280</v>
      </c>
      <c r="H64" s="27" t="n">
        <f aca="false">(GX64* 5)/M64</f>
        <v>76.4615384615385</v>
      </c>
      <c r="I64" s="27" t="n">
        <f aca="false">G64-H64</f>
        <v>203.538461538462</v>
      </c>
      <c r="J64" s="35" t="s">
        <v>315</v>
      </c>
      <c r="K64" s="36" t="n">
        <v>1200000</v>
      </c>
      <c r="L64" s="36" t="n">
        <v>3640000</v>
      </c>
      <c r="M64" s="29" t="n">
        <f aca="false">(L64/G64)*5</f>
        <v>65000</v>
      </c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 t="s">
        <v>214</v>
      </c>
      <c r="EL64" s="30"/>
      <c r="EM64" s="30" t="s">
        <v>214</v>
      </c>
      <c r="EN64" s="30" t="s">
        <v>214</v>
      </c>
      <c r="EO64" s="30"/>
      <c r="EP64" s="30"/>
      <c r="EQ64" s="30"/>
      <c r="ER64" s="30"/>
      <c r="ES64" s="30"/>
      <c r="ET64" s="30"/>
      <c r="EU64" s="30"/>
      <c r="EV64" s="30"/>
      <c r="EW64" s="30"/>
      <c r="EX64" s="30" t="n">
        <v>170000</v>
      </c>
      <c r="EY64" s="30"/>
      <c r="EZ64" s="30"/>
      <c r="FA64" s="30"/>
      <c r="FB64" s="30"/>
      <c r="FC64" s="30"/>
      <c r="FD64" s="30"/>
      <c r="FE64" s="30" t="n">
        <v>26000</v>
      </c>
      <c r="FF64" s="30"/>
      <c r="FG64" s="30" t="n">
        <v>250000</v>
      </c>
      <c r="FH64" s="30"/>
      <c r="FI64" s="30"/>
      <c r="FJ64" s="30"/>
      <c r="FK64" s="30"/>
      <c r="FL64" s="30"/>
      <c r="FM64" s="30"/>
      <c r="FN64" s="30"/>
      <c r="FO64" s="30"/>
      <c r="FP64" s="30" t="n">
        <v>262000</v>
      </c>
      <c r="FQ64" s="30"/>
      <c r="FR64" s="30"/>
      <c r="FS64" s="30"/>
      <c r="FT64" s="30" t="n">
        <v>200000</v>
      </c>
      <c r="FU64" s="30" t="n">
        <v>60000</v>
      </c>
      <c r="FV64" s="30"/>
      <c r="FW64" s="30"/>
      <c r="FX64" s="30"/>
      <c r="FY64" s="30"/>
      <c r="FZ64" s="30"/>
      <c r="GA64" s="30"/>
      <c r="GB64" s="30"/>
      <c r="GC64" s="30"/>
      <c r="GD64" s="30"/>
      <c r="GE64" s="30"/>
      <c r="GF64" s="30"/>
      <c r="GG64" s="30"/>
      <c r="GH64" s="30" t="n">
        <v>26000</v>
      </c>
      <c r="GI64" s="30"/>
      <c r="GJ64" s="30"/>
      <c r="GK64" s="30"/>
      <c r="GL64" s="30"/>
      <c r="GM64" s="30"/>
      <c r="GN64" s="30"/>
      <c r="GO64" s="30"/>
      <c r="GP64" s="30"/>
      <c r="GQ64" s="30"/>
      <c r="GR64" s="30"/>
      <c r="GS64" s="30"/>
      <c r="GT64" s="30"/>
      <c r="GU64" s="30"/>
      <c r="GV64" s="30"/>
      <c r="GW64" s="30"/>
      <c r="GX64" s="30" t="n">
        <f aca="false">SUM(N64:GW64)</f>
        <v>994000</v>
      </c>
      <c r="GY64" s="36" t="n">
        <f aca="false">SUM(L64-GX64)</f>
        <v>2646000</v>
      </c>
      <c r="GZ64" s="32" t="n">
        <f aca="false">SUM( H64/5)</f>
        <v>15.2923076923077</v>
      </c>
      <c r="HA64" s="32" t="n">
        <f aca="false">SUM( I64/5)</f>
        <v>40.7076923076923</v>
      </c>
      <c r="HB64" s="33" t="n">
        <f aca="false">SUM(GZ64/4)</f>
        <v>3.82307692307692</v>
      </c>
      <c r="HC64" s="33" t="n">
        <f aca="false">SUM(HA64/4)</f>
        <v>10.1769230769231</v>
      </c>
    </row>
    <row r="65" customFormat="false" ht="28.5" hidden="true" customHeight="true" outlineLevel="0" collapsed="false">
      <c r="A65" s="26" t="n">
        <v>3610</v>
      </c>
      <c r="B65" s="21" t="s">
        <v>317</v>
      </c>
      <c r="C65" s="50" t="s">
        <v>314</v>
      </c>
      <c r="D65" s="34" t="n">
        <v>22375673</v>
      </c>
      <c r="E65" s="25" t="n">
        <v>46043</v>
      </c>
      <c r="F65" s="25" t="n">
        <f aca="false">WORKDAY(E65,G65)</f>
        <v>46267</v>
      </c>
      <c r="G65" s="26" t="n">
        <v>160</v>
      </c>
      <c r="H65" s="27" t="n">
        <f aca="false">(GX65* 5)/M65</f>
        <v>40</v>
      </c>
      <c r="I65" s="27" t="n">
        <f aca="false">G65-H65</f>
        <v>120</v>
      </c>
      <c r="J65" s="35" t="s">
        <v>318</v>
      </c>
      <c r="K65" s="36" t="n">
        <v>500000</v>
      </c>
      <c r="L65" s="36" t="n">
        <v>1440000</v>
      </c>
      <c r="M65" s="29" t="n">
        <f aca="false">(L65/G65)*5</f>
        <v>45000</v>
      </c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 t="s">
        <v>214</v>
      </c>
      <c r="EL65" s="30"/>
      <c r="EM65" s="30" t="s">
        <v>214</v>
      </c>
      <c r="EN65" s="30" t="s">
        <v>214</v>
      </c>
      <c r="EO65" s="30"/>
      <c r="EP65" s="30"/>
      <c r="EQ65" s="30"/>
      <c r="ER65" s="30"/>
      <c r="ES65" s="30" t="s">
        <v>214</v>
      </c>
      <c r="ET65" s="30"/>
      <c r="EU65" s="30"/>
      <c r="EV65" s="30" t="s">
        <v>214</v>
      </c>
      <c r="EW65" s="30"/>
      <c r="EX65" s="30"/>
      <c r="EY65" s="30"/>
      <c r="EZ65" s="30"/>
      <c r="FA65" s="30"/>
      <c r="FB65" s="30"/>
      <c r="FC65" s="30" t="s">
        <v>214</v>
      </c>
      <c r="FD65" s="30"/>
      <c r="FE65" s="30"/>
      <c r="FF65" s="30"/>
      <c r="FG65" s="30"/>
      <c r="FH65" s="30"/>
      <c r="FI65" s="30"/>
      <c r="FJ65" s="30"/>
      <c r="FK65" s="30"/>
      <c r="FL65" s="30" t="s">
        <v>214</v>
      </c>
      <c r="FM65" s="30"/>
      <c r="FN65" s="30"/>
      <c r="FO65" s="30"/>
      <c r="FP65" s="30"/>
      <c r="FQ65" s="30"/>
      <c r="FR65" s="30"/>
      <c r="FS65" s="30"/>
      <c r="FT65" s="30"/>
      <c r="FU65" s="30"/>
      <c r="FV65" s="30"/>
      <c r="FW65" s="30"/>
      <c r="FX65" s="30"/>
      <c r="FY65" s="30"/>
      <c r="FZ65" s="30"/>
      <c r="GA65" s="30"/>
      <c r="GB65" s="30"/>
      <c r="GC65" s="30" t="n">
        <v>180000</v>
      </c>
      <c r="GD65" s="30"/>
      <c r="GE65" s="30"/>
      <c r="GF65" s="30"/>
      <c r="GG65" s="30" t="n">
        <v>180000</v>
      </c>
      <c r="GH65" s="30"/>
      <c r="GI65" s="30"/>
      <c r="GJ65" s="30"/>
      <c r="GK65" s="30"/>
      <c r="GL65" s="30"/>
      <c r="GM65" s="30"/>
      <c r="GN65" s="30"/>
      <c r="GO65" s="30"/>
      <c r="GP65" s="30"/>
      <c r="GQ65" s="30"/>
      <c r="GR65" s="30"/>
      <c r="GS65" s="30"/>
      <c r="GT65" s="30"/>
      <c r="GU65" s="30"/>
      <c r="GV65" s="30"/>
      <c r="GW65" s="30"/>
      <c r="GX65" s="30" t="n">
        <f aca="false">SUM(N65:GW65)</f>
        <v>360000</v>
      </c>
      <c r="GY65" s="36" t="n">
        <f aca="false">SUM(L65-GX65)</f>
        <v>1080000</v>
      </c>
      <c r="GZ65" s="32" t="n">
        <f aca="false">SUM( H65/5)</f>
        <v>8</v>
      </c>
      <c r="HA65" s="32" t="n">
        <f aca="false">SUM( I65/5)</f>
        <v>24</v>
      </c>
      <c r="HB65" s="33" t="n">
        <f aca="false">SUM(GZ65/4)</f>
        <v>2</v>
      </c>
      <c r="HC65" s="33" t="n">
        <f aca="false">SUM(HA65/4)</f>
        <v>6</v>
      </c>
    </row>
    <row r="66" customFormat="false" ht="28.5" hidden="true" customHeight="true" outlineLevel="0" collapsed="false">
      <c r="A66" s="26" t="n">
        <v>3322</v>
      </c>
      <c r="B66" s="51" t="s">
        <v>319</v>
      </c>
      <c r="C66" s="21" t="s">
        <v>320</v>
      </c>
      <c r="D66" s="34"/>
      <c r="E66" s="25" t="n">
        <v>45881</v>
      </c>
      <c r="F66" s="25" t="n">
        <f aca="false">WORKDAY(E66,G66)</f>
        <v>46273</v>
      </c>
      <c r="G66" s="26" t="n">
        <v>280</v>
      </c>
      <c r="H66" s="27" t="n">
        <f aca="false">(GX66* 5)/M66</f>
        <v>220</v>
      </c>
      <c r="I66" s="27" t="n">
        <f aca="false">G66-H66</f>
        <v>60</v>
      </c>
      <c r="J66" s="35" t="s">
        <v>321</v>
      </c>
      <c r="K66" s="36" t="n">
        <v>500000</v>
      </c>
      <c r="L66" s="36" t="n">
        <v>1400000</v>
      </c>
      <c r="M66" s="29" t="n">
        <f aca="false">(L66/G66)*5</f>
        <v>25000</v>
      </c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 t="s">
        <v>214</v>
      </c>
      <c r="EL66" s="30"/>
      <c r="EM66" s="30" t="s">
        <v>214</v>
      </c>
      <c r="EN66" s="30" t="s">
        <v>214</v>
      </c>
      <c r="EO66" s="30"/>
      <c r="EP66" s="30"/>
      <c r="EQ66" s="30"/>
      <c r="ER66" s="30"/>
      <c r="ES66" s="30" t="s">
        <v>214</v>
      </c>
      <c r="ET66" s="30"/>
      <c r="EU66" s="30"/>
      <c r="EV66" s="30" t="s">
        <v>214</v>
      </c>
      <c r="EW66" s="30"/>
      <c r="EX66" s="30"/>
      <c r="EY66" s="30"/>
      <c r="EZ66" s="30"/>
      <c r="FA66" s="30"/>
      <c r="FB66" s="30"/>
      <c r="FC66" s="30"/>
      <c r="FD66" s="30"/>
      <c r="FE66" s="30"/>
      <c r="FF66" s="30" t="n">
        <v>100000</v>
      </c>
      <c r="FG66" s="30"/>
      <c r="FH66" s="30"/>
      <c r="FI66" s="30"/>
      <c r="FJ66" s="30"/>
      <c r="FK66" s="30"/>
      <c r="FL66" s="30" t="n">
        <v>100000</v>
      </c>
      <c r="FM66" s="30"/>
      <c r="FN66" s="30"/>
      <c r="FO66" s="30"/>
      <c r="FP66" s="30" t="n">
        <v>100000</v>
      </c>
      <c r="FQ66" s="30"/>
      <c r="FR66" s="30"/>
      <c r="FS66" s="30"/>
      <c r="FT66" s="30"/>
      <c r="FU66" s="30" t="n">
        <v>100000</v>
      </c>
      <c r="FV66" s="30"/>
      <c r="FW66" s="30"/>
      <c r="FX66" s="30"/>
      <c r="FY66" s="30" t="n">
        <v>100000</v>
      </c>
      <c r="FZ66" s="30"/>
      <c r="GA66" s="30"/>
      <c r="GB66" s="30"/>
      <c r="GC66" s="30"/>
      <c r="GD66" s="30"/>
      <c r="GE66" s="30"/>
      <c r="GF66" s="30" t="n">
        <v>200000</v>
      </c>
      <c r="GG66" s="30"/>
      <c r="GH66" s="30"/>
      <c r="GI66" s="30"/>
      <c r="GJ66" s="30"/>
      <c r="GK66" s="30"/>
      <c r="GL66" s="30"/>
      <c r="GM66" s="30" t="n">
        <v>100000</v>
      </c>
      <c r="GN66" s="30"/>
      <c r="GO66" s="30" t="n">
        <v>100000</v>
      </c>
      <c r="GP66" s="30"/>
      <c r="GQ66" s="30"/>
      <c r="GR66" s="30"/>
      <c r="GS66" s="30"/>
      <c r="GT66" s="30"/>
      <c r="GU66" s="30"/>
      <c r="GV66" s="30"/>
      <c r="GW66" s="30" t="n">
        <v>200000</v>
      </c>
      <c r="GX66" s="30" t="n">
        <f aca="false">SUM(N66:GW66)</f>
        <v>1100000</v>
      </c>
      <c r="GY66" s="36" t="n">
        <f aca="false">SUM(L66-GX66)</f>
        <v>300000</v>
      </c>
      <c r="GZ66" s="32" t="n">
        <f aca="false">SUM( H66/5)</f>
        <v>44</v>
      </c>
      <c r="HA66" s="32" t="n">
        <f aca="false">SUM( I66/5)</f>
        <v>12</v>
      </c>
      <c r="HB66" s="33" t="n">
        <f aca="false">SUM(GZ66/4)</f>
        <v>11</v>
      </c>
      <c r="HC66" s="33" t="n">
        <f aca="false">SUM(HA66/4)</f>
        <v>3</v>
      </c>
    </row>
    <row r="67" customFormat="false" ht="28.5" hidden="true" customHeight="true" outlineLevel="0" collapsed="false">
      <c r="A67" s="26" t="n">
        <v>3804</v>
      </c>
      <c r="B67" s="21" t="s">
        <v>319</v>
      </c>
      <c r="C67" s="21" t="s">
        <v>320</v>
      </c>
      <c r="D67" s="44"/>
      <c r="E67" s="25" t="n">
        <v>46186</v>
      </c>
      <c r="F67" s="25" t="n">
        <f aca="false">WORKDAY(E67,G67)</f>
        <v>46297</v>
      </c>
      <c r="G67" s="26" t="n">
        <v>80</v>
      </c>
      <c r="H67" s="27" t="n">
        <f aca="false">(GX67* 5)/M67</f>
        <v>20</v>
      </c>
      <c r="I67" s="27" t="n">
        <f aca="false">G67-H67</f>
        <v>60</v>
      </c>
      <c r="J67" s="52" t="s">
        <v>322</v>
      </c>
      <c r="K67" s="36" t="n">
        <v>100000</v>
      </c>
      <c r="L67" s="36" t="n">
        <v>216000</v>
      </c>
      <c r="M67" s="29" t="n">
        <f aca="false">(L67/G67)*5</f>
        <v>13500</v>
      </c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 t="s">
        <v>214</v>
      </c>
      <c r="EL67" s="30"/>
      <c r="EM67" s="30" t="s">
        <v>214</v>
      </c>
      <c r="EN67" s="30" t="s">
        <v>214</v>
      </c>
      <c r="EO67" s="30"/>
      <c r="EP67" s="30"/>
      <c r="EQ67" s="30"/>
      <c r="ER67" s="30"/>
      <c r="ES67" s="30" t="s">
        <v>214</v>
      </c>
      <c r="ET67" s="30"/>
      <c r="EU67" s="30"/>
      <c r="EV67" s="30" t="s">
        <v>214</v>
      </c>
      <c r="EW67" s="30"/>
      <c r="EX67" s="30"/>
      <c r="EY67" s="30"/>
      <c r="EZ67" s="30"/>
      <c r="FA67" s="30"/>
      <c r="FB67" s="30"/>
      <c r="FC67" s="30" t="s">
        <v>214</v>
      </c>
      <c r="FD67" s="30"/>
      <c r="FE67" s="30"/>
      <c r="FF67" s="30"/>
      <c r="FG67" s="30"/>
      <c r="FH67" s="30"/>
      <c r="FI67" s="30"/>
      <c r="FJ67" s="30"/>
      <c r="FK67" s="30"/>
      <c r="FL67" s="30" t="s">
        <v>214</v>
      </c>
      <c r="FM67" s="30"/>
      <c r="FN67" s="30"/>
      <c r="FO67" s="30"/>
      <c r="FP67" s="30"/>
      <c r="FQ67" s="30"/>
      <c r="FR67" s="30"/>
      <c r="FS67" s="30"/>
      <c r="FT67" s="30"/>
      <c r="FU67" s="30"/>
      <c r="FV67" s="30"/>
      <c r="FW67" s="30"/>
      <c r="FX67" s="30"/>
      <c r="FY67" s="30"/>
      <c r="FZ67" s="30"/>
      <c r="GA67" s="30"/>
      <c r="GB67" s="30"/>
      <c r="GC67" s="30"/>
      <c r="GD67" s="30"/>
      <c r="GE67" s="30"/>
      <c r="GF67" s="30"/>
      <c r="GG67" s="30"/>
      <c r="GH67" s="30"/>
      <c r="GI67" s="30"/>
      <c r="GJ67" s="30"/>
      <c r="GK67" s="30"/>
      <c r="GL67" s="30"/>
      <c r="GM67" s="30"/>
      <c r="GN67" s="30"/>
      <c r="GO67" s="30"/>
      <c r="GP67" s="30"/>
      <c r="GQ67" s="30"/>
      <c r="GR67" s="30"/>
      <c r="GS67" s="30"/>
      <c r="GT67" s="30"/>
      <c r="GU67" s="30"/>
      <c r="GV67" s="30"/>
      <c r="GW67" s="30" t="n">
        <v>54000</v>
      </c>
      <c r="GX67" s="30" t="n">
        <f aca="false">SUM(N67:GW67)</f>
        <v>54000</v>
      </c>
      <c r="GY67" s="36" t="n">
        <f aca="false">SUM(L67-GX67)</f>
        <v>162000</v>
      </c>
      <c r="GZ67" s="32" t="n">
        <f aca="false">SUM( H67/5)</f>
        <v>4</v>
      </c>
      <c r="HA67" s="32" t="n">
        <f aca="false">SUM( I67/5)</f>
        <v>12</v>
      </c>
      <c r="HB67" s="33" t="n">
        <f aca="false">SUM(GZ67/4)</f>
        <v>1</v>
      </c>
      <c r="HC67" s="33" t="n">
        <f aca="false">SUM(HA67/4)</f>
        <v>3</v>
      </c>
    </row>
    <row r="68" customFormat="false" ht="28.5" hidden="true" customHeight="true" outlineLevel="0" collapsed="false">
      <c r="A68" s="26" t="n">
        <v>3421</v>
      </c>
      <c r="B68" s="21" t="s">
        <v>323</v>
      </c>
      <c r="C68" s="21" t="s">
        <v>324</v>
      </c>
      <c r="D68" s="34" t="n">
        <v>14154231</v>
      </c>
      <c r="E68" s="25" t="n">
        <v>45699</v>
      </c>
      <c r="F68" s="25" t="n">
        <f aca="false">WORKDAY(E68,G68)</f>
        <v>45811</v>
      </c>
      <c r="G68" s="26" t="n">
        <v>80</v>
      </c>
      <c r="H68" s="27" t="n">
        <f aca="false">(GX68* 5)/M68</f>
        <v>76.5432098765432</v>
      </c>
      <c r="I68" s="27" t="n">
        <f aca="false">G68-H68</f>
        <v>3.45679012345678</v>
      </c>
      <c r="J68" s="35" t="s">
        <v>325</v>
      </c>
      <c r="K68" s="31" t="n">
        <v>300000</v>
      </c>
      <c r="L68" s="31" t="n">
        <v>648000</v>
      </c>
      <c r="M68" s="37" t="n">
        <f aca="false">(L68/G68)*5</f>
        <v>40500</v>
      </c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 t="s">
        <v>214</v>
      </c>
      <c r="EL68" s="30"/>
      <c r="EM68" s="30" t="s">
        <v>214</v>
      </c>
      <c r="EN68" s="30" t="s">
        <v>214</v>
      </c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 t="n">
        <v>100000</v>
      </c>
      <c r="FB68" s="30"/>
      <c r="FC68" s="30"/>
      <c r="FD68" s="30"/>
      <c r="FE68" s="30" t="n">
        <v>100000</v>
      </c>
      <c r="FF68" s="30"/>
      <c r="FG68" s="30"/>
      <c r="FH68" s="30"/>
      <c r="FI68" s="30"/>
      <c r="FJ68" s="30"/>
      <c r="FK68" s="30"/>
      <c r="FL68" s="30"/>
      <c r="FM68" s="30"/>
      <c r="FN68" s="30"/>
      <c r="FO68" s="30" t="n">
        <v>100000</v>
      </c>
      <c r="FP68" s="30"/>
      <c r="FQ68" s="30"/>
      <c r="FR68" s="30"/>
      <c r="FS68" s="30"/>
      <c r="FT68" s="30"/>
      <c r="FU68" s="30" t="n">
        <v>100000</v>
      </c>
      <c r="FV68" s="30"/>
      <c r="FW68" s="30"/>
      <c r="FX68" s="30"/>
      <c r="FY68" s="30"/>
      <c r="FZ68" s="30"/>
      <c r="GA68" s="30"/>
      <c r="GB68" s="30"/>
      <c r="GC68" s="30"/>
      <c r="GD68" s="30"/>
      <c r="GE68" s="30" t="n">
        <v>70000</v>
      </c>
      <c r="GF68" s="30"/>
      <c r="GG68" s="30"/>
      <c r="GH68" s="30"/>
      <c r="GI68" s="30"/>
      <c r="GJ68" s="30"/>
      <c r="GK68" s="30"/>
      <c r="GL68" s="30" t="n">
        <v>50000</v>
      </c>
      <c r="GM68" s="30"/>
      <c r="GN68" s="30"/>
      <c r="GO68" s="30"/>
      <c r="GP68" s="30"/>
      <c r="GQ68" s="30"/>
      <c r="GR68" s="30"/>
      <c r="GS68" s="30"/>
      <c r="GT68" s="30"/>
      <c r="GU68" s="30" t="n">
        <v>100000</v>
      </c>
      <c r="GV68" s="30"/>
      <c r="GW68" s="30"/>
      <c r="GX68" s="30" t="n">
        <f aca="false">SUM(N68:GW68)</f>
        <v>620000</v>
      </c>
      <c r="GY68" s="36" t="n">
        <f aca="false">SUM(L68-GX68)</f>
        <v>28000</v>
      </c>
      <c r="GZ68" s="32" t="n">
        <f aca="false">SUM( H68/5)</f>
        <v>15.3086419753086</v>
      </c>
      <c r="HA68" s="32" t="n">
        <f aca="false">SUM( I68/5)</f>
        <v>0.691358024691357</v>
      </c>
      <c r="HB68" s="33" t="n">
        <f aca="false">SUM(GZ68/4)</f>
        <v>3.82716049382716</v>
      </c>
      <c r="HC68" s="33" t="n">
        <f aca="false">SUM(HA68/4)</f>
        <v>0.172839506172839</v>
      </c>
    </row>
    <row r="69" customFormat="false" ht="28.5" hidden="true" customHeight="true" outlineLevel="0" collapsed="false">
      <c r="A69" s="26" t="n">
        <v>3441</v>
      </c>
      <c r="B69" s="21" t="s">
        <v>326</v>
      </c>
      <c r="C69" s="21" t="s">
        <v>327</v>
      </c>
      <c r="D69" s="34" t="s">
        <v>328</v>
      </c>
      <c r="E69" s="25" t="n">
        <v>45756</v>
      </c>
      <c r="F69" s="25" t="n">
        <f aca="false">WORKDAY(E69,G69)</f>
        <v>46050</v>
      </c>
      <c r="G69" s="26" t="n">
        <v>210</v>
      </c>
      <c r="H69" s="27" t="n">
        <f aca="false">(GX69* 5)/M69</f>
        <v>148.950617283951</v>
      </c>
      <c r="I69" s="27" t="n">
        <f aca="false">G69-H69</f>
        <v>61.0493827160494</v>
      </c>
      <c r="J69" s="22" t="s">
        <v>329</v>
      </c>
      <c r="K69" s="36" t="n">
        <v>500000</v>
      </c>
      <c r="L69" s="36" t="n">
        <v>1701000</v>
      </c>
      <c r="M69" s="37" t="n">
        <f aca="false">(L69/G69)*5</f>
        <v>40500</v>
      </c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 t="s">
        <v>214</v>
      </c>
      <c r="EL69" s="30"/>
      <c r="EM69" s="30" t="n">
        <v>40500</v>
      </c>
      <c r="EN69" s="30" t="n">
        <v>40500</v>
      </c>
      <c r="EO69" s="30" t="n">
        <v>40500</v>
      </c>
      <c r="EP69" s="30" t="n">
        <v>40500</v>
      </c>
      <c r="EQ69" s="30" t="n">
        <v>40500</v>
      </c>
      <c r="ER69" s="30" t="n">
        <v>40500</v>
      </c>
      <c r="ES69" s="30" t="n">
        <v>40500</v>
      </c>
      <c r="ET69" s="30" t="n">
        <v>40500</v>
      </c>
      <c r="EU69" s="30" t="n">
        <v>40500</v>
      </c>
      <c r="EV69" s="30" t="n">
        <v>40500</v>
      </c>
      <c r="EW69" s="30" t="n">
        <v>40500</v>
      </c>
      <c r="EX69" s="30" t="n">
        <v>40500</v>
      </c>
      <c r="EY69" s="30" t="n">
        <v>40500</v>
      </c>
      <c r="EZ69" s="30" t="n">
        <v>40500</v>
      </c>
      <c r="FA69" s="30" t="n">
        <v>40500</v>
      </c>
      <c r="FB69" s="30" t="n">
        <v>40500</v>
      </c>
      <c r="FC69" s="30" t="n">
        <v>40500</v>
      </c>
      <c r="FD69" s="30" t="n">
        <v>40500</v>
      </c>
      <c r="FE69" s="30" t="n">
        <v>40500</v>
      </c>
      <c r="FF69" s="30" t="n">
        <v>40500</v>
      </c>
      <c r="FG69" s="30" t="n">
        <v>40500</v>
      </c>
      <c r="FH69" s="30" t="n">
        <v>40500</v>
      </c>
      <c r="FI69" s="30" t="n">
        <v>40500</v>
      </c>
      <c r="FJ69" s="30" t="n">
        <v>40500</v>
      </c>
      <c r="FK69" s="30"/>
      <c r="FL69" s="30" t="n">
        <v>40500</v>
      </c>
      <c r="FM69" s="30"/>
      <c r="FN69" s="30" t="n">
        <v>40500</v>
      </c>
      <c r="FO69" s="30" t="n">
        <v>40500</v>
      </c>
      <c r="FP69" s="30"/>
      <c r="FQ69" s="30"/>
      <c r="FR69" s="30"/>
      <c r="FS69" s="30"/>
      <c r="FT69" s="30"/>
      <c r="FU69" s="30"/>
      <c r="FV69" s="30" t="n">
        <v>43000</v>
      </c>
      <c r="FW69" s="30"/>
      <c r="FX69" s="30"/>
      <c r="FY69" s="30"/>
      <c r="FZ69" s="30"/>
      <c r="GA69" s="30"/>
      <c r="GB69" s="30" t="n">
        <v>25000</v>
      </c>
      <c r="GC69" s="30" t="n">
        <v>25000</v>
      </c>
      <c r="GD69" s="30"/>
      <c r="GE69" s="30"/>
      <c r="GF69" s="30"/>
      <c r="GG69" s="30" t="n">
        <v>20000</v>
      </c>
      <c r="GH69" s="30"/>
      <c r="GI69" s="30"/>
      <c r="GJ69" s="30"/>
      <c r="GK69" s="30"/>
      <c r="GL69" s="30"/>
      <c r="GM69" s="30"/>
      <c r="GN69" s="30"/>
      <c r="GO69" s="30"/>
      <c r="GP69" s="30"/>
      <c r="GQ69" s="30"/>
      <c r="GR69" s="30"/>
      <c r="GS69" s="30"/>
      <c r="GT69" s="30"/>
      <c r="GU69" s="30"/>
      <c r="GV69" s="30"/>
      <c r="GW69" s="30"/>
      <c r="GX69" s="30" t="n">
        <f aca="false">SUM(N69:GW69)</f>
        <v>1206500</v>
      </c>
      <c r="GY69" s="36" t="n">
        <f aca="false">SUM(L69-GX69)</f>
        <v>494500</v>
      </c>
      <c r="GZ69" s="32" t="n">
        <f aca="false">SUM( H69/5)</f>
        <v>29.7901234567901</v>
      </c>
      <c r="HA69" s="32" t="n">
        <f aca="false">SUM( I69/5)</f>
        <v>12.2098765432099</v>
      </c>
      <c r="HB69" s="33" t="n">
        <f aca="false">SUM(GZ69/4)</f>
        <v>7.44753086419753</v>
      </c>
      <c r="HC69" s="33" t="n">
        <f aca="false">SUM(HA69/4)</f>
        <v>3.05246913580247</v>
      </c>
    </row>
    <row r="70" customFormat="false" ht="28.5" hidden="true" customHeight="true" outlineLevel="0" collapsed="false">
      <c r="A70" s="26" t="n">
        <v>3532</v>
      </c>
      <c r="B70" s="21" t="s">
        <v>326</v>
      </c>
      <c r="C70" s="21" t="s">
        <v>327</v>
      </c>
      <c r="D70" s="34" t="s">
        <v>328</v>
      </c>
      <c r="E70" s="25" t="n">
        <v>45777</v>
      </c>
      <c r="F70" s="25" t="n">
        <f aca="false">WORKDAY(E70,G70)</f>
        <v>46001</v>
      </c>
      <c r="G70" s="26" t="n">
        <v>160</v>
      </c>
      <c r="H70" s="27" t="n">
        <f aca="false">(GX70* 5)/M70</f>
        <v>49.7045333333333</v>
      </c>
      <c r="I70" s="27" t="n">
        <f aca="false">G70-H70</f>
        <v>110.295466666667</v>
      </c>
      <c r="J70" s="35" t="s">
        <v>330</v>
      </c>
      <c r="K70" s="46" t="n">
        <v>400000</v>
      </c>
      <c r="L70" s="36" t="n">
        <v>1200000</v>
      </c>
      <c r="M70" s="29" t="n">
        <f aca="false">(L70/G70)*5</f>
        <v>37500</v>
      </c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 t="n">
        <v>83642</v>
      </c>
      <c r="EX70" s="30"/>
      <c r="EY70" s="30" t="n">
        <v>36858</v>
      </c>
      <c r="EZ70" s="30" t="n">
        <v>60000</v>
      </c>
      <c r="FA70" s="30"/>
      <c r="FB70" s="30"/>
      <c r="FC70" s="30" t="n">
        <v>38284</v>
      </c>
      <c r="FD70" s="30" t="n">
        <v>41500</v>
      </c>
      <c r="FE70" s="30"/>
      <c r="FF70" s="30" t="n">
        <v>29500</v>
      </c>
      <c r="FG70" s="30"/>
      <c r="FH70" s="30" t="n">
        <v>39500</v>
      </c>
      <c r="FI70" s="30" t="n">
        <v>40000</v>
      </c>
      <c r="FJ70" s="30"/>
      <c r="FK70" s="30"/>
      <c r="FL70" s="30"/>
      <c r="FM70" s="30"/>
      <c r="FN70" s="30" t="n">
        <v>3500</v>
      </c>
      <c r="FO70" s="30"/>
      <c r="FP70" s="30"/>
      <c r="FQ70" s="30"/>
      <c r="FR70" s="30"/>
      <c r="FS70" s="30"/>
      <c r="FT70" s="30"/>
      <c r="FU70" s="30"/>
      <c r="FV70" s="30"/>
      <c r="FW70" s="30"/>
      <c r="FX70" s="30"/>
      <c r="FY70" s="30"/>
      <c r="FZ70" s="30"/>
      <c r="GA70" s="30"/>
      <c r="GB70" s="30"/>
      <c r="GC70" s="30"/>
      <c r="GD70" s="30"/>
      <c r="GE70" s="30"/>
      <c r="GF70" s="30"/>
      <c r="GG70" s="30"/>
      <c r="GH70" s="30"/>
      <c r="GI70" s="30"/>
      <c r="GJ70" s="30"/>
      <c r="GK70" s="30"/>
      <c r="GL70" s="30"/>
      <c r="GM70" s="30"/>
      <c r="GN70" s="30"/>
      <c r="GO70" s="30"/>
      <c r="GP70" s="30"/>
      <c r="GQ70" s="30"/>
      <c r="GR70" s="30"/>
      <c r="GS70" s="30"/>
      <c r="GT70" s="30"/>
      <c r="GU70" s="30"/>
      <c r="GV70" s="30"/>
      <c r="GW70" s="30"/>
      <c r="GX70" s="30" t="n">
        <f aca="false">SUM(N70:GW70)</f>
        <v>372784</v>
      </c>
      <c r="GY70" s="36" t="n">
        <f aca="false">SUM(L70-GX70)</f>
        <v>827216</v>
      </c>
      <c r="GZ70" s="32" t="n">
        <f aca="false">SUM( H70/5)</f>
        <v>9.94090666666667</v>
      </c>
      <c r="HA70" s="32" t="n">
        <f aca="false">SUM( I70/5)</f>
        <v>22.0590933333333</v>
      </c>
      <c r="HB70" s="33" t="n">
        <f aca="false">SUM(GZ70/4)</f>
        <v>2.48522666666667</v>
      </c>
      <c r="HC70" s="33" t="n">
        <f aca="false">SUM(HA70/4)</f>
        <v>5.51477333333333</v>
      </c>
    </row>
    <row r="71" customFormat="false" ht="28.5" hidden="true" customHeight="true" outlineLevel="0" collapsed="false">
      <c r="A71" s="26" t="n">
        <v>3275</v>
      </c>
      <c r="B71" s="21" t="s">
        <v>326</v>
      </c>
      <c r="C71" s="21" t="s">
        <v>327</v>
      </c>
      <c r="D71" s="34" t="s">
        <v>328</v>
      </c>
      <c r="E71" s="25" t="n">
        <v>45866</v>
      </c>
      <c r="F71" s="25" t="n">
        <f aca="false">WORKDAY(E71,G71)</f>
        <v>46034</v>
      </c>
      <c r="G71" s="26" t="n">
        <v>120</v>
      </c>
      <c r="H71" s="27" t="n">
        <f aca="false">(GX71* 5)/M71</f>
        <v>5.39772727272727</v>
      </c>
      <c r="I71" s="27" t="n">
        <f aca="false">G71-H71</f>
        <v>114.602272727273</v>
      </c>
      <c r="J71" s="35" t="s">
        <v>331</v>
      </c>
      <c r="K71" s="45" t="n">
        <v>400000</v>
      </c>
      <c r="L71" s="31" t="n">
        <v>1056000</v>
      </c>
      <c r="M71" s="37" t="n">
        <f aca="false">(L71/G71)*5</f>
        <v>44000</v>
      </c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 t="s">
        <v>214</v>
      </c>
      <c r="EL71" s="30"/>
      <c r="EM71" s="30" t="s">
        <v>214</v>
      </c>
      <c r="EN71" s="30" t="s">
        <v>214</v>
      </c>
      <c r="EO71" s="30"/>
      <c r="EP71" s="30"/>
      <c r="EQ71" s="30"/>
      <c r="ER71" s="30"/>
      <c r="ES71" s="30" t="s">
        <v>214</v>
      </c>
      <c r="ET71" s="30"/>
      <c r="EU71" s="30"/>
      <c r="EV71" s="30" t="s">
        <v>214</v>
      </c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 t="n">
        <v>22500</v>
      </c>
      <c r="FK71" s="30"/>
      <c r="FL71" s="30"/>
      <c r="FM71" s="30"/>
      <c r="FN71" s="30"/>
      <c r="FO71" s="30"/>
      <c r="FP71" s="30"/>
      <c r="FQ71" s="30"/>
      <c r="FR71" s="30"/>
      <c r="FS71" s="30"/>
      <c r="FT71" s="30"/>
      <c r="FU71" s="30"/>
      <c r="FV71" s="30"/>
      <c r="FW71" s="30"/>
      <c r="FX71" s="30"/>
      <c r="FY71" s="30"/>
      <c r="FZ71" s="30"/>
      <c r="GA71" s="30" t="n">
        <v>25000</v>
      </c>
      <c r="GB71" s="30"/>
      <c r="GC71" s="30"/>
      <c r="GD71" s="30"/>
      <c r="GE71" s="30"/>
      <c r="GF71" s="30"/>
      <c r="GG71" s="30"/>
      <c r="GH71" s="30"/>
      <c r="GI71" s="30"/>
      <c r="GJ71" s="30"/>
      <c r="GK71" s="30"/>
      <c r="GL71" s="30"/>
      <c r="GM71" s="30"/>
      <c r="GN71" s="30"/>
      <c r="GO71" s="30"/>
      <c r="GP71" s="30"/>
      <c r="GQ71" s="30"/>
      <c r="GR71" s="30"/>
      <c r="GS71" s="30"/>
      <c r="GT71" s="30"/>
      <c r="GU71" s="30"/>
      <c r="GV71" s="30"/>
      <c r="GW71" s="30"/>
      <c r="GX71" s="30" t="n">
        <f aca="false">SUM(N71:GW71)</f>
        <v>47500</v>
      </c>
      <c r="GY71" s="36" t="n">
        <f aca="false">SUM(L71-GX71)</f>
        <v>1008500</v>
      </c>
      <c r="GZ71" s="32" t="n">
        <f aca="false">SUM( H71/5)</f>
        <v>1.07954545454545</v>
      </c>
      <c r="HA71" s="32" t="n">
        <f aca="false">SUM( I71/5)</f>
        <v>22.9204545454545</v>
      </c>
      <c r="HB71" s="33" t="n">
        <f aca="false">SUM(GZ71/4)</f>
        <v>0.269886363636364</v>
      </c>
      <c r="HC71" s="33" t="n">
        <f aca="false">SUM(HA71/4)</f>
        <v>5.73011363636364</v>
      </c>
    </row>
    <row r="72" customFormat="false" ht="28.5" hidden="true" customHeight="true" outlineLevel="0" collapsed="false">
      <c r="A72" s="26" t="n">
        <v>3327</v>
      </c>
      <c r="B72" s="21" t="s">
        <v>326</v>
      </c>
      <c r="C72" s="21" t="s">
        <v>327</v>
      </c>
      <c r="D72" s="34" t="s">
        <v>328</v>
      </c>
      <c r="E72" s="25" t="n">
        <v>45929</v>
      </c>
      <c r="F72" s="25" t="n">
        <f aca="false">WORKDAY(E72,G72)</f>
        <v>46153</v>
      </c>
      <c r="G72" s="26" t="n">
        <v>160</v>
      </c>
      <c r="H72" s="27" t="n">
        <f aca="false">(GX72* 5)/M72</f>
        <v>21.0185185185185</v>
      </c>
      <c r="I72" s="27" t="n">
        <f aca="false">G72-H72</f>
        <v>138.981481481481</v>
      </c>
      <c r="J72" s="22" t="s">
        <v>332</v>
      </c>
      <c r="K72" s="36" t="n">
        <v>300000</v>
      </c>
      <c r="L72" s="36" t="n">
        <v>864000</v>
      </c>
      <c r="M72" s="29" t="n">
        <f aca="false">(L72/G72)*5</f>
        <v>27000</v>
      </c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 t="s">
        <v>214</v>
      </c>
      <c r="EL72" s="30"/>
      <c r="EM72" s="30" t="s">
        <v>214</v>
      </c>
      <c r="EN72" s="30" t="s">
        <v>214</v>
      </c>
      <c r="EO72" s="30"/>
      <c r="EP72" s="30"/>
      <c r="EQ72" s="30"/>
      <c r="ER72" s="30"/>
      <c r="ES72" s="30" t="s">
        <v>214</v>
      </c>
      <c r="ET72" s="30"/>
      <c r="EU72" s="30"/>
      <c r="EV72" s="30" t="s">
        <v>214</v>
      </c>
      <c r="EW72" s="30"/>
      <c r="EX72" s="30"/>
      <c r="EY72" s="30"/>
      <c r="EZ72" s="30"/>
      <c r="FA72" s="30"/>
      <c r="FB72" s="30"/>
      <c r="FC72" s="30" t="s">
        <v>214</v>
      </c>
      <c r="FD72" s="30"/>
      <c r="FE72" s="30"/>
      <c r="FF72" s="30"/>
      <c r="FG72" s="30"/>
      <c r="FH72" s="30"/>
      <c r="FI72" s="30"/>
      <c r="FJ72" s="30" t="n">
        <v>27000</v>
      </c>
      <c r="FK72" s="30"/>
      <c r="FL72" s="30" t="n">
        <v>27000</v>
      </c>
      <c r="FM72" s="30" t="n">
        <v>32500</v>
      </c>
      <c r="FN72" s="30"/>
      <c r="FO72" s="30"/>
      <c r="FP72" s="30"/>
      <c r="FQ72" s="30"/>
      <c r="FR72" s="30"/>
      <c r="FS72" s="30"/>
      <c r="FT72" s="30"/>
      <c r="FU72" s="30"/>
      <c r="FV72" s="30" t="n">
        <v>27000</v>
      </c>
      <c r="FW72" s="30"/>
      <c r="FX72" s="30"/>
      <c r="FY72" s="30"/>
      <c r="FZ72" s="30"/>
      <c r="GA72" s="30"/>
      <c r="GB72" s="30"/>
      <c r="GC72" s="30"/>
      <c r="GD72" s="30"/>
      <c r="GE72" s="30"/>
      <c r="GF72" s="30"/>
      <c r="GG72" s="30"/>
      <c r="GH72" s="30"/>
      <c r="GI72" s="30"/>
      <c r="GJ72" s="30"/>
      <c r="GK72" s="30"/>
      <c r="GL72" s="30"/>
      <c r="GM72" s="30"/>
      <c r="GN72" s="30"/>
      <c r="GO72" s="30"/>
      <c r="GP72" s="30"/>
      <c r="GQ72" s="30"/>
      <c r="GR72" s="30"/>
      <c r="GS72" s="30"/>
      <c r="GT72" s="30"/>
      <c r="GU72" s="30"/>
      <c r="GV72" s="30"/>
      <c r="GW72" s="30"/>
      <c r="GX72" s="30" t="n">
        <f aca="false">SUM(N72:GW72)</f>
        <v>113500</v>
      </c>
      <c r="GY72" s="36" t="n">
        <f aca="false">SUM(L72-GX72)</f>
        <v>750500</v>
      </c>
      <c r="GZ72" s="32" t="n">
        <f aca="false">SUM( H72/5)</f>
        <v>4.2037037037037</v>
      </c>
      <c r="HA72" s="32" t="n">
        <f aca="false">SUM( I72/5)</f>
        <v>27.7962962962963</v>
      </c>
      <c r="HB72" s="33" t="n">
        <f aca="false">SUM(GZ72/4)</f>
        <v>1.05092592592593</v>
      </c>
      <c r="HC72" s="33" t="n">
        <f aca="false">SUM(HA72/4)</f>
        <v>6.94907407407407</v>
      </c>
    </row>
    <row r="73" customFormat="false" ht="28.5" hidden="true" customHeight="true" outlineLevel="0" collapsed="false">
      <c r="A73" s="26" t="n">
        <v>3367</v>
      </c>
      <c r="B73" s="21" t="s">
        <v>333</v>
      </c>
      <c r="C73" s="21" t="s">
        <v>334</v>
      </c>
      <c r="D73" s="34"/>
      <c r="E73" s="25" t="n">
        <v>45944</v>
      </c>
      <c r="F73" s="25" t="n">
        <f aca="false">WORKDAY(E73,G73)</f>
        <v>46168</v>
      </c>
      <c r="G73" s="26" t="n">
        <v>160</v>
      </c>
      <c r="H73" s="27" t="n">
        <f aca="false">(GX73* 5)/M73</f>
        <v>55.5555555555556</v>
      </c>
      <c r="I73" s="27" t="n">
        <f aca="false">G73-H73</f>
        <v>104.444444444444</v>
      </c>
      <c r="J73" s="22" t="s">
        <v>335</v>
      </c>
      <c r="K73" s="31" t="n">
        <v>1000000</v>
      </c>
      <c r="L73" s="31" t="n">
        <v>2880000</v>
      </c>
      <c r="M73" s="29" t="n">
        <f aca="false">(L73/G73)*5</f>
        <v>90000</v>
      </c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 t="s">
        <v>214</v>
      </c>
      <c r="EL73" s="30"/>
      <c r="EM73" s="30" t="s">
        <v>214</v>
      </c>
      <c r="EN73" s="30" t="s">
        <v>214</v>
      </c>
      <c r="EO73" s="30"/>
      <c r="EP73" s="30"/>
      <c r="EQ73" s="30"/>
      <c r="ER73" s="30"/>
      <c r="ES73" s="30" t="s">
        <v>214</v>
      </c>
      <c r="ET73" s="30"/>
      <c r="EU73" s="30"/>
      <c r="EV73" s="30" t="s">
        <v>214</v>
      </c>
      <c r="EW73" s="30"/>
      <c r="EX73" s="30"/>
      <c r="EY73" s="30"/>
      <c r="EZ73" s="30"/>
      <c r="FA73" s="30"/>
      <c r="FB73" s="30"/>
      <c r="FC73" s="30" t="s">
        <v>214</v>
      </c>
      <c r="FD73" s="30"/>
      <c r="FE73" s="30"/>
      <c r="FF73" s="30"/>
      <c r="FG73" s="30"/>
      <c r="FH73" s="30"/>
      <c r="FI73" s="30"/>
      <c r="FJ73" s="30"/>
      <c r="FK73" s="30"/>
      <c r="FL73" s="30"/>
      <c r="FM73" s="30" t="n">
        <v>90000</v>
      </c>
      <c r="FN73" s="30" t="n">
        <v>90000</v>
      </c>
      <c r="FO73" s="30"/>
      <c r="FP73" s="30" t="n">
        <v>180000</v>
      </c>
      <c r="FQ73" s="30"/>
      <c r="FR73" s="30" t="n">
        <v>130000</v>
      </c>
      <c r="FS73" s="30" t="n">
        <v>90000</v>
      </c>
      <c r="FT73" s="30"/>
      <c r="FU73" s="30" t="n">
        <v>90000</v>
      </c>
      <c r="FV73" s="30" t="n">
        <v>90000</v>
      </c>
      <c r="FW73" s="30"/>
      <c r="FX73" s="30"/>
      <c r="FY73" s="30"/>
      <c r="FZ73" s="30" t="n">
        <v>90000</v>
      </c>
      <c r="GA73" s="30"/>
      <c r="GB73" s="30"/>
      <c r="GC73" s="30"/>
      <c r="GD73" s="30"/>
      <c r="GE73" s="30" t="n">
        <v>90000</v>
      </c>
      <c r="GF73" s="30"/>
      <c r="GG73" s="30" t="n">
        <v>60000</v>
      </c>
      <c r="GH73" s="30"/>
      <c r="GI73" s="30"/>
      <c r="GJ73" s="30"/>
      <c r="GK73" s="30"/>
      <c r="GL73" s="30"/>
      <c r="GM73" s="30"/>
      <c r="GN73" s="30"/>
      <c r="GO73" s="30"/>
      <c r="GP73" s="30"/>
      <c r="GQ73" s="30"/>
      <c r="GR73" s="30"/>
      <c r="GS73" s="30"/>
      <c r="GT73" s="30"/>
      <c r="GU73" s="30"/>
      <c r="GV73" s="30"/>
      <c r="GW73" s="30"/>
      <c r="GX73" s="30" t="n">
        <f aca="false">SUM(N73:GW73)</f>
        <v>1000000</v>
      </c>
      <c r="GY73" s="36" t="n">
        <f aca="false">SUM(L73-GX73)</f>
        <v>1880000</v>
      </c>
      <c r="GZ73" s="32" t="n">
        <f aca="false">SUM( H73/5)</f>
        <v>11.1111111111111</v>
      </c>
      <c r="HA73" s="32" t="n">
        <f aca="false">SUM( I73/5)</f>
        <v>20.8888888888889</v>
      </c>
      <c r="HB73" s="33" t="n">
        <f aca="false">SUM(GZ73/4)</f>
        <v>2.77777777777778</v>
      </c>
      <c r="HC73" s="33" t="n">
        <f aca="false">SUM(HA73/4)</f>
        <v>5.22222222222222</v>
      </c>
    </row>
    <row r="74" customFormat="false" ht="28.5" hidden="true" customHeight="true" outlineLevel="0" collapsed="false">
      <c r="A74" s="26" t="n">
        <v>3385</v>
      </c>
      <c r="B74" s="21" t="s">
        <v>333</v>
      </c>
      <c r="C74" s="21" t="s">
        <v>334</v>
      </c>
      <c r="D74" s="34"/>
      <c r="E74" s="25" t="n">
        <v>46000</v>
      </c>
      <c r="F74" s="25" t="n">
        <f aca="false">WORKDAY(E74,G74)</f>
        <v>46100</v>
      </c>
      <c r="G74" s="26" t="n">
        <v>72</v>
      </c>
      <c r="H74" s="27" t="n">
        <f aca="false">(GX74* 5)/M74</f>
        <v>35</v>
      </c>
      <c r="I74" s="27" t="n">
        <f aca="false">G74-H74</f>
        <v>37</v>
      </c>
      <c r="J74" s="22" t="s">
        <v>244</v>
      </c>
      <c r="K74" s="36" t="n">
        <v>200000</v>
      </c>
      <c r="L74" s="36" t="n">
        <v>432000</v>
      </c>
      <c r="M74" s="37" t="n">
        <f aca="false">(L74/G74)*5</f>
        <v>30000</v>
      </c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 t="s">
        <v>214</v>
      </c>
      <c r="EL74" s="30"/>
      <c r="EM74" s="30" t="s">
        <v>214</v>
      </c>
      <c r="EN74" s="30" t="s">
        <v>214</v>
      </c>
      <c r="EO74" s="30"/>
      <c r="EP74" s="30"/>
      <c r="EQ74" s="30"/>
      <c r="ER74" s="30"/>
      <c r="ES74" s="30" t="s">
        <v>214</v>
      </c>
      <c r="ET74" s="30"/>
      <c r="EU74" s="30"/>
      <c r="EV74" s="30" t="s">
        <v>214</v>
      </c>
      <c r="EW74" s="30"/>
      <c r="EX74" s="30"/>
      <c r="EY74" s="30"/>
      <c r="EZ74" s="30"/>
      <c r="FA74" s="30"/>
      <c r="FB74" s="30"/>
      <c r="FC74" s="30" t="s">
        <v>214</v>
      </c>
      <c r="FD74" s="30"/>
      <c r="FE74" s="30"/>
      <c r="FF74" s="30"/>
      <c r="FG74" s="30"/>
      <c r="FH74" s="30"/>
      <c r="FI74" s="30"/>
      <c r="FJ74" s="30"/>
      <c r="FK74" s="30"/>
      <c r="FL74" s="30" t="s">
        <v>214</v>
      </c>
      <c r="FM74" s="30"/>
      <c r="FN74" s="30"/>
      <c r="FO74" s="30"/>
      <c r="FP74" s="30"/>
      <c r="FQ74" s="30"/>
      <c r="FR74" s="30"/>
      <c r="FS74" s="30"/>
      <c r="FT74" s="30"/>
      <c r="FU74" s="30"/>
      <c r="FV74" s="30" t="n">
        <v>30000</v>
      </c>
      <c r="FW74" s="30"/>
      <c r="FX74" s="30"/>
      <c r="FY74" s="30"/>
      <c r="FZ74" s="30"/>
      <c r="GA74" s="30" t="n">
        <v>30000</v>
      </c>
      <c r="GB74" s="30" t="n">
        <v>30000</v>
      </c>
      <c r="GC74" s="30" t="n">
        <v>30000</v>
      </c>
      <c r="GD74" s="30"/>
      <c r="GE74" s="30" t="n">
        <v>30000</v>
      </c>
      <c r="GF74" s="30"/>
      <c r="GG74" s="30" t="n">
        <v>30000</v>
      </c>
      <c r="GH74" s="30"/>
      <c r="GI74" s="30"/>
      <c r="GJ74" s="30" t="n">
        <v>30000</v>
      </c>
      <c r="GK74" s="30"/>
      <c r="GL74" s="30"/>
      <c r="GM74" s="30"/>
      <c r="GN74" s="30"/>
      <c r="GO74" s="30"/>
      <c r="GP74" s="30"/>
      <c r="GQ74" s="30"/>
      <c r="GR74" s="30"/>
      <c r="GS74" s="30"/>
      <c r="GT74" s="30"/>
      <c r="GU74" s="30"/>
      <c r="GV74" s="30"/>
      <c r="GW74" s="30"/>
      <c r="GX74" s="30" t="n">
        <f aca="false">SUM(N74:GW74)</f>
        <v>210000</v>
      </c>
      <c r="GY74" s="36" t="n">
        <f aca="false">SUM(L74-GX74)</f>
        <v>222000</v>
      </c>
      <c r="GZ74" s="32" t="n">
        <f aca="false">SUM( H74/5)</f>
        <v>7</v>
      </c>
      <c r="HA74" s="32" t="n">
        <f aca="false">SUM( I74/5)</f>
        <v>7.4</v>
      </c>
      <c r="HB74" s="33" t="n">
        <f aca="false">SUM(GZ74/4)</f>
        <v>1.75</v>
      </c>
      <c r="HC74" s="33" t="n">
        <f aca="false">SUM(HA74/4)</f>
        <v>1.85</v>
      </c>
    </row>
    <row r="75" customFormat="false" ht="28.5" hidden="true" customHeight="true" outlineLevel="0" collapsed="false">
      <c r="A75" s="26" t="n">
        <v>3700</v>
      </c>
      <c r="B75" s="21" t="s">
        <v>336</v>
      </c>
      <c r="C75" s="21" t="s">
        <v>337</v>
      </c>
      <c r="D75" s="34"/>
      <c r="E75" s="25" t="n">
        <v>46107</v>
      </c>
      <c r="F75" s="25" t="n">
        <f aca="false">WORKDAY(E75,G75)</f>
        <v>46219</v>
      </c>
      <c r="G75" s="26" t="n">
        <v>80</v>
      </c>
      <c r="H75" s="27" t="n">
        <f aca="false">(GX75* 5)/M75</f>
        <v>60</v>
      </c>
      <c r="I75" s="27" t="n">
        <f aca="false">G75-H75</f>
        <v>20</v>
      </c>
      <c r="J75" s="35" t="s">
        <v>338</v>
      </c>
      <c r="K75" s="36" t="n">
        <v>50000</v>
      </c>
      <c r="L75" s="36" t="n">
        <v>108000</v>
      </c>
      <c r="M75" s="29" t="n">
        <f aca="false">(L75/G75)*5</f>
        <v>6750</v>
      </c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 t="s">
        <v>214</v>
      </c>
      <c r="EL75" s="30"/>
      <c r="EM75" s="30" t="s">
        <v>214</v>
      </c>
      <c r="EN75" s="30" t="s">
        <v>214</v>
      </c>
      <c r="EO75" s="30"/>
      <c r="EP75" s="30"/>
      <c r="EQ75" s="30"/>
      <c r="ER75" s="30"/>
      <c r="ES75" s="30" t="s">
        <v>214</v>
      </c>
      <c r="ET75" s="30"/>
      <c r="EU75" s="30"/>
      <c r="EV75" s="30" t="s">
        <v>214</v>
      </c>
      <c r="EW75" s="30"/>
      <c r="EX75" s="30"/>
      <c r="EY75" s="30"/>
      <c r="EZ75" s="30"/>
      <c r="FA75" s="30"/>
      <c r="FB75" s="30"/>
      <c r="FC75" s="30" t="s">
        <v>214</v>
      </c>
      <c r="FD75" s="30"/>
      <c r="FE75" s="30"/>
      <c r="FF75" s="30"/>
      <c r="FG75" s="30"/>
      <c r="FH75" s="30"/>
      <c r="FI75" s="30"/>
      <c r="FJ75" s="30"/>
      <c r="FK75" s="30"/>
      <c r="FL75" s="30" t="s">
        <v>214</v>
      </c>
      <c r="FM75" s="30"/>
      <c r="FN75" s="30"/>
      <c r="FO75" s="30"/>
      <c r="FP75" s="30"/>
      <c r="FQ75" s="30"/>
      <c r="FR75" s="30"/>
      <c r="FS75" s="30"/>
      <c r="FT75" s="30"/>
      <c r="FU75" s="30"/>
      <c r="FV75" s="30"/>
      <c r="FW75" s="30"/>
      <c r="FX75" s="30"/>
      <c r="FY75" s="30"/>
      <c r="FZ75" s="30"/>
      <c r="GA75" s="30"/>
      <c r="GB75" s="30"/>
      <c r="GC75" s="30"/>
      <c r="GD75" s="30"/>
      <c r="GE75" s="30"/>
      <c r="GF75" s="30"/>
      <c r="GG75" s="30"/>
      <c r="GH75" s="30"/>
      <c r="GI75" s="30"/>
      <c r="GJ75" s="30"/>
      <c r="GK75" s="30"/>
      <c r="GL75" s="30"/>
      <c r="GM75" s="30" t="n">
        <v>27000</v>
      </c>
      <c r="GN75" s="30"/>
      <c r="GO75" s="30"/>
      <c r="GP75" s="30"/>
      <c r="GQ75" s="30" t="n">
        <v>27000</v>
      </c>
      <c r="GR75" s="30"/>
      <c r="GS75" s="30"/>
      <c r="GT75" s="30"/>
      <c r="GU75" s="30"/>
      <c r="GV75" s="30" t="n">
        <v>27000</v>
      </c>
      <c r="GW75" s="30"/>
      <c r="GX75" s="30" t="n">
        <f aca="false">SUM(N75:GW75)</f>
        <v>81000</v>
      </c>
      <c r="GY75" s="36" t="n">
        <f aca="false">SUM(L75-GX75)</f>
        <v>27000</v>
      </c>
      <c r="GZ75" s="32" t="n">
        <f aca="false">SUM( H75/5)</f>
        <v>12</v>
      </c>
      <c r="HA75" s="32" t="n">
        <f aca="false">SUM( I75/5)</f>
        <v>4</v>
      </c>
      <c r="HB75" s="33" t="n">
        <f aca="false">SUM(GZ75/4)</f>
        <v>3</v>
      </c>
      <c r="HC75" s="33" t="n">
        <f aca="false">SUM(HA75/4)</f>
        <v>1</v>
      </c>
    </row>
    <row r="76" customFormat="false" ht="28.5" hidden="true" customHeight="true" outlineLevel="0" collapsed="false">
      <c r="A76" s="26" t="n">
        <v>3768</v>
      </c>
      <c r="B76" s="21" t="s">
        <v>336</v>
      </c>
      <c r="C76" s="21" t="s">
        <v>337</v>
      </c>
      <c r="D76" s="34"/>
      <c r="E76" s="25" t="n">
        <v>46156</v>
      </c>
      <c r="F76" s="25" t="n">
        <f aca="false">WORKDAY(E76,G76)</f>
        <v>46268</v>
      </c>
      <c r="G76" s="26" t="n">
        <v>80</v>
      </c>
      <c r="H76" s="27" t="n">
        <f aca="false">(GX76* 5)/M76</f>
        <v>40</v>
      </c>
      <c r="I76" s="27" t="n">
        <f aca="false">G76-H76</f>
        <v>40</v>
      </c>
      <c r="J76" s="35" t="s">
        <v>339</v>
      </c>
      <c r="K76" s="31" t="n">
        <v>10000</v>
      </c>
      <c r="L76" s="31" t="n">
        <v>21600</v>
      </c>
      <c r="M76" s="37" t="n">
        <f aca="false">(L76/G76)*5</f>
        <v>1350</v>
      </c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 t="s">
        <v>214</v>
      </c>
      <c r="EL76" s="30"/>
      <c r="EM76" s="30" t="s">
        <v>214</v>
      </c>
      <c r="EN76" s="30" t="s">
        <v>214</v>
      </c>
      <c r="EO76" s="30"/>
      <c r="EP76" s="30"/>
      <c r="EQ76" s="30"/>
      <c r="ER76" s="30"/>
      <c r="ES76" s="30" t="s">
        <v>214</v>
      </c>
      <c r="ET76" s="30"/>
      <c r="EU76" s="30"/>
      <c r="EV76" s="30" t="s">
        <v>214</v>
      </c>
      <c r="EW76" s="30"/>
      <c r="EX76" s="30"/>
      <c r="EY76" s="30"/>
      <c r="EZ76" s="30"/>
      <c r="FA76" s="30"/>
      <c r="FB76" s="30"/>
      <c r="FC76" s="30" t="s">
        <v>214</v>
      </c>
      <c r="FD76" s="30"/>
      <c r="FE76" s="30"/>
      <c r="FF76" s="30"/>
      <c r="FG76" s="30"/>
      <c r="FH76" s="30"/>
      <c r="FI76" s="30"/>
      <c r="FJ76" s="30"/>
      <c r="FK76" s="30"/>
      <c r="FL76" s="30" t="s">
        <v>214</v>
      </c>
      <c r="FM76" s="30"/>
      <c r="FN76" s="30"/>
      <c r="FO76" s="30"/>
      <c r="FP76" s="30"/>
      <c r="FQ76" s="30"/>
      <c r="FR76" s="30"/>
      <c r="FS76" s="30"/>
      <c r="FT76" s="30"/>
      <c r="FU76" s="30"/>
      <c r="FV76" s="30"/>
      <c r="FW76" s="30"/>
      <c r="FX76" s="30"/>
      <c r="FY76" s="30"/>
      <c r="FZ76" s="30"/>
      <c r="GA76" s="30"/>
      <c r="GB76" s="30"/>
      <c r="GC76" s="30"/>
      <c r="GD76" s="30"/>
      <c r="GE76" s="30"/>
      <c r="GF76" s="30"/>
      <c r="GG76" s="30"/>
      <c r="GH76" s="30"/>
      <c r="GI76" s="30"/>
      <c r="GJ76" s="30"/>
      <c r="GK76" s="30"/>
      <c r="GL76" s="30"/>
      <c r="GM76" s="30"/>
      <c r="GN76" s="30"/>
      <c r="GO76" s="30"/>
      <c r="GP76" s="30"/>
      <c r="GQ76" s="30" t="n">
        <v>5400</v>
      </c>
      <c r="GR76" s="30"/>
      <c r="GS76" s="30"/>
      <c r="GT76" s="30"/>
      <c r="GU76" s="30"/>
      <c r="GV76" s="30" t="n">
        <v>5400</v>
      </c>
      <c r="GW76" s="30"/>
      <c r="GX76" s="30" t="n">
        <f aca="false">SUM(N76:GW76)</f>
        <v>10800</v>
      </c>
      <c r="GY76" s="36" t="n">
        <f aca="false">SUM(L76-GX76)</f>
        <v>10800</v>
      </c>
      <c r="GZ76" s="32" t="n">
        <f aca="false">SUM( H76/5)</f>
        <v>8</v>
      </c>
      <c r="HA76" s="32" t="n">
        <f aca="false">SUM( I76/5)</f>
        <v>8</v>
      </c>
      <c r="HB76" s="33" t="n">
        <f aca="false">SUM(GZ76/4)</f>
        <v>2</v>
      </c>
      <c r="HC76" s="33" t="n">
        <f aca="false">SUM(HA76/4)</f>
        <v>2</v>
      </c>
    </row>
    <row r="77" customFormat="false" ht="28.5" hidden="true" customHeight="true" outlineLevel="0" collapsed="false">
      <c r="A77" s="26" t="n">
        <v>3796</v>
      </c>
      <c r="B77" s="21" t="s">
        <v>336</v>
      </c>
      <c r="C77" s="21" t="s">
        <v>337</v>
      </c>
      <c r="D77" s="34"/>
      <c r="E77" s="25" t="n">
        <v>46181</v>
      </c>
      <c r="F77" s="25" t="n">
        <f aca="false">WORKDAY(E77,G77)</f>
        <v>46293</v>
      </c>
      <c r="G77" s="26" t="n">
        <v>80</v>
      </c>
      <c r="H77" s="27" t="n">
        <f aca="false">(GX77* 5)/M77</f>
        <v>20</v>
      </c>
      <c r="I77" s="27" t="n">
        <f aca="false">G77-H77</f>
        <v>60</v>
      </c>
      <c r="J77" s="35" t="s">
        <v>338</v>
      </c>
      <c r="K77" s="39" t="n">
        <v>50000</v>
      </c>
      <c r="L77" s="36" t="n">
        <v>108000</v>
      </c>
      <c r="M77" s="37" t="n">
        <f aca="false">(L77/G77)*5</f>
        <v>6750</v>
      </c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 t="s">
        <v>214</v>
      </c>
      <c r="EL77" s="30"/>
      <c r="EM77" s="30" t="s">
        <v>214</v>
      </c>
      <c r="EN77" s="30" t="s">
        <v>214</v>
      </c>
      <c r="EO77" s="30"/>
      <c r="EP77" s="30"/>
      <c r="EQ77" s="30"/>
      <c r="ER77" s="30"/>
      <c r="ES77" s="30" t="s">
        <v>214</v>
      </c>
      <c r="ET77" s="30"/>
      <c r="EU77" s="30"/>
      <c r="EV77" s="30" t="s">
        <v>214</v>
      </c>
      <c r="EW77" s="30"/>
      <c r="EX77" s="30"/>
      <c r="EY77" s="30"/>
      <c r="EZ77" s="30"/>
      <c r="FA77" s="30"/>
      <c r="FB77" s="30"/>
      <c r="FC77" s="30" t="s">
        <v>214</v>
      </c>
      <c r="FD77" s="30"/>
      <c r="FE77" s="30"/>
      <c r="FF77" s="30"/>
      <c r="FG77" s="30"/>
      <c r="FH77" s="30"/>
      <c r="FI77" s="30"/>
      <c r="FJ77" s="30"/>
      <c r="FK77" s="30"/>
      <c r="FL77" s="30" t="s">
        <v>214</v>
      </c>
      <c r="FM77" s="30"/>
      <c r="FN77" s="30"/>
      <c r="FO77" s="30"/>
      <c r="FP77" s="30"/>
      <c r="FQ77" s="30"/>
      <c r="FR77" s="30"/>
      <c r="FS77" s="30"/>
      <c r="FT77" s="30"/>
      <c r="FU77" s="30"/>
      <c r="FV77" s="30"/>
      <c r="FW77" s="30"/>
      <c r="FX77" s="30"/>
      <c r="FY77" s="30"/>
      <c r="FZ77" s="30"/>
      <c r="GA77" s="30"/>
      <c r="GB77" s="30"/>
      <c r="GC77" s="30"/>
      <c r="GD77" s="30"/>
      <c r="GE77" s="30"/>
      <c r="GF77" s="30"/>
      <c r="GG77" s="30"/>
      <c r="GH77" s="30"/>
      <c r="GI77" s="30"/>
      <c r="GJ77" s="30"/>
      <c r="GK77" s="30"/>
      <c r="GL77" s="30"/>
      <c r="GM77" s="30"/>
      <c r="GN77" s="30"/>
      <c r="GO77" s="30"/>
      <c r="GP77" s="30"/>
      <c r="GQ77" s="30"/>
      <c r="GR77" s="30"/>
      <c r="GS77" s="30"/>
      <c r="GT77" s="30"/>
      <c r="GU77" s="30"/>
      <c r="GV77" s="30" t="n">
        <v>27000</v>
      </c>
      <c r="GW77" s="30"/>
      <c r="GX77" s="30" t="n">
        <f aca="false">SUM(N77:GW77)</f>
        <v>27000</v>
      </c>
      <c r="GY77" s="36" t="n">
        <f aca="false">SUM(L77-GX77)</f>
        <v>81000</v>
      </c>
      <c r="GZ77" s="32" t="n">
        <f aca="false">SUM( H77/5)</f>
        <v>4</v>
      </c>
      <c r="HA77" s="32" t="n">
        <f aca="false">SUM( I77/5)</f>
        <v>12</v>
      </c>
      <c r="HB77" s="33" t="n">
        <f aca="false">SUM(GZ77/4)</f>
        <v>1</v>
      </c>
      <c r="HC77" s="33" t="n">
        <f aca="false">SUM(HA77/4)</f>
        <v>3</v>
      </c>
    </row>
    <row r="78" customFormat="false" ht="28.5" hidden="true" customHeight="true" outlineLevel="0" collapsed="false">
      <c r="A78" s="26" t="n">
        <v>3806</v>
      </c>
      <c r="B78" s="21" t="s">
        <v>336</v>
      </c>
      <c r="C78" s="21" t="s">
        <v>337</v>
      </c>
      <c r="D78" s="34"/>
      <c r="E78" s="25" t="n">
        <v>46187</v>
      </c>
      <c r="F78" s="25" t="n">
        <f aca="false">WORKDAY(E78,G78)</f>
        <v>46353</v>
      </c>
      <c r="G78" s="26" t="n">
        <v>120</v>
      </c>
      <c r="H78" s="27" t="n">
        <f aca="false">(GX78* 5)/M78</f>
        <v>20</v>
      </c>
      <c r="I78" s="27" t="n">
        <f aca="false">G78-H78</f>
        <v>100</v>
      </c>
      <c r="J78" s="35" t="s">
        <v>340</v>
      </c>
      <c r="K78" s="39" t="n">
        <v>100000</v>
      </c>
      <c r="L78" s="36" t="n">
        <v>264000</v>
      </c>
      <c r="M78" s="29" t="n">
        <f aca="false">(L78/G78)*5</f>
        <v>11000</v>
      </c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 t="s">
        <v>214</v>
      </c>
      <c r="EL78" s="30"/>
      <c r="EM78" s="30" t="s">
        <v>214</v>
      </c>
      <c r="EN78" s="30" t="s">
        <v>214</v>
      </c>
      <c r="EO78" s="30"/>
      <c r="EP78" s="30"/>
      <c r="EQ78" s="30"/>
      <c r="ER78" s="30"/>
      <c r="ES78" s="30" t="s">
        <v>214</v>
      </c>
      <c r="ET78" s="30"/>
      <c r="EU78" s="30"/>
      <c r="EV78" s="30" t="s">
        <v>214</v>
      </c>
      <c r="EW78" s="30"/>
      <c r="EX78" s="30"/>
      <c r="EY78" s="30"/>
      <c r="EZ78" s="30"/>
      <c r="FA78" s="30"/>
      <c r="FB78" s="30"/>
      <c r="FC78" s="30" t="s">
        <v>214</v>
      </c>
      <c r="FD78" s="30"/>
      <c r="FE78" s="30"/>
      <c r="FF78" s="30"/>
      <c r="FG78" s="30"/>
      <c r="FH78" s="30"/>
      <c r="FI78" s="30"/>
      <c r="FJ78" s="30"/>
      <c r="FK78" s="30"/>
      <c r="FL78" s="30" t="s">
        <v>214</v>
      </c>
      <c r="FM78" s="30"/>
      <c r="FN78" s="30"/>
      <c r="FO78" s="30"/>
      <c r="FP78" s="30"/>
      <c r="FQ78" s="30"/>
      <c r="FR78" s="30"/>
      <c r="FS78" s="30"/>
      <c r="FT78" s="30"/>
      <c r="FU78" s="30"/>
      <c r="FV78" s="30"/>
      <c r="FW78" s="30"/>
      <c r="FX78" s="30"/>
      <c r="FY78" s="30"/>
      <c r="FZ78" s="30"/>
      <c r="GA78" s="30"/>
      <c r="GB78" s="30"/>
      <c r="GC78" s="30"/>
      <c r="GD78" s="30"/>
      <c r="GE78" s="30"/>
      <c r="GF78" s="30"/>
      <c r="GG78" s="30"/>
      <c r="GH78" s="30"/>
      <c r="GI78" s="30"/>
      <c r="GJ78" s="30"/>
      <c r="GK78" s="30"/>
      <c r="GL78" s="30"/>
      <c r="GM78" s="30"/>
      <c r="GN78" s="30"/>
      <c r="GO78" s="30"/>
      <c r="GP78" s="30"/>
      <c r="GQ78" s="30"/>
      <c r="GR78" s="30"/>
      <c r="GS78" s="30"/>
      <c r="GT78" s="30"/>
      <c r="GU78" s="30"/>
      <c r="GV78" s="30" t="n">
        <v>44000</v>
      </c>
      <c r="GW78" s="30"/>
      <c r="GX78" s="30" t="n">
        <f aca="false">SUM(N78:GW78)</f>
        <v>44000</v>
      </c>
      <c r="GY78" s="36" t="n">
        <f aca="false">SUM(L78-GX78)</f>
        <v>220000</v>
      </c>
      <c r="GZ78" s="32" t="n">
        <f aca="false">SUM( H78/5)</f>
        <v>4</v>
      </c>
      <c r="HA78" s="32" t="n">
        <f aca="false">SUM( I78/5)</f>
        <v>20</v>
      </c>
      <c r="HB78" s="33" t="n">
        <f aca="false">SUM(GZ78/4)</f>
        <v>1</v>
      </c>
      <c r="HC78" s="33" t="n">
        <f aca="false">SUM(HA78/4)</f>
        <v>5</v>
      </c>
    </row>
    <row r="79" customFormat="false" ht="28.5" hidden="true" customHeight="true" outlineLevel="0" collapsed="false">
      <c r="A79" s="26" t="n">
        <v>3822</v>
      </c>
      <c r="B79" s="21" t="s">
        <v>336</v>
      </c>
      <c r="C79" s="21" t="s">
        <v>337</v>
      </c>
      <c r="D79" s="34"/>
      <c r="E79" s="25" t="n">
        <v>46200</v>
      </c>
      <c r="F79" s="25" t="n">
        <f aca="false">WORKDAY(E79,G79)</f>
        <v>46311</v>
      </c>
      <c r="G79" s="26" t="n">
        <v>80</v>
      </c>
      <c r="H79" s="27" t="n">
        <f aca="false">(GX79* 5)/M79</f>
        <v>0</v>
      </c>
      <c r="I79" s="27" t="n">
        <f aca="false">G79-H79</f>
        <v>80</v>
      </c>
      <c r="J79" s="35" t="s">
        <v>341</v>
      </c>
      <c r="K79" s="39" t="n">
        <v>100000</v>
      </c>
      <c r="L79" s="36" t="n">
        <v>216000</v>
      </c>
      <c r="M79" s="29" t="n">
        <f aca="false">(L79/G79)*5</f>
        <v>13500</v>
      </c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 t="s">
        <v>214</v>
      </c>
      <c r="EL79" s="30"/>
      <c r="EM79" s="30" t="s">
        <v>214</v>
      </c>
      <c r="EN79" s="30" t="s">
        <v>214</v>
      </c>
      <c r="EO79" s="30"/>
      <c r="EP79" s="30"/>
      <c r="EQ79" s="30"/>
      <c r="ER79" s="30"/>
      <c r="ES79" s="30" t="s">
        <v>214</v>
      </c>
      <c r="ET79" s="30"/>
      <c r="EU79" s="30"/>
      <c r="EV79" s="30" t="s">
        <v>214</v>
      </c>
      <c r="EW79" s="30"/>
      <c r="EX79" s="30"/>
      <c r="EY79" s="30"/>
      <c r="EZ79" s="30"/>
      <c r="FA79" s="30"/>
      <c r="FB79" s="30"/>
      <c r="FC79" s="30" t="s">
        <v>214</v>
      </c>
      <c r="FD79" s="30"/>
      <c r="FE79" s="30"/>
      <c r="FF79" s="30"/>
      <c r="FG79" s="30"/>
      <c r="FH79" s="30"/>
      <c r="FI79" s="30"/>
      <c r="FJ79" s="30"/>
      <c r="FK79" s="30"/>
      <c r="FL79" s="30" t="s">
        <v>214</v>
      </c>
      <c r="FM79" s="30"/>
      <c r="FN79" s="30"/>
      <c r="FO79" s="30"/>
      <c r="FP79" s="30"/>
      <c r="FQ79" s="30"/>
      <c r="FR79" s="30"/>
      <c r="FS79" s="30"/>
      <c r="FT79" s="30"/>
      <c r="FU79" s="30"/>
      <c r="FV79" s="30"/>
      <c r="FW79" s="30"/>
      <c r="FX79" s="30"/>
      <c r="FY79" s="30"/>
      <c r="FZ79" s="30"/>
      <c r="GA79" s="30"/>
      <c r="GB79" s="30"/>
      <c r="GC79" s="30"/>
      <c r="GD79" s="30"/>
      <c r="GE79" s="30"/>
      <c r="GF79" s="30"/>
      <c r="GG79" s="30"/>
      <c r="GH79" s="30"/>
      <c r="GI79" s="30"/>
      <c r="GJ79" s="30"/>
      <c r="GK79" s="30"/>
      <c r="GL79" s="30"/>
      <c r="GM79" s="30"/>
      <c r="GN79" s="30"/>
      <c r="GO79" s="30"/>
      <c r="GP79" s="30"/>
      <c r="GQ79" s="30"/>
      <c r="GR79" s="30"/>
      <c r="GS79" s="30"/>
      <c r="GT79" s="30"/>
      <c r="GU79" s="30"/>
      <c r="GV79" s="30"/>
      <c r="GW79" s="30"/>
      <c r="GX79" s="30" t="n">
        <f aca="false">SUM(N79:GW79)</f>
        <v>0</v>
      </c>
      <c r="GY79" s="36" t="n">
        <f aca="false">SUM(L79-GX79)</f>
        <v>216000</v>
      </c>
      <c r="GZ79" s="32" t="n">
        <f aca="false">SUM( H79/5)</f>
        <v>0</v>
      </c>
      <c r="HA79" s="32" t="n">
        <f aca="false">SUM( I79/5)</f>
        <v>16</v>
      </c>
      <c r="HB79" s="33" t="n">
        <f aca="false">SUM(GZ79/4)</f>
        <v>0</v>
      </c>
      <c r="HC79" s="33" t="n">
        <f aca="false">SUM(HA79/4)</f>
        <v>4</v>
      </c>
    </row>
    <row r="80" customFormat="false" ht="28.5" hidden="true" customHeight="true" outlineLevel="0" collapsed="false">
      <c r="A80" s="26" t="n">
        <v>3720</v>
      </c>
      <c r="B80" s="21" t="s">
        <v>342</v>
      </c>
      <c r="C80" s="21" t="s">
        <v>343</v>
      </c>
      <c r="D80" s="34" t="n">
        <v>27350892988</v>
      </c>
      <c r="E80" s="25" t="n">
        <v>46123</v>
      </c>
      <c r="F80" s="25" t="n">
        <f aca="false">WORKDAY(E80,G80)</f>
        <v>46416</v>
      </c>
      <c r="G80" s="26" t="n">
        <v>210</v>
      </c>
      <c r="H80" s="27" t="n">
        <f aca="false">(GX80* 5)/M80</f>
        <v>42</v>
      </c>
      <c r="I80" s="27" t="n">
        <f aca="false">G80-H80</f>
        <v>168</v>
      </c>
      <c r="J80" s="35" t="s">
        <v>344</v>
      </c>
      <c r="K80" s="36" t="n">
        <v>500000</v>
      </c>
      <c r="L80" s="36" t="n">
        <v>1560000</v>
      </c>
      <c r="M80" s="43" t="n">
        <f aca="false">(L80/G80)*5</f>
        <v>37142.8571428571</v>
      </c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 t="s">
        <v>214</v>
      </c>
      <c r="EL80" s="30"/>
      <c r="EM80" s="30" t="s">
        <v>214</v>
      </c>
      <c r="EN80" s="30" t="s">
        <v>214</v>
      </c>
      <c r="EO80" s="30"/>
      <c r="EP80" s="30"/>
      <c r="EQ80" s="30"/>
      <c r="ER80" s="30"/>
      <c r="ES80" s="30" t="s">
        <v>214</v>
      </c>
      <c r="ET80" s="30"/>
      <c r="EU80" s="30"/>
      <c r="EV80" s="30" t="s">
        <v>214</v>
      </c>
      <c r="EW80" s="30"/>
      <c r="EX80" s="30"/>
      <c r="EY80" s="30"/>
      <c r="EZ80" s="30"/>
      <c r="FA80" s="30"/>
      <c r="FB80" s="30"/>
      <c r="FC80" s="30" t="s">
        <v>214</v>
      </c>
      <c r="FD80" s="30"/>
      <c r="FE80" s="30"/>
      <c r="FF80" s="30"/>
      <c r="FG80" s="30"/>
      <c r="FH80" s="30"/>
      <c r="FI80" s="30"/>
      <c r="FJ80" s="30"/>
      <c r="FK80" s="30"/>
      <c r="FL80" s="30" t="s">
        <v>214</v>
      </c>
      <c r="FM80" s="30"/>
      <c r="FN80" s="30"/>
      <c r="FO80" s="30"/>
      <c r="FP80" s="30"/>
      <c r="FQ80" s="30"/>
      <c r="FR80" s="30"/>
      <c r="FS80" s="30"/>
      <c r="FT80" s="30"/>
      <c r="FU80" s="30"/>
      <c r="FV80" s="30"/>
      <c r="FW80" s="30"/>
      <c r="FX80" s="30"/>
      <c r="FY80" s="30"/>
      <c r="FZ80" s="30"/>
      <c r="GA80" s="30"/>
      <c r="GB80" s="30"/>
      <c r="GC80" s="30"/>
      <c r="GD80" s="30"/>
      <c r="GE80" s="30"/>
      <c r="GF80" s="30"/>
      <c r="GG80" s="30"/>
      <c r="GH80" s="30"/>
      <c r="GI80" s="30"/>
      <c r="GJ80" s="30"/>
      <c r="GK80" s="30"/>
      <c r="GL80" s="30"/>
      <c r="GM80" s="30"/>
      <c r="GN80" s="30"/>
      <c r="GO80" s="30"/>
      <c r="GP80" s="30"/>
      <c r="GQ80" s="30" t="n">
        <v>156000</v>
      </c>
      <c r="GR80" s="30"/>
      <c r="GS80" s="30"/>
      <c r="GT80" s="30"/>
      <c r="GU80" s="30" t="n">
        <v>156000</v>
      </c>
      <c r="GV80" s="30"/>
      <c r="GW80" s="30"/>
      <c r="GX80" s="30" t="n">
        <f aca="false">SUM(N80:GW80)</f>
        <v>312000</v>
      </c>
      <c r="GY80" s="36" t="n">
        <f aca="false">SUM(L80-GX80)</f>
        <v>1248000</v>
      </c>
      <c r="GZ80" s="32" t="n">
        <f aca="false">SUM( H80/5)</f>
        <v>8.4</v>
      </c>
      <c r="HA80" s="32" t="n">
        <f aca="false">SUM( I80/5)</f>
        <v>33.6</v>
      </c>
      <c r="HB80" s="33" t="n">
        <f aca="false">SUM(GZ80/4)</f>
        <v>2.1</v>
      </c>
      <c r="HC80" s="33" t="n">
        <f aca="false">SUM(HA80/4)</f>
        <v>8.4</v>
      </c>
    </row>
    <row r="81" customFormat="false" ht="28.5" hidden="true" customHeight="true" outlineLevel="0" collapsed="false">
      <c r="A81" s="26" t="n">
        <v>2710</v>
      </c>
      <c r="B81" s="21" t="s">
        <v>345</v>
      </c>
      <c r="C81" s="21" t="s">
        <v>346</v>
      </c>
      <c r="D81" s="34" t="n">
        <v>27212523</v>
      </c>
      <c r="E81" s="25" t="n">
        <v>45770</v>
      </c>
      <c r="F81" s="25" t="n">
        <f aca="false">WORKDAY(E81,G81)</f>
        <v>45994</v>
      </c>
      <c r="G81" s="26" t="n">
        <v>160</v>
      </c>
      <c r="H81" s="27" t="n">
        <f aca="false">(GX81* 5)/M81</f>
        <v>126.606933333333</v>
      </c>
      <c r="I81" s="27" t="n">
        <f aca="false">G81-H81</f>
        <v>33.3930666666667</v>
      </c>
      <c r="J81" s="49" t="s">
        <v>347</v>
      </c>
      <c r="K81" s="36" t="n">
        <v>250000</v>
      </c>
      <c r="L81" s="36" t="n">
        <v>750000</v>
      </c>
      <c r="M81" s="29" t="n">
        <f aca="false">(L81/G81)*5</f>
        <v>23437.5</v>
      </c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 t="s">
        <v>214</v>
      </c>
      <c r="EL81" s="30"/>
      <c r="EM81" s="30"/>
      <c r="EN81" s="30"/>
      <c r="EO81" s="30" t="n">
        <v>30970</v>
      </c>
      <c r="EP81" s="30"/>
      <c r="EQ81" s="30"/>
      <c r="ER81" s="30" t="n">
        <v>46875</v>
      </c>
      <c r="ES81" s="30"/>
      <c r="ET81" s="30" t="n">
        <v>46875</v>
      </c>
      <c r="EU81" s="30"/>
      <c r="EV81" s="30"/>
      <c r="EW81" s="30" t="n">
        <v>46875</v>
      </c>
      <c r="EX81" s="30"/>
      <c r="EY81" s="30" t="n">
        <v>46875</v>
      </c>
      <c r="EZ81" s="30"/>
      <c r="FA81" s="30"/>
      <c r="FB81" s="30"/>
      <c r="FC81" s="30"/>
      <c r="FD81" s="30" t="n">
        <v>46875</v>
      </c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  <c r="FS81" s="30"/>
      <c r="FT81" s="30"/>
      <c r="FU81" s="30" t="n">
        <v>46875</v>
      </c>
      <c r="FV81" s="30"/>
      <c r="FW81" s="30"/>
      <c r="FX81" s="30"/>
      <c r="FY81" s="30" t="n">
        <v>46875</v>
      </c>
      <c r="FZ81" s="30"/>
      <c r="GA81" s="30"/>
      <c r="GB81" s="30" t="n">
        <v>46875</v>
      </c>
      <c r="GC81" s="30"/>
      <c r="GD81" s="30"/>
      <c r="GE81" s="30"/>
      <c r="GF81" s="30"/>
      <c r="GG81" s="30" t="n">
        <v>46875</v>
      </c>
      <c r="GH81" s="30"/>
      <c r="GI81" s="30"/>
      <c r="GJ81" s="30"/>
      <c r="GK81" s="30" t="n">
        <v>46875</v>
      </c>
      <c r="GL81" s="30"/>
      <c r="GM81" s="30"/>
      <c r="GN81" s="30" t="n">
        <v>46875</v>
      </c>
      <c r="GO81" s="30"/>
      <c r="GP81" s="30"/>
      <c r="GQ81" s="30"/>
      <c r="GR81" s="30"/>
      <c r="GS81" s="30"/>
      <c r="GT81" s="30" t="n">
        <v>46875</v>
      </c>
      <c r="GU81" s="30"/>
      <c r="GV81" s="30"/>
      <c r="GW81" s="30"/>
      <c r="GX81" s="30" t="n">
        <f aca="false">SUM(N81:GW81)</f>
        <v>593470</v>
      </c>
      <c r="GY81" s="36" t="n">
        <f aca="false">SUM(L81-GX81)</f>
        <v>156530</v>
      </c>
      <c r="GZ81" s="32" t="n">
        <f aca="false">SUM( H81/5)</f>
        <v>25.3213866666667</v>
      </c>
      <c r="HA81" s="32" t="n">
        <f aca="false">SUM( I81/5)</f>
        <v>6.67861333333333</v>
      </c>
      <c r="HB81" s="33" t="n">
        <f aca="false">SUM(GZ81/4)</f>
        <v>6.33034666666667</v>
      </c>
      <c r="HC81" s="33" t="n">
        <f aca="false">SUM(HA81/4)</f>
        <v>1.66965333333333</v>
      </c>
    </row>
    <row r="82" customFormat="false" ht="28.5" hidden="true" customHeight="true" outlineLevel="0" collapsed="false">
      <c r="A82" s="26" t="n">
        <v>3512</v>
      </c>
      <c r="B82" s="21" t="s">
        <v>345</v>
      </c>
      <c r="C82" s="21" t="s">
        <v>346</v>
      </c>
      <c r="D82" s="34" t="n">
        <v>27212523</v>
      </c>
      <c r="E82" s="25" t="n">
        <v>45807</v>
      </c>
      <c r="F82" s="25" t="n">
        <f aca="false">WORKDAY(E82,G82)</f>
        <v>45961</v>
      </c>
      <c r="G82" s="26" t="n">
        <v>110</v>
      </c>
      <c r="H82" s="27" t="n">
        <f aca="false">(GX82* 5)/M82</f>
        <v>43.0027083333333</v>
      </c>
      <c r="I82" s="27" t="n">
        <f aca="false">G82-H82</f>
        <v>66.9972916666667</v>
      </c>
      <c r="J82" s="49" t="s">
        <v>348</v>
      </c>
      <c r="K82" s="36" t="n">
        <v>200000</v>
      </c>
      <c r="L82" s="36" t="n">
        <v>528000</v>
      </c>
      <c r="M82" s="29" t="n">
        <f aca="false">(L82/G82)*5</f>
        <v>24000</v>
      </c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 t="s">
        <v>214</v>
      </c>
      <c r="EL82" s="30"/>
      <c r="EM82" s="30" t="s">
        <v>214</v>
      </c>
      <c r="EN82" s="30" t="s">
        <v>214</v>
      </c>
      <c r="EO82" s="30"/>
      <c r="EP82" s="30"/>
      <c r="EQ82" s="30"/>
      <c r="ER82" s="30"/>
      <c r="ES82" s="30"/>
      <c r="ET82" s="30"/>
      <c r="EU82" s="30"/>
      <c r="EV82" s="30"/>
      <c r="EW82" s="30" t="n">
        <v>5120</v>
      </c>
      <c r="EX82" s="30"/>
      <c r="EY82" s="30" t="n">
        <v>20550</v>
      </c>
      <c r="EZ82" s="30"/>
      <c r="FA82" s="30"/>
      <c r="FB82" s="30"/>
      <c r="FC82" s="30"/>
      <c r="FD82" s="30" t="n">
        <v>16000</v>
      </c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  <c r="FS82" s="30"/>
      <c r="FT82" s="30"/>
      <c r="FU82" s="30" t="n">
        <v>19750</v>
      </c>
      <c r="FV82" s="30"/>
      <c r="FW82" s="30"/>
      <c r="FX82" s="30"/>
      <c r="FY82" s="30"/>
      <c r="FZ82" s="30"/>
      <c r="GA82" s="30"/>
      <c r="GB82" s="30" t="n">
        <v>48000</v>
      </c>
      <c r="GC82" s="30"/>
      <c r="GD82" s="30"/>
      <c r="GE82" s="30"/>
      <c r="GF82" s="30"/>
      <c r="GG82" s="30" t="n">
        <v>9125</v>
      </c>
      <c r="GH82" s="30"/>
      <c r="GI82" s="30"/>
      <c r="GJ82" s="30"/>
      <c r="GK82" s="30" t="n">
        <v>24000</v>
      </c>
      <c r="GL82" s="30"/>
      <c r="GM82" s="30"/>
      <c r="GN82" s="30" t="n">
        <v>15868</v>
      </c>
      <c r="GO82" s="30"/>
      <c r="GP82" s="30"/>
      <c r="GQ82" s="30"/>
      <c r="GR82" s="30"/>
      <c r="GS82" s="30"/>
      <c r="GT82" s="30" t="n">
        <v>48000</v>
      </c>
      <c r="GU82" s="30"/>
      <c r="GV82" s="30"/>
      <c r="GW82" s="30"/>
      <c r="GX82" s="30" t="n">
        <f aca="false">SUM(N82:GW82)</f>
        <v>206413</v>
      </c>
      <c r="GY82" s="36" t="n">
        <f aca="false">SUM(L82-GX82)</f>
        <v>321587</v>
      </c>
      <c r="GZ82" s="32" t="n">
        <f aca="false">SUM( H82/5)</f>
        <v>8.60054166666667</v>
      </c>
      <c r="HA82" s="32" t="n">
        <f aca="false">SUM( I82/5)</f>
        <v>13.3994583333333</v>
      </c>
      <c r="HB82" s="33" t="n">
        <f aca="false">SUM(GZ82/4)</f>
        <v>2.15013541666667</v>
      </c>
      <c r="HC82" s="33" t="n">
        <f aca="false">SUM(HA82/4)</f>
        <v>3.34986458333333</v>
      </c>
    </row>
    <row r="83" customFormat="false" ht="28.5" hidden="true" customHeight="true" outlineLevel="0" collapsed="false">
      <c r="A83" s="26" t="n">
        <v>3611</v>
      </c>
      <c r="B83" s="21" t="s">
        <v>345</v>
      </c>
      <c r="C83" s="21" t="s">
        <v>346</v>
      </c>
      <c r="D83" s="34" t="n">
        <v>27212523</v>
      </c>
      <c r="E83" s="25" t="n">
        <v>46043</v>
      </c>
      <c r="F83" s="25" t="n">
        <f aca="false">WORKDAY(E83,G83)</f>
        <v>46141</v>
      </c>
      <c r="G83" s="26" t="n">
        <v>70</v>
      </c>
      <c r="H83" s="27" t="n">
        <f aca="false">(GX83* 5)/M83</f>
        <v>30.6595679012346</v>
      </c>
      <c r="I83" s="27" t="n">
        <f aca="false">G83-H83</f>
        <v>39.3404320987654</v>
      </c>
      <c r="J83" s="49" t="s">
        <v>349</v>
      </c>
      <c r="K83" s="36" t="n">
        <v>30000</v>
      </c>
      <c r="L83" s="36" t="n">
        <v>64800</v>
      </c>
      <c r="M83" s="53" t="n">
        <f aca="false">(L83/G83)*5</f>
        <v>4628.57142857143</v>
      </c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 t="s">
        <v>214</v>
      </c>
      <c r="EL83" s="30"/>
      <c r="EM83" s="30" t="s">
        <v>214</v>
      </c>
      <c r="EN83" s="30" t="s">
        <v>214</v>
      </c>
      <c r="EO83" s="30"/>
      <c r="EP83" s="30"/>
      <c r="EQ83" s="30"/>
      <c r="ER83" s="30"/>
      <c r="ES83" s="30" t="s">
        <v>214</v>
      </c>
      <c r="ET83" s="30"/>
      <c r="EU83" s="30"/>
      <c r="EV83" s="30" t="s">
        <v>214</v>
      </c>
      <c r="EW83" s="30"/>
      <c r="EX83" s="30"/>
      <c r="EY83" s="30"/>
      <c r="EZ83" s="30"/>
      <c r="FA83" s="30"/>
      <c r="FB83" s="30"/>
      <c r="FC83" s="30" t="s">
        <v>214</v>
      </c>
      <c r="FD83" s="30"/>
      <c r="FE83" s="30"/>
      <c r="FF83" s="30"/>
      <c r="FG83" s="30"/>
      <c r="FH83" s="30"/>
      <c r="FI83" s="30"/>
      <c r="FJ83" s="30"/>
      <c r="FK83" s="30"/>
      <c r="FL83" s="30" t="s">
        <v>214</v>
      </c>
      <c r="FM83" s="30"/>
      <c r="FN83" s="30"/>
      <c r="FO83" s="30"/>
      <c r="FP83" s="30"/>
      <c r="FQ83" s="30"/>
      <c r="FR83" s="30"/>
      <c r="FS83" s="30"/>
      <c r="FT83" s="30"/>
      <c r="FU83" s="30"/>
      <c r="FV83" s="30"/>
      <c r="FW83" s="30"/>
      <c r="FX83" s="30"/>
      <c r="FY83" s="30"/>
      <c r="FZ83" s="30"/>
      <c r="GA83" s="30"/>
      <c r="GB83" s="30" t="n">
        <v>9125</v>
      </c>
      <c r="GC83" s="30"/>
      <c r="GD83" s="30"/>
      <c r="GE83" s="30"/>
      <c r="GF83" s="30"/>
      <c r="GG83" s="30"/>
      <c r="GH83" s="30"/>
      <c r="GI83" s="30"/>
      <c r="GJ83" s="30"/>
      <c r="GK83" s="30" t="n">
        <v>5000</v>
      </c>
      <c r="GL83" s="30"/>
      <c r="GM83" s="30"/>
      <c r="GN83" s="30" t="n">
        <v>9257</v>
      </c>
      <c r="GO83" s="30"/>
      <c r="GP83" s="30"/>
      <c r="GQ83" s="30"/>
      <c r="GR83" s="30"/>
      <c r="GS83" s="30"/>
      <c r="GT83" s="30" t="n">
        <v>5000</v>
      </c>
      <c r="GU83" s="30"/>
      <c r="GV83" s="30"/>
      <c r="GW83" s="30"/>
      <c r="GX83" s="30" t="n">
        <f aca="false">SUM(N83:GW83)</f>
        <v>28382</v>
      </c>
      <c r="GY83" s="36" t="n">
        <f aca="false">SUM(L83-GX83)</f>
        <v>36418</v>
      </c>
      <c r="GZ83" s="32" t="n">
        <f aca="false">SUM( H83/5)</f>
        <v>6.13191358024691</v>
      </c>
      <c r="HA83" s="32" t="n">
        <f aca="false">SUM( I83/5)</f>
        <v>7.86808641975309</v>
      </c>
      <c r="HB83" s="33" t="n">
        <f aca="false">SUM(GZ83/4)</f>
        <v>1.53297839506173</v>
      </c>
      <c r="HC83" s="33" t="n">
        <f aca="false">SUM(HA83/4)</f>
        <v>1.96702160493827</v>
      </c>
    </row>
    <row r="84" customFormat="false" ht="28.5" hidden="true" customHeight="true" outlineLevel="0" collapsed="false">
      <c r="A84" s="26" t="n">
        <v>3630</v>
      </c>
      <c r="B84" s="34" t="s">
        <v>350</v>
      </c>
      <c r="C84" s="34" t="s">
        <v>351</v>
      </c>
      <c r="D84" s="54"/>
      <c r="E84" s="25" t="n">
        <v>46058</v>
      </c>
      <c r="F84" s="25" t="n">
        <f aca="false">WORKDAY(E84,G84)</f>
        <v>46282</v>
      </c>
      <c r="G84" s="26" t="n">
        <v>160</v>
      </c>
      <c r="H84" s="27" t="n">
        <f aca="false">(GX84* 5)/M84</f>
        <v>0</v>
      </c>
      <c r="I84" s="27" t="n">
        <f aca="false">G84-H84</f>
        <v>160</v>
      </c>
      <c r="J84" s="35" t="s">
        <v>352</v>
      </c>
      <c r="K84" s="31" t="n">
        <v>1500000</v>
      </c>
      <c r="L84" s="31" t="n">
        <v>4320000</v>
      </c>
      <c r="M84" s="29" t="n">
        <f aca="false">(L84/G84)*5</f>
        <v>135000</v>
      </c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 t="s">
        <v>214</v>
      </c>
      <c r="EL84" s="30"/>
      <c r="EM84" s="30" t="s">
        <v>214</v>
      </c>
      <c r="EN84" s="30" t="s">
        <v>214</v>
      </c>
      <c r="EO84" s="30"/>
      <c r="EP84" s="30"/>
      <c r="EQ84" s="30"/>
      <c r="ER84" s="30"/>
      <c r="ES84" s="30" t="s">
        <v>214</v>
      </c>
      <c r="ET84" s="30"/>
      <c r="EU84" s="30"/>
      <c r="EV84" s="30" t="s">
        <v>214</v>
      </c>
      <c r="EW84" s="30"/>
      <c r="EX84" s="30"/>
      <c r="EY84" s="30"/>
      <c r="EZ84" s="30"/>
      <c r="FA84" s="30"/>
      <c r="FB84" s="30"/>
      <c r="FC84" s="30" t="s">
        <v>214</v>
      </c>
      <c r="FD84" s="30"/>
      <c r="FE84" s="30"/>
      <c r="FF84" s="30"/>
      <c r="FG84" s="30"/>
      <c r="FH84" s="30"/>
      <c r="FI84" s="30"/>
      <c r="FJ84" s="30"/>
      <c r="FK84" s="30"/>
      <c r="FL84" s="30" t="s">
        <v>214</v>
      </c>
      <c r="FM84" s="30"/>
      <c r="FN84" s="30"/>
      <c r="FO84" s="30"/>
      <c r="FP84" s="30"/>
      <c r="FQ84" s="30"/>
      <c r="FR84" s="30"/>
      <c r="FS84" s="30"/>
      <c r="FT84" s="30"/>
      <c r="FU84" s="30"/>
      <c r="FV84" s="30"/>
      <c r="FW84" s="30"/>
      <c r="FX84" s="30"/>
      <c r="FY84" s="30"/>
      <c r="FZ84" s="30"/>
      <c r="GA84" s="30"/>
      <c r="GB84" s="30"/>
      <c r="GC84" s="30"/>
      <c r="GD84" s="30"/>
      <c r="GE84" s="30"/>
      <c r="GF84" s="30"/>
      <c r="GG84" s="30"/>
      <c r="GH84" s="30"/>
      <c r="GI84" s="30"/>
      <c r="GJ84" s="30"/>
      <c r="GK84" s="30"/>
      <c r="GL84" s="30"/>
      <c r="GM84" s="30"/>
      <c r="GN84" s="30"/>
      <c r="GO84" s="30"/>
      <c r="GP84" s="30"/>
      <c r="GQ84" s="30"/>
      <c r="GR84" s="30"/>
      <c r="GS84" s="30"/>
      <c r="GT84" s="30"/>
      <c r="GU84" s="30"/>
      <c r="GV84" s="30"/>
      <c r="GW84" s="30"/>
      <c r="GX84" s="30" t="n">
        <f aca="false">SUM(N84:GW84)</f>
        <v>0</v>
      </c>
      <c r="GY84" s="36" t="n">
        <f aca="false">SUM(L84-GX84)</f>
        <v>4320000</v>
      </c>
      <c r="GZ84" s="32" t="n">
        <f aca="false">SUM( H84/5)</f>
        <v>0</v>
      </c>
      <c r="HA84" s="32" t="n">
        <f aca="false">SUM( I84/5)</f>
        <v>32</v>
      </c>
      <c r="HB84" s="33" t="n">
        <f aca="false">SUM(GZ84/4)</f>
        <v>0</v>
      </c>
      <c r="HC84" s="33" t="n">
        <f aca="false">SUM(HA84/4)</f>
        <v>8</v>
      </c>
    </row>
    <row r="85" customFormat="false" ht="28.5" hidden="true" customHeight="true" outlineLevel="0" collapsed="false">
      <c r="A85" s="26" t="n">
        <v>1980</v>
      </c>
      <c r="B85" s="21" t="s">
        <v>353</v>
      </c>
      <c r="C85" s="21" t="s">
        <v>354</v>
      </c>
      <c r="D85" s="34"/>
      <c r="E85" s="25" t="n">
        <v>45488</v>
      </c>
      <c r="F85" s="25" t="n">
        <f aca="false">WORKDAY(E85,G85)</f>
        <v>45600</v>
      </c>
      <c r="G85" s="26" t="n">
        <v>80</v>
      </c>
      <c r="H85" s="27" t="n">
        <f aca="false">(GX85* 5)/M85</f>
        <v>42.0987654320988</v>
      </c>
      <c r="I85" s="27" t="n">
        <f aca="false">G85-H85</f>
        <v>37.9012345679012</v>
      </c>
      <c r="J85" s="49" t="s">
        <v>355</v>
      </c>
      <c r="K85" s="36" t="n">
        <v>150000</v>
      </c>
      <c r="L85" s="36" t="n">
        <v>324000</v>
      </c>
      <c r="M85" s="29" t="n">
        <f aca="false">(L85/G85)*5</f>
        <v>20250</v>
      </c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 t="s">
        <v>214</v>
      </c>
      <c r="CB85" s="30" t="s">
        <v>214</v>
      </c>
      <c r="CC85" s="30" t="s">
        <v>214</v>
      </c>
      <c r="CD85" s="30" t="s">
        <v>214</v>
      </c>
      <c r="CE85" s="30" t="s">
        <v>214</v>
      </c>
      <c r="CF85" s="30"/>
      <c r="CG85" s="30" t="s">
        <v>214</v>
      </c>
      <c r="CH85" s="30" t="s">
        <v>214</v>
      </c>
      <c r="CI85" s="30"/>
      <c r="CJ85" s="30"/>
      <c r="CK85" s="30"/>
      <c r="CL85" s="30" t="s">
        <v>214</v>
      </c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 t="n">
        <v>40500</v>
      </c>
      <c r="DB85" s="30"/>
      <c r="DC85" s="30"/>
      <c r="DD85" s="30"/>
      <c r="DE85" s="30"/>
      <c r="DF85" s="30"/>
      <c r="DG85" s="30"/>
      <c r="DH85" s="30"/>
      <c r="DI85" s="30" t="n">
        <v>30000</v>
      </c>
      <c r="DJ85" s="30"/>
      <c r="DK85" s="30"/>
      <c r="DL85" s="30"/>
      <c r="DM85" s="30"/>
      <c r="DN85" s="30" t="n">
        <v>50000</v>
      </c>
      <c r="DO85" s="30"/>
      <c r="DP85" s="30"/>
      <c r="DQ85" s="30"/>
      <c r="DR85" s="30"/>
      <c r="DS85" s="30" t="n">
        <v>50000</v>
      </c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  <c r="FS85" s="30"/>
      <c r="FT85" s="30"/>
      <c r="FU85" s="30"/>
      <c r="FV85" s="30"/>
      <c r="FW85" s="30"/>
      <c r="FX85" s="30"/>
      <c r="FY85" s="30"/>
      <c r="FZ85" s="30"/>
      <c r="GA85" s="30"/>
      <c r="GB85" s="30"/>
      <c r="GC85" s="30"/>
      <c r="GD85" s="30"/>
      <c r="GE85" s="30"/>
      <c r="GF85" s="30"/>
      <c r="GG85" s="30"/>
      <c r="GH85" s="30"/>
      <c r="GI85" s="30"/>
      <c r="GJ85" s="30"/>
      <c r="GK85" s="30"/>
      <c r="GL85" s="30"/>
      <c r="GM85" s="30"/>
      <c r="GN85" s="30"/>
      <c r="GO85" s="30"/>
      <c r="GP85" s="30"/>
      <c r="GQ85" s="30"/>
      <c r="GR85" s="30"/>
      <c r="GS85" s="30"/>
      <c r="GT85" s="30"/>
      <c r="GU85" s="30"/>
      <c r="GV85" s="30"/>
      <c r="GW85" s="30"/>
      <c r="GX85" s="30" t="n">
        <f aca="false">SUM(N85:GW85)</f>
        <v>170500</v>
      </c>
      <c r="GY85" s="36" t="n">
        <f aca="false">SUM(L85-GX85)</f>
        <v>153500</v>
      </c>
      <c r="GZ85" s="32" t="n">
        <f aca="false">SUM( H85/5)</f>
        <v>8.41975308641975</v>
      </c>
      <c r="HA85" s="32" t="n">
        <f aca="false">SUM( I85/5)</f>
        <v>7.58024691358025</v>
      </c>
      <c r="HB85" s="33" t="n">
        <f aca="false">SUM(GZ85/4)</f>
        <v>2.10493827160494</v>
      </c>
      <c r="HC85" s="33" t="n">
        <f aca="false">SUM(HA85/4)</f>
        <v>1.89506172839506</v>
      </c>
    </row>
    <row r="86" customFormat="false" ht="28.5" hidden="true" customHeight="true" outlineLevel="0" collapsed="false">
      <c r="A86" s="26" t="n">
        <v>1991</v>
      </c>
      <c r="B86" s="21" t="s">
        <v>356</v>
      </c>
      <c r="C86" s="21" t="s">
        <v>357</v>
      </c>
      <c r="D86" s="34" t="s">
        <v>358</v>
      </c>
      <c r="E86" s="25" t="n">
        <v>45989</v>
      </c>
      <c r="F86" s="25" t="n">
        <f aca="false">WORKDAY(E86,G86)</f>
        <v>46087</v>
      </c>
      <c r="G86" s="26" t="n">
        <v>70</v>
      </c>
      <c r="H86" s="27" t="n">
        <f aca="false">(GX86* 5)/M86</f>
        <v>9.72222222222222</v>
      </c>
      <c r="I86" s="27" t="n">
        <f aca="false">G86-H86</f>
        <v>60.2777777777778</v>
      </c>
      <c r="J86" s="49" t="s">
        <v>359</v>
      </c>
      <c r="K86" s="31" t="n">
        <v>100000</v>
      </c>
      <c r="L86" s="31" t="n">
        <v>216000</v>
      </c>
      <c r="M86" s="37" t="n">
        <f aca="false">(L86/G86)*5</f>
        <v>15428.5714285714</v>
      </c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 t="s">
        <v>214</v>
      </c>
      <c r="EL86" s="30"/>
      <c r="EM86" s="30" t="s">
        <v>214</v>
      </c>
      <c r="EN86" s="30" t="s">
        <v>214</v>
      </c>
      <c r="EO86" s="30"/>
      <c r="EP86" s="30"/>
      <c r="EQ86" s="30"/>
      <c r="ER86" s="30"/>
      <c r="ES86" s="30" t="s">
        <v>214</v>
      </c>
      <c r="ET86" s="30"/>
      <c r="EU86" s="30"/>
      <c r="EV86" s="30" t="s">
        <v>214</v>
      </c>
      <c r="EW86" s="30"/>
      <c r="EX86" s="30"/>
      <c r="EY86" s="30"/>
      <c r="EZ86" s="30"/>
      <c r="FA86" s="30"/>
      <c r="FB86" s="30"/>
      <c r="FC86" s="30" t="s">
        <v>214</v>
      </c>
      <c r="FD86" s="30"/>
      <c r="FE86" s="30"/>
      <c r="FF86" s="30"/>
      <c r="FG86" s="30"/>
      <c r="FH86" s="30"/>
      <c r="FI86" s="30"/>
      <c r="FJ86" s="30"/>
      <c r="FK86" s="30"/>
      <c r="FL86" s="30" t="s">
        <v>214</v>
      </c>
      <c r="FM86" s="30"/>
      <c r="FN86" s="30"/>
      <c r="FO86" s="30"/>
      <c r="FP86" s="30"/>
      <c r="FQ86" s="30"/>
      <c r="FR86" s="30"/>
      <c r="FS86" s="30"/>
      <c r="FT86" s="30"/>
      <c r="FU86" s="30" t="n">
        <v>30000</v>
      </c>
      <c r="FV86" s="30"/>
      <c r="FW86" s="30"/>
      <c r="FX86" s="30"/>
      <c r="FY86" s="30"/>
      <c r="FZ86" s="30"/>
      <c r="GA86" s="30"/>
      <c r="GB86" s="30"/>
      <c r="GC86" s="30"/>
      <c r="GD86" s="30"/>
      <c r="GE86" s="30"/>
      <c r="GF86" s="30"/>
      <c r="GG86" s="30"/>
      <c r="GH86" s="30"/>
      <c r="GI86" s="30"/>
      <c r="GJ86" s="30"/>
      <c r="GK86" s="30"/>
      <c r="GL86" s="30"/>
      <c r="GM86" s="30"/>
      <c r="GN86" s="30"/>
      <c r="GO86" s="30"/>
      <c r="GP86" s="30"/>
      <c r="GQ86" s="30"/>
      <c r="GR86" s="30"/>
      <c r="GS86" s="30"/>
      <c r="GT86" s="30"/>
      <c r="GU86" s="30"/>
      <c r="GV86" s="30"/>
      <c r="GW86" s="30"/>
      <c r="GX86" s="30" t="n">
        <f aca="false">SUM(N86:GW86)</f>
        <v>30000</v>
      </c>
      <c r="GY86" s="36" t="n">
        <f aca="false">SUM(L86-GX86)</f>
        <v>186000</v>
      </c>
      <c r="GZ86" s="32" t="n">
        <f aca="false">SUM( H86/5)</f>
        <v>1.94444444444444</v>
      </c>
      <c r="HA86" s="32" t="n">
        <f aca="false">SUM( I86/5)</f>
        <v>12.0555555555556</v>
      </c>
      <c r="HB86" s="33" t="n">
        <f aca="false">SUM(GZ86/4)</f>
        <v>0.486111111111111</v>
      </c>
      <c r="HC86" s="33" t="n">
        <f aca="false">SUM(HA86/4)</f>
        <v>3.01388888888889</v>
      </c>
    </row>
    <row r="87" customFormat="false" ht="28.5" hidden="true" customHeight="true" outlineLevel="0" collapsed="false">
      <c r="A87" s="26" t="n">
        <v>3022</v>
      </c>
      <c r="B87" s="34" t="s">
        <v>360</v>
      </c>
      <c r="C87" s="34" t="s">
        <v>361</v>
      </c>
      <c r="D87" s="25" t="n">
        <v>45329</v>
      </c>
      <c r="E87" s="25" t="n">
        <v>45985</v>
      </c>
      <c r="F87" s="25" t="n">
        <f aca="false">WORKDAY(E87,G87)</f>
        <v>46139</v>
      </c>
      <c r="G87" s="26" t="n">
        <v>110</v>
      </c>
      <c r="H87" s="27" t="n">
        <f aca="false">(GX87* 5)/M87</f>
        <v>74.5833333333333</v>
      </c>
      <c r="I87" s="27" t="n">
        <f aca="false">G87-H87</f>
        <v>35.4166666666667</v>
      </c>
      <c r="J87" s="34" t="s">
        <v>362</v>
      </c>
      <c r="K87" s="55" t="n">
        <v>100000</v>
      </c>
      <c r="L87" s="31" t="n">
        <v>264000</v>
      </c>
      <c r="M87" s="37" t="n">
        <f aca="false">(L87/G87)*5</f>
        <v>12000</v>
      </c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 t="s">
        <v>214</v>
      </c>
      <c r="EL87" s="30"/>
      <c r="EM87" s="30" t="s">
        <v>214</v>
      </c>
      <c r="EN87" s="30" t="s">
        <v>214</v>
      </c>
      <c r="EO87" s="30"/>
      <c r="EP87" s="30"/>
      <c r="EQ87" s="30"/>
      <c r="ER87" s="30"/>
      <c r="ES87" s="30" t="s">
        <v>214</v>
      </c>
      <c r="ET87" s="30"/>
      <c r="EU87" s="30"/>
      <c r="EV87" s="30" t="s">
        <v>214</v>
      </c>
      <c r="EW87" s="30"/>
      <c r="EX87" s="30"/>
      <c r="EY87" s="30"/>
      <c r="EZ87" s="30"/>
      <c r="FA87" s="30"/>
      <c r="FB87" s="30"/>
      <c r="FC87" s="30" t="s">
        <v>214</v>
      </c>
      <c r="FD87" s="30"/>
      <c r="FE87" s="30"/>
      <c r="FF87" s="30"/>
      <c r="FG87" s="30"/>
      <c r="FH87" s="30"/>
      <c r="FI87" s="30"/>
      <c r="FJ87" s="30"/>
      <c r="FK87" s="30"/>
      <c r="FL87" s="30" t="s">
        <v>214</v>
      </c>
      <c r="FM87" s="30"/>
      <c r="FN87" s="30"/>
      <c r="FO87" s="30"/>
      <c r="FP87" s="30"/>
      <c r="FQ87" s="30"/>
      <c r="FR87" s="30"/>
      <c r="FS87" s="30"/>
      <c r="FT87" s="30" t="n">
        <v>24000</v>
      </c>
      <c r="FU87" s="30"/>
      <c r="FV87" s="30" t="n">
        <v>24000</v>
      </c>
      <c r="FW87" s="30"/>
      <c r="FX87" s="30"/>
      <c r="FY87" s="30"/>
      <c r="FZ87" s="30" t="n">
        <v>12000</v>
      </c>
      <c r="GA87" s="30"/>
      <c r="GB87" s="30"/>
      <c r="GC87" s="30" t="n">
        <v>12000</v>
      </c>
      <c r="GD87" s="30"/>
      <c r="GE87" s="30"/>
      <c r="GF87" s="30"/>
      <c r="GG87" s="30" t="n">
        <v>12000</v>
      </c>
      <c r="GH87" s="30" t="n">
        <v>12000</v>
      </c>
      <c r="GI87" s="30"/>
      <c r="GJ87" s="30"/>
      <c r="GK87" s="30" t="n">
        <v>12000</v>
      </c>
      <c r="GL87" s="30"/>
      <c r="GM87" s="30"/>
      <c r="GN87" s="30"/>
      <c r="GO87" s="30"/>
      <c r="GP87" s="30" t="n">
        <v>24000</v>
      </c>
      <c r="GQ87" s="30"/>
      <c r="GR87" s="30"/>
      <c r="GS87" s="30"/>
      <c r="GT87" s="30" t="n">
        <v>24000</v>
      </c>
      <c r="GU87" s="30"/>
      <c r="GV87" s="30" t="n">
        <v>23000</v>
      </c>
      <c r="GW87" s="30"/>
      <c r="GX87" s="30" t="n">
        <f aca="false">SUM(N87:GW87)</f>
        <v>179000</v>
      </c>
      <c r="GY87" s="36" t="n">
        <f aca="false">SUM(L87-GX87)</f>
        <v>85000</v>
      </c>
      <c r="GZ87" s="32" t="n">
        <f aca="false">SUM( H87/5)</f>
        <v>14.9166666666667</v>
      </c>
      <c r="HA87" s="32" t="n">
        <f aca="false">SUM( I87/5)</f>
        <v>7.08333333333333</v>
      </c>
      <c r="HB87" s="33" t="n">
        <f aca="false">SUM(GZ87/4)</f>
        <v>3.72916666666667</v>
      </c>
      <c r="HC87" s="33" t="n">
        <f aca="false">SUM(HA87/4)</f>
        <v>1.77083333333333</v>
      </c>
    </row>
    <row r="88" customFormat="false" ht="28.5" hidden="true" customHeight="true" outlineLevel="0" collapsed="false">
      <c r="A88" s="26" t="n">
        <v>3090</v>
      </c>
      <c r="B88" s="21" t="s">
        <v>363</v>
      </c>
      <c r="C88" s="21" t="s">
        <v>364</v>
      </c>
      <c r="D88" s="34" t="n">
        <v>42259096</v>
      </c>
      <c r="E88" s="25" t="n">
        <v>44929</v>
      </c>
      <c r="F88" s="25" t="n">
        <f aca="false">WORKDAY(E88,G88)</f>
        <v>45349</v>
      </c>
      <c r="G88" s="26" t="n">
        <v>300</v>
      </c>
      <c r="H88" s="27" t="n">
        <f aca="false">(GX88* 5)/M88</f>
        <v>140</v>
      </c>
      <c r="I88" s="27" t="n">
        <f aca="false">G88-H88</f>
        <v>160</v>
      </c>
      <c r="J88" s="35" t="s">
        <v>365</v>
      </c>
      <c r="K88" s="31" t="n">
        <v>80000</v>
      </c>
      <c r="L88" s="31" t="n">
        <v>214350</v>
      </c>
      <c r="M88" s="37" t="n">
        <f aca="false">(L88/G88)*5</f>
        <v>3572.5</v>
      </c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 t="n">
        <v>14290</v>
      </c>
      <c r="AB88" s="30"/>
      <c r="AC88" s="30"/>
      <c r="AD88" s="30"/>
      <c r="AE88" s="30"/>
      <c r="AF88" s="30"/>
      <c r="AG88" s="30"/>
      <c r="AH88" s="30"/>
      <c r="AI88" s="30" t="n">
        <v>14290</v>
      </c>
      <c r="AJ88" s="30"/>
      <c r="AK88" s="30"/>
      <c r="AL88" s="30"/>
      <c r="AM88" s="30" t="n">
        <v>14290</v>
      </c>
      <c r="AN88" s="30"/>
      <c r="AO88" s="30"/>
      <c r="AP88" s="30"/>
      <c r="AQ88" s="30"/>
      <c r="AR88" s="30" t="n">
        <v>14290</v>
      </c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 t="n">
        <v>14290</v>
      </c>
      <c r="BF88" s="30"/>
      <c r="BG88" s="30"/>
      <c r="BH88" s="30"/>
      <c r="BI88" s="30" t="n">
        <v>14290</v>
      </c>
      <c r="BJ88" s="30"/>
      <c r="BK88" s="30"/>
      <c r="BL88" s="30"/>
      <c r="BM88" s="30"/>
      <c r="BN88" s="30" t="n">
        <v>14290</v>
      </c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  <c r="FS88" s="30"/>
      <c r="FT88" s="30"/>
      <c r="FU88" s="30"/>
      <c r="FV88" s="30"/>
      <c r="FW88" s="30"/>
      <c r="FX88" s="30"/>
      <c r="FY88" s="30"/>
      <c r="FZ88" s="30"/>
      <c r="GA88" s="30"/>
      <c r="GB88" s="30"/>
      <c r="GC88" s="30"/>
      <c r="GD88" s="30"/>
      <c r="GE88" s="30"/>
      <c r="GF88" s="30"/>
      <c r="GG88" s="30"/>
      <c r="GH88" s="30"/>
      <c r="GI88" s="30"/>
      <c r="GJ88" s="30"/>
      <c r="GK88" s="30"/>
      <c r="GL88" s="30"/>
      <c r="GM88" s="30"/>
      <c r="GN88" s="30"/>
      <c r="GO88" s="30"/>
      <c r="GP88" s="30"/>
      <c r="GQ88" s="30"/>
      <c r="GR88" s="30"/>
      <c r="GS88" s="30"/>
      <c r="GT88" s="30"/>
      <c r="GU88" s="30"/>
      <c r="GV88" s="30"/>
      <c r="GW88" s="30"/>
      <c r="GX88" s="30" t="n">
        <f aca="false">SUM(N88:GW88)</f>
        <v>100030</v>
      </c>
      <c r="GY88" s="36" t="n">
        <f aca="false">SUM(L88-GX88)</f>
        <v>114320</v>
      </c>
      <c r="GZ88" s="32" t="n">
        <f aca="false">SUM( H88/5)</f>
        <v>28</v>
      </c>
      <c r="HA88" s="32" t="n">
        <f aca="false">SUM( I88/5)</f>
        <v>32</v>
      </c>
      <c r="HB88" s="33" t="n">
        <f aca="false">SUM(GZ88/4)</f>
        <v>7</v>
      </c>
      <c r="HC88" s="33" t="n">
        <f aca="false">SUM(HA88/4)</f>
        <v>8</v>
      </c>
    </row>
    <row r="89" customFormat="false" ht="28.5" hidden="true" customHeight="true" outlineLevel="0" collapsed="false">
      <c r="A89" s="26" t="n">
        <v>3128</v>
      </c>
      <c r="B89" s="21" t="s">
        <v>363</v>
      </c>
      <c r="C89" s="21" t="s">
        <v>364</v>
      </c>
      <c r="D89" s="34"/>
      <c r="E89" s="25" t="n">
        <v>44939</v>
      </c>
      <c r="F89" s="25" t="n">
        <f aca="false">WORKDAY(E89,G89)</f>
        <v>45275</v>
      </c>
      <c r="G89" s="26" t="n">
        <v>240</v>
      </c>
      <c r="H89" s="27" t="n">
        <f aca="false">(GX89* 5)/M89</f>
        <v>120</v>
      </c>
      <c r="I89" s="27" t="n">
        <f aca="false">G89-H89</f>
        <v>120</v>
      </c>
      <c r="J89" s="35" t="s">
        <v>366</v>
      </c>
      <c r="K89" s="36" t="n">
        <v>30000</v>
      </c>
      <c r="L89" s="36" t="n">
        <v>84000</v>
      </c>
      <c r="M89" s="29" t="n">
        <f aca="false">(L89/G89)*5</f>
        <v>1750</v>
      </c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 t="n">
        <v>7000</v>
      </c>
      <c r="AJ89" s="30"/>
      <c r="AK89" s="30"/>
      <c r="AL89" s="30"/>
      <c r="AM89" s="30" t="n">
        <v>7000</v>
      </c>
      <c r="AN89" s="30"/>
      <c r="AO89" s="30"/>
      <c r="AP89" s="30"/>
      <c r="AQ89" s="30"/>
      <c r="AR89" s="30" t="n">
        <v>7000</v>
      </c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 t="n">
        <v>7000</v>
      </c>
      <c r="BF89" s="30"/>
      <c r="BG89" s="30"/>
      <c r="BH89" s="30"/>
      <c r="BI89" s="30" t="n">
        <v>7000</v>
      </c>
      <c r="BJ89" s="30"/>
      <c r="BK89" s="30"/>
      <c r="BL89" s="30"/>
      <c r="BM89" s="30"/>
      <c r="BN89" s="30" t="n">
        <v>7000</v>
      </c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 t="s">
        <v>214</v>
      </c>
      <c r="FG89" s="30"/>
      <c r="FH89" s="30"/>
      <c r="FI89" s="30"/>
      <c r="FJ89" s="30"/>
      <c r="FK89" s="30"/>
      <c r="FL89" s="30"/>
      <c r="FM89" s="30"/>
      <c r="FN89" s="30"/>
      <c r="FO89" s="30"/>
      <c r="FP89" s="30"/>
      <c r="FQ89" s="30"/>
      <c r="FR89" s="30"/>
      <c r="FS89" s="30"/>
      <c r="FT89" s="30"/>
      <c r="FU89" s="30"/>
      <c r="FV89" s="30"/>
      <c r="FW89" s="30"/>
      <c r="FX89" s="30"/>
      <c r="FY89" s="30"/>
      <c r="FZ89" s="30"/>
      <c r="GA89" s="30"/>
      <c r="GB89" s="30"/>
      <c r="GC89" s="30"/>
      <c r="GD89" s="30"/>
      <c r="GE89" s="30"/>
      <c r="GF89" s="30"/>
      <c r="GG89" s="30"/>
      <c r="GH89" s="30"/>
      <c r="GI89" s="30"/>
      <c r="GJ89" s="30"/>
      <c r="GK89" s="30"/>
      <c r="GL89" s="30"/>
      <c r="GM89" s="30"/>
      <c r="GN89" s="30"/>
      <c r="GO89" s="30"/>
      <c r="GP89" s="30"/>
      <c r="GQ89" s="30"/>
      <c r="GR89" s="30"/>
      <c r="GS89" s="30"/>
      <c r="GT89" s="30"/>
      <c r="GU89" s="30"/>
      <c r="GV89" s="30"/>
      <c r="GW89" s="30"/>
      <c r="GX89" s="30" t="n">
        <f aca="false">SUM(N89:GW89)</f>
        <v>42000</v>
      </c>
      <c r="GY89" s="36" t="n">
        <f aca="false">SUM(L89-GX89)</f>
        <v>42000</v>
      </c>
      <c r="GZ89" s="32" t="n">
        <f aca="false">SUM( H89/5)</f>
        <v>24</v>
      </c>
      <c r="HA89" s="32" t="n">
        <f aca="false">SUM( I89/5)</f>
        <v>24</v>
      </c>
      <c r="HB89" s="33" t="n">
        <f aca="false">SUM(GZ89/4)</f>
        <v>6</v>
      </c>
      <c r="HC89" s="33" t="n">
        <f aca="false">SUM(HA89/4)</f>
        <v>6</v>
      </c>
    </row>
    <row r="90" customFormat="false" ht="28.5" hidden="true" customHeight="true" outlineLevel="0" collapsed="false">
      <c r="A90" s="26" t="n">
        <v>3184</v>
      </c>
      <c r="B90" s="21" t="s">
        <v>363</v>
      </c>
      <c r="C90" s="21" t="s">
        <v>364</v>
      </c>
      <c r="D90" s="34"/>
      <c r="E90" s="25" t="n">
        <v>44972</v>
      </c>
      <c r="F90" s="25" t="n">
        <f aca="false">WORKDAY(E90,G90)</f>
        <v>45308</v>
      </c>
      <c r="G90" s="26" t="n">
        <v>240</v>
      </c>
      <c r="H90" s="27" t="n">
        <f aca="false">(GX90* 5)/M90</f>
        <v>120</v>
      </c>
      <c r="I90" s="27" t="n">
        <f aca="false">G90-H90</f>
        <v>120</v>
      </c>
      <c r="J90" s="35" t="s">
        <v>366</v>
      </c>
      <c r="K90" s="36" t="n">
        <v>30000</v>
      </c>
      <c r="L90" s="36" t="n">
        <v>84000</v>
      </c>
      <c r="M90" s="29" t="n">
        <f aca="false">(L90/G90)*5</f>
        <v>1750</v>
      </c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 t="n">
        <v>7000</v>
      </c>
      <c r="AJ90" s="30"/>
      <c r="AK90" s="30"/>
      <c r="AL90" s="30"/>
      <c r="AM90" s="30" t="n">
        <v>7000</v>
      </c>
      <c r="AN90" s="30"/>
      <c r="AO90" s="30"/>
      <c r="AP90" s="30"/>
      <c r="AQ90" s="30"/>
      <c r="AR90" s="30" t="n">
        <v>7000</v>
      </c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 t="n">
        <v>7000</v>
      </c>
      <c r="BF90" s="30"/>
      <c r="BG90" s="30"/>
      <c r="BH90" s="30"/>
      <c r="BI90" s="30" t="n">
        <v>7000</v>
      </c>
      <c r="BJ90" s="30"/>
      <c r="BK90" s="30"/>
      <c r="BL90" s="30"/>
      <c r="BM90" s="30"/>
      <c r="BN90" s="30" t="n">
        <v>7000</v>
      </c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  <c r="EV90" s="30"/>
      <c r="EW90" s="30"/>
      <c r="EX90" s="30"/>
      <c r="EY90" s="30"/>
      <c r="EZ90" s="30"/>
      <c r="FA90" s="30"/>
      <c r="FB90" s="30"/>
      <c r="FC90" s="30"/>
      <c r="FD90" s="30"/>
      <c r="FE90" s="30"/>
      <c r="FF90" s="30" t="s">
        <v>214</v>
      </c>
      <c r="FG90" s="30"/>
      <c r="FH90" s="30"/>
      <c r="FI90" s="30"/>
      <c r="FJ90" s="30"/>
      <c r="FK90" s="30"/>
      <c r="FL90" s="30"/>
      <c r="FM90" s="30"/>
      <c r="FN90" s="30"/>
      <c r="FO90" s="30"/>
      <c r="FP90" s="30"/>
      <c r="FQ90" s="30"/>
      <c r="FR90" s="30"/>
      <c r="FS90" s="30"/>
      <c r="FT90" s="30"/>
      <c r="FU90" s="30"/>
      <c r="FV90" s="30"/>
      <c r="FW90" s="30"/>
      <c r="FX90" s="30"/>
      <c r="FY90" s="30"/>
      <c r="FZ90" s="30"/>
      <c r="GA90" s="30"/>
      <c r="GB90" s="30"/>
      <c r="GC90" s="30"/>
      <c r="GD90" s="30"/>
      <c r="GE90" s="30"/>
      <c r="GF90" s="30"/>
      <c r="GG90" s="30"/>
      <c r="GH90" s="30"/>
      <c r="GI90" s="30"/>
      <c r="GJ90" s="30"/>
      <c r="GK90" s="30"/>
      <c r="GL90" s="30"/>
      <c r="GM90" s="30"/>
      <c r="GN90" s="30"/>
      <c r="GO90" s="30"/>
      <c r="GP90" s="30"/>
      <c r="GQ90" s="30"/>
      <c r="GR90" s="30"/>
      <c r="GS90" s="30"/>
      <c r="GT90" s="30"/>
      <c r="GU90" s="30"/>
      <c r="GV90" s="30"/>
      <c r="GW90" s="30"/>
      <c r="GX90" s="30" t="n">
        <f aca="false">SUM(N90:GW90)</f>
        <v>42000</v>
      </c>
      <c r="GY90" s="36" t="n">
        <f aca="false">SUM(L90-GX90)</f>
        <v>42000</v>
      </c>
      <c r="GZ90" s="32" t="n">
        <f aca="false">SUM( H90/5)</f>
        <v>24</v>
      </c>
      <c r="HA90" s="32" t="n">
        <f aca="false">SUM( I90/5)</f>
        <v>24</v>
      </c>
      <c r="HB90" s="33" t="n">
        <f aca="false">SUM(GZ90/4)</f>
        <v>6</v>
      </c>
      <c r="HC90" s="33" t="n">
        <f aca="false">SUM(HA90/4)</f>
        <v>6</v>
      </c>
    </row>
    <row r="91" customFormat="false" ht="28.5" hidden="true" customHeight="true" outlineLevel="0" collapsed="false">
      <c r="A91" s="26" t="n">
        <v>3557</v>
      </c>
      <c r="B91" s="21" t="s">
        <v>363</v>
      </c>
      <c r="C91" s="21" t="s">
        <v>364</v>
      </c>
      <c r="D91" s="34"/>
      <c r="E91" s="25" t="n">
        <v>44979</v>
      </c>
      <c r="F91" s="25" t="n">
        <f aca="false">WORKDAY(E91,G91)</f>
        <v>45315</v>
      </c>
      <c r="G91" s="26" t="n">
        <v>240</v>
      </c>
      <c r="H91" s="27" t="n">
        <f aca="false">(GX91* 5)/M91</f>
        <v>120</v>
      </c>
      <c r="I91" s="27" t="n">
        <f aca="false">G91-H91</f>
        <v>120</v>
      </c>
      <c r="J91" s="35" t="s">
        <v>367</v>
      </c>
      <c r="K91" s="31" t="n">
        <v>10000</v>
      </c>
      <c r="L91" s="31" t="n">
        <v>28200</v>
      </c>
      <c r="M91" s="29" t="n">
        <f aca="false">(L91/G91)*5</f>
        <v>587.5</v>
      </c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 t="n">
        <v>2350</v>
      </c>
      <c r="AJ91" s="30"/>
      <c r="AK91" s="30"/>
      <c r="AL91" s="30"/>
      <c r="AM91" s="30" t="n">
        <v>2350</v>
      </c>
      <c r="AN91" s="30"/>
      <c r="AO91" s="30"/>
      <c r="AP91" s="30"/>
      <c r="AQ91" s="30"/>
      <c r="AR91" s="30" t="n">
        <v>2350</v>
      </c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 t="n">
        <v>2350</v>
      </c>
      <c r="BF91" s="30"/>
      <c r="BG91" s="30"/>
      <c r="BH91" s="30"/>
      <c r="BI91" s="30" t="n">
        <v>2350</v>
      </c>
      <c r="BJ91" s="30"/>
      <c r="BK91" s="30"/>
      <c r="BL91" s="30"/>
      <c r="BM91" s="30"/>
      <c r="BN91" s="30" t="n">
        <v>2350</v>
      </c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  <c r="FG91" s="30"/>
      <c r="FH91" s="30"/>
      <c r="FI91" s="30"/>
      <c r="FJ91" s="30"/>
      <c r="FK91" s="30"/>
      <c r="FL91" s="30"/>
      <c r="FM91" s="30"/>
      <c r="FN91" s="30"/>
      <c r="FO91" s="30"/>
      <c r="FP91" s="30"/>
      <c r="FQ91" s="30"/>
      <c r="FR91" s="30"/>
      <c r="FS91" s="30"/>
      <c r="FT91" s="30"/>
      <c r="FU91" s="30"/>
      <c r="FV91" s="30"/>
      <c r="FW91" s="30"/>
      <c r="FX91" s="30"/>
      <c r="FY91" s="30"/>
      <c r="FZ91" s="30"/>
      <c r="GA91" s="30"/>
      <c r="GB91" s="30"/>
      <c r="GC91" s="30"/>
      <c r="GD91" s="30"/>
      <c r="GE91" s="30"/>
      <c r="GF91" s="30"/>
      <c r="GG91" s="30"/>
      <c r="GH91" s="30"/>
      <c r="GI91" s="30"/>
      <c r="GJ91" s="30"/>
      <c r="GK91" s="30"/>
      <c r="GL91" s="30"/>
      <c r="GM91" s="30"/>
      <c r="GN91" s="30"/>
      <c r="GO91" s="30"/>
      <c r="GP91" s="30"/>
      <c r="GQ91" s="30"/>
      <c r="GR91" s="30"/>
      <c r="GS91" s="30"/>
      <c r="GT91" s="30"/>
      <c r="GU91" s="30"/>
      <c r="GV91" s="30"/>
      <c r="GW91" s="30"/>
      <c r="GX91" s="30" t="n">
        <f aca="false">SUM(N91:GW91)</f>
        <v>14100</v>
      </c>
      <c r="GY91" s="36" t="n">
        <f aca="false">SUM(L91-GX91)</f>
        <v>14100</v>
      </c>
      <c r="GZ91" s="32" t="n">
        <f aca="false">SUM( H91/5)</f>
        <v>24</v>
      </c>
      <c r="HA91" s="32" t="n">
        <f aca="false">SUM( I91/5)</f>
        <v>24</v>
      </c>
      <c r="HB91" s="33" t="n">
        <f aca="false">SUM(GZ91/4)</f>
        <v>6</v>
      </c>
      <c r="HC91" s="33" t="n">
        <f aca="false">SUM(HA91/4)</f>
        <v>6</v>
      </c>
    </row>
    <row r="92" customFormat="false" ht="28.5" hidden="true" customHeight="true" outlineLevel="0" collapsed="false">
      <c r="A92" s="26" t="n">
        <v>3412</v>
      </c>
      <c r="B92" s="21" t="s">
        <v>363</v>
      </c>
      <c r="C92" s="21" t="s">
        <v>364</v>
      </c>
      <c r="D92" s="34"/>
      <c r="E92" s="25" t="n">
        <v>45031</v>
      </c>
      <c r="F92" s="25" t="n">
        <f aca="false">WORKDAY(E92,G92)</f>
        <v>45198</v>
      </c>
      <c r="G92" s="26" t="n">
        <v>120</v>
      </c>
      <c r="H92" s="27" t="n">
        <f aca="false">(GX92* 5)/M92</f>
        <v>100</v>
      </c>
      <c r="I92" s="27" t="n">
        <f aca="false">G92-H92</f>
        <v>20</v>
      </c>
      <c r="J92" s="35" t="s">
        <v>368</v>
      </c>
      <c r="K92" s="36" t="n">
        <v>20000</v>
      </c>
      <c r="L92" s="36" t="n">
        <v>52800</v>
      </c>
      <c r="M92" s="37" t="n">
        <f aca="false">(L92/G92)*5</f>
        <v>2200</v>
      </c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 t="n">
        <v>8800</v>
      </c>
      <c r="AN92" s="30"/>
      <c r="AO92" s="30"/>
      <c r="AP92" s="30"/>
      <c r="AQ92" s="30"/>
      <c r="AR92" s="30" t="n">
        <v>8800</v>
      </c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 t="n">
        <v>8800</v>
      </c>
      <c r="BF92" s="30"/>
      <c r="BG92" s="30"/>
      <c r="BH92" s="30"/>
      <c r="BI92" s="30" t="n">
        <v>8800</v>
      </c>
      <c r="BJ92" s="30"/>
      <c r="BK92" s="30"/>
      <c r="BL92" s="30"/>
      <c r="BM92" s="30"/>
      <c r="BN92" s="30" t="n">
        <v>8800</v>
      </c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M92" s="30"/>
      <c r="FN92" s="30"/>
      <c r="FO92" s="30"/>
      <c r="FP92" s="30"/>
      <c r="FQ92" s="30"/>
      <c r="FR92" s="30"/>
      <c r="FS92" s="30"/>
      <c r="FT92" s="30"/>
      <c r="FU92" s="30"/>
      <c r="FV92" s="30"/>
      <c r="FW92" s="30"/>
      <c r="FX92" s="30"/>
      <c r="FY92" s="30"/>
      <c r="FZ92" s="30"/>
      <c r="GA92" s="30"/>
      <c r="GB92" s="30"/>
      <c r="GC92" s="30"/>
      <c r="GD92" s="30"/>
      <c r="GE92" s="30"/>
      <c r="GF92" s="30"/>
      <c r="GG92" s="30"/>
      <c r="GH92" s="30"/>
      <c r="GI92" s="30"/>
      <c r="GJ92" s="30"/>
      <c r="GK92" s="30"/>
      <c r="GL92" s="30"/>
      <c r="GM92" s="30"/>
      <c r="GN92" s="30"/>
      <c r="GO92" s="30"/>
      <c r="GP92" s="30"/>
      <c r="GQ92" s="30"/>
      <c r="GR92" s="30"/>
      <c r="GS92" s="30"/>
      <c r="GT92" s="30"/>
      <c r="GU92" s="30"/>
      <c r="GV92" s="30"/>
      <c r="GW92" s="30"/>
      <c r="GX92" s="30" t="n">
        <f aca="false">SUM(N92:GW92)</f>
        <v>44000</v>
      </c>
      <c r="GY92" s="36" t="n">
        <f aca="false">SUM(L92-GX92)</f>
        <v>8800</v>
      </c>
      <c r="GZ92" s="32" t="n">
        <f aca="false">SUM( H92/5)</f>
        <v>20</v>
      </c>
      <c r="HA92" s="32" t="n">
        <f aca="false">SUM( I92/5)</f>
        <v>4</v>
      </c>
      <c r="HB92" s="33" t="n">
        <f aca="false">SUM(GZ92/4)</f>
        <v>5</v>
      </c>
      <c r="HC92" s="33" t="n">
        <f aca="false">SUM(HA92/4)</f>
        <v>1</v>
      </c>
    </row>
    <row r="93" customFormat="false" ht="28.5" hidden="true" customHeight="true" outlineLevel="0" collapsed="false">
      <c r="A93" s="26" t="n">
        <v>3450</v>
      </c>
      <c r="B93" s="21" t="s">
        <v>369</v>
      </c>
      <c r="C93" s="21" t="s">
        <v>370</v>
      </c>
      <c r="D93" s="34"/>
      <c r="E93" s="25" t="n">
        <v>45681</v>
      </c>
      <c r="F93" s="25" t="n">
        <f aca="false">WORKDAY(E93,G93)</f>
        <v>45849</v>
      </c>
      <c r="G93" s="26" t="n">
        <v>120</v>
      </c>
      <c r="H93" s="27" t="n">
        <f aca="false">(GX93* 5)/M93</f>
        <v>80.6060606060606</v>
      </c>
      <c r="I93" s="27" t="n">
        <f aca="false">G93-H93</f>
        <v>39.3939393939394</v>
      </c>
      <c r="J93" s="35" t="s">
        <v>371</v>
      </c>
      <c r="K93" s="36" t="n">
        <v>150000</v>
      </c>
      <c r="L93" s="36" t="n">
        <v>396000</v>
      </c>
      <c r="M93" s="37" t="n">
        <f aca="false">(L93/G93)*5</f>
        <v>16500</v>
      </c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 t="n">
        <v>66000</v>
      </c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30"/>
      <c r="EV93" s="30"/>
      <c r="EW93" s="30"/>
      <c r="EX93" s="30"/>
      <c r="EY93" s="30"/>
      <c r="EZ93" s="30"/>
      <c r="FA93" s="30"/>
      <c r="FB93" s="30"/>
      <c r="FC93" s="30"/>
      <c r="FD93" s="30"/>
      <c r="FE93" s="30"/>
      <c r="FF93" s="30"/>
      <c r="FG93" s="30"/>
      <c r="FH93" s="30"/>
      <c r="FI93" s="30"/>
      <c r="FJ93" s="30"/>
      <c r="FK93" s="30"/>
      <c r="FL93" s="30"/>
      <c r="FM93" s="30"/>
      <c r="FN93" s="30"/>
      <c r="FO93" s="30"/>
      <c r="FP93" s="30"/>
      <c r="FQ93" s="30"/>
      <c r="FR93" s="30"/>
      <c r="FS93" s="30"/>
      <c r="FT93" s="30"/>
      <c r="FU93" s="30"/>
      <c r="FV93" s="30"/>
      <c r="FW93" s="30"/>
      <c r="FX93" s="30"/>
      <c r="FY93" s="30"/>
      <c r="FZ93" s="30"/>
      <c r="GA93" s="30"/>
      <c r="GB93" s="30"/>
      <c r="GC93" s="30"/>
      <c r="GD93" s="30"/>
      <c r="GE93" s="30"/>
      <c r="GF93" s="30" t="n">
        <v>50000</v>
      </c>
      <c r="GG93" s="30"/>
      <c r="GH93" s="30"/>
      <c r="GI93" s="30"/>
      <c r="GJ93" s="30"/>
      <c r="GK93" s="30" t="n">
        <v>50000</v>
      </c>
      <c r="GL93" s="30"/>
      <c r="GM93" s="30"/>
      <c r="GN93" s="30"/>
      <c r="GO93" s="30" t="n">
        <v>50000</v>
      </c>
      <c r="GP93" s="30"/>
      <c r="GQ93" s="30"/>
      <c r="GR93" s="30"/>
      <c r="GS93" s="30"/>
      <c r="GT93" s="30" t="n">
        <v>50000</v>
      </c>
      <c r="GU93" s="30"/>
      <c r="GV93" s="30"/>
      <c r="GW93" s="30"/>
      <c r="GX93" s="30" t="n">
        <f aca="false">SUM(N93:GW93)</f>
        <v>266000</v>
      </c>
      <c r="GY93" s="36" t="n">
        <f aca="false">SUM(L93-GX93)</f>
        <v>130000</v>
      </c>
      <c r="GZ93" s="32" t="n">
        <f aca="false">SUM( H93/5)</f>
        <v>16.1212121212121</v>
      </c>
      <c r="HA93" s="32" t="n">
        <f aca="false">SUM( I93/5)</f>
        <v>7.87878787878788</v>
      </c>
      <c r="HB93" s="33" t="n">
        <f aca="false">SUM(GZ93/4)</f>
        <v>4.03030303030303</v>
      </c>
      <c r="HC93" s="33" t="n">
        <f aca="false">SUM(HA93/4)</f>
        <v>1.96969696969697</v>
      </c>
    </row>
    <row r="94" customFormat="false" ht="28.5" hidden="true" customHeight="true" outlineLevel="0" collapsed="false">
      <c r="A94" s="26" t="n">
        <v>3488</v>
      </c>
      <c r="B94" s="21" t="s">
        <v>369</v>
      </c>
      <c r="C94" s="21" t="s">
        <v>370</v>
      </c>
      <c r="D94" s="34"/>
      <c r="E94" s="25" t="n">
        <v>45719</v>
      </c>
      <c r="F94" s="25" t="n">
        <f aca="false">WORKDAY(E94,G94)</f>
        <v>45943</v>
      </c>
      <c r="G94" s="26" t="n">
        <v>160</v>
      </c>
      <c r="H94" s="27" t="n">
        <f aca="false">(GX94* 5)/M94</f>
        <v>120</v>
      </c>
      <c r="I94" s="27" t="n">
        <f aca="false">G94-H94</f>
        <v>40</v>
      </c>
      <c r="J94" s="35" t="s">
        <v>372</v>
      </c>
      <c r="K94" s="36" t="n">
        <v>200000</v>
      </c>
      <c r="L94" s="36" t="n">
        <v>600000</v>
      </c>
      <c r="M94" s="56" t="n">
        <f aca="false">(L94/G94)*5</f>
        <v>18750</v>
      </c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 t="s">
        <v>214</v>
      </c>
      <c r="EG94" s="30"/>
      <c r="EH94" s="30"/>
      <c r="EI94" s="30"/>
      <c r="EJ94" s="30"/>
      <c r="EK94" s="30"/>
      <c r="EL94" s="30"/>
      <c r="EM94" s="30" t="n">
        <v>75000</v>
      </c>
      <c r="EN94" s="30"/>
      <c r="EO94" s="30"/>
      <c r="EP94" s="30"/>
      <c r="EQ94" s="30"/>
      <c r="ER94" s="30" t="n">
        <v>75000</v>
      </c>
      <c r="ES94" s="30"/>
      <c r="ET94" s="30"/>
      <c r="EU94" s="30"/>
      <c r="EV94" s="30" t="n">
        <v>40000</v>
      </c>
      <c r="EW94" s="30"/>
      <c r="EX94" s="30" t="n">
        <v>35000</v>
      </c>
      <c r="EY94" s="30"/>
      <c r="EZ94" s="30"/>
      <c r="FA94" s="30" t="n">
        <v>30000</v>
      </c>
      <c r="FB94" s="30"/>
      <c r="FC94" s="30"/>
      <c r="FD94" s="30" t="n">
        <v>15000</v>
      </c>
      <c r="FE94" s="30"/>
      <c r="FF94" s="30" t="n">
        <v>15000</v>
      </c>
      <c r="FG94" s="30"/>
      <c r="FH94" s="30" t="n">
        <v>15000</v>
      </c>
      <c r="FI94" s="30"/>
      <c r="FJ94" s="30"/>
      <c r="FK94" s="30" t="n">
        <v>20000</v>
      </c>
      <c r="FL94" s="30"/>
      <c r="FM94" s="30"/>
      <c r="FN94" s="30" t="n">
        <v>20000</v>
      </c>
      <c r="FO94" s="30"/>
      <c r="FP94" s="30" t="n">
        <v>20000</v>
      </c>
      <c r="FQ94" s="30"/>
      <c r="FR94" s="30"/>
      <c r="FS94" s="30" t="n">
        <v>20000</v>
      </c>
      <c r="FT94" s="30"/>
      <c r="FU94" s="30" t="n">
        <v>25000</v>
      </c>
      <c r="FV94" s="30" t="n">
        <v>20000</v>
      </c>
      <c r="FW94" s="30"/>
      <c r="FX94" s="30" t="n">
        <v>25000</v>
      </c>
      <c r="FY94" s="30"/>
      <c r="FZ94" s="30"/>
      <c r="GA94" s="30"/>
      <c r="GB94" s="30"/>
      <c r="GC94" s="30"/>
      <c r="GD94" s="30"/>
      <c r="GE94" s="30"/>
      <c r="GF94" s="30"/>
      <c r="GG94" s="30"/>
      <c r="GH94" s="30"/>
      <c r="GI94" s="30"/>
      <c r="GJ94" s="30"/>
      <c r="GK94" s="30"/>
      <c r="GL94" s="30"/>
      <c r="GM94" s="30"/>
      <c r="GN94" s="30"/>
      <c r="GO94" s="30"/>
      <c r="GP94" s="30"/>
      <c r="GQ94" s="30"/>
      <c r="GR94" s="30"/>
      <c r="GS94" s="30"/>
      <c r="GT94" s="30"/>
      <c r="GU94" s="30"/>
      <c r="GV94" s="30"/>
      <c r="GW94" s="30"/>
      <c r="GX94" s="30" t="n">
        <f aca="false">SUM(N94:GW94)</f>
        <v>450000</v>
      </c>
      <c r="GY94" s="36" t="n">
        <f aca="false">SUM(L94-GX94)</f>
        <v>150000</v>
      </c>
      <c r="GZ94" s="32" t="n">
        <f aca="false">SUM( H94/5)</f>
        <v>24</v>
      </c>
      <c r="HA94" s="32" t="n">
        <f aca="false">SUM( I94/5)</f>
        <v>8</v>
      </c>
      <c r="HB94" s="33" t="n">
        <f aca="false">SUM(GZ94/4)</f>
        <v>6</v>
      </c>
      <c r="HC94" s="33" t="n">
        <f aca="false">SUM(HA94/4)</f>
        <v>2</v>
      </c>
    </row>
    <row r="95" customFormat="false" ht="28.5" hidden="true" customHeight="true" outlineLevel="0" collapsed="false">
      <c r="A95" s="26" t="n">
        <v>3144</v>
      </c>
      <c r="B95" s="21" t="s">
        <v>369</v>
      </c>
      <c r="C95" s="21" t="s">
        <v>370</v>
      </c>
      <c r="D95" s="34"/>
      <c r="E95" s="25" t="n">
        <v>45744</v>
      </c>
      <c r="F95" s="25" t="n">
        <f aca="false">WORKDAY(E95,G95)</f>
        <v>45968</v>
      </c>
      <c r="G95" s="26" t="n">
        <v>160</v>
      </c>
      <c r="H95" s="27" t="n">
        <f aca="false">(GX95* 5)/M95</f>
        <v>92</v>
      </c>
      <c r="I95" s="27" t="n">
        <f aca="false">G95-H95</f>
        <v>68</v>
      </c>
      <c r="J95" s="35" t="s">
        <v>373</v>
      </c>
      <c r="K95" s="31" t="n">
        <v>200000</v>
      </c>
      <c r="L95" s="31" t="n">
        <v>600000</v>
      </c>
      <c r="M95" s="37" t="n">
        <f aca="false">(L95/G95)*5</f>
        <v>18750</v>
      </c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 t="n">
        <v>75000</v>
      </c>
      <c r="ES95" s="30"/>
      <c r="ET95" s="30"/>
      <c r="EU95" s="30"/>
      <c r="EV95" s="30"/>
      <c r="EW95" s="30"/>
      <c r="EX95" s="30" t="n">
        <v>5000</v>
      </c>
      <c r="EY95" s="30" t="n">
        <v>40000</v>
      </c>
      <c r="EZ95" s="30"/>
      <c r="FA95" s="30"/>
      <c r="FB95" s="30" t="n">
        <v>30000</v>
      </c>
      <c r="FC95" s="30"/>
      <c r="FD95" s="30" t="n">
        <v>15000</v>
      </c>
      <c r="FE95" s="30"/>
      <c r="FF95" s="30" t="n">
        <v>15000</v>
      </c>
      <c r="FG95" s="30"/>
      <c r="FH95" s="30" t="n">
        <v>15000</v>
      </c>
      <c r="FI95" s="30"/>
      <c r="FJ95" s="30"/>
      <c r="FK95" s="30" t="n">
        <v>20000</v>
      </c>
      <c r="FL95" s="30"/>
      <c r="FM95" s="30"/>
      <c r="FN95" s="30" t="n">
        <v>20000</v>
      </c>
      <c r="FO95" s="30"/>
      <c r="FP95" s="30" t="n">
        <v>20000</v>
      </c>
      <c r="FQ95" s="30"/>
      <c r="FR95" s="30"/>
      <c r="FS95" s="30" t="n">
        <v>20000</v>
      </c>
      <c r="FT95" s="30"/>
      <c r="FU95" s="30" t="n">
        <v>25000</v>
      </c>
      <c r="FV95" s="30" t="n">
        <v>20000</v>
      </c>
      <c r="FW95" s="30"/>
      <c r="FX95" s="30" t="n">
        <v>25000</v>
      </c>
      <c r="FY95" s="30"/>
      <c r="FZ95" s="30"/>
      <c r="GA95" s="30"/>
      <c r="GB95" s="30"/>
      <c r="GC95" s="30"/>
      <c r="GD95" s="30"/>
      <c r="GE95" s="30"/>
      <c r="GF95" s="30"/>
      <c r="GG95" s="30"/>
      <c r="GH95" s="30"/>
      <c r="GI95" s="30"/>
      <c r="GJ95" s="30"/>
      <c r="GK95" s="30"/>
      <c r="GL95" s="30"/>
      <c r="GM95" s="30"/>
      <c r="GN95" s="30"/>
      <c r="GO95" s="30"/>
      <c r="GP95" s="30"/>
      <c r="GQ95" s="30"/>
      <c r="GR95" s="30"/>
      <c r="GS95" s="30"/>
      <c r="GT95" s="30"/>
      <c r="GU95" s="30"/>
      <c r="GV95" s="30"/>
      <c r="GW95" s="30"/>
      <c r="GX95" s="30" t="n">
        <f aca="false">SUM(N95:GW95)</f>
        <v>345000</v>
      </c>
      <c r="GY95" s="36" t="n">
        <f aca="false">SUM(L95-GX95)</f>
        <v>255000</v>
      </c>
      <c r="GZ95" s="32" t="n">
        <f aca="false">SUM( H95/5)</f>
        <v>18.4</v>
      </c>
      <c r="HA95" s="32" t="n">
        <f aca="false">SUM( I95/5)</f>
        <v>13.6</v>
      </c>
      <c r="HB95" s="33" t="n">
        <f aca="false">SUM(GZ95/4)</f>
        <v>4.6</v>
      </c>
      <c r="HC95" s="33" t="n">
        <f aca="false">SUM(HA95/4)</f>
        <v>3.4</v>
      </c>
    </row>
    <row r="96" customFormat="false" ht="28.5" hidden="true" customHeight="true" outlineLevel="0" collapsed="false">
      <c r="A96" s="26" t="n">
        <v>3624</v>
      </c>
      <c r="B96" s="21" t="s">
        <v>374</v>
      </c>
      <c r="C96" s="21" t="s">
        <v>375</v>
      </c>
      <c r="D96" s="34"/>
      <c r="E96" s="25" t="n">
        <v>46051</v>
      </c>
      <c r="F96" s="25" t="n">
        <f aca="false">WORKDAY(E96,G96)</f>
        <v>46163</v>
      </c>
      <c r="G96" s="26" t="n">
        <v>80</v>
      </c>
      <c r="H96" s="27" t="n">
        <f aca="false">(GX96* 5)/M96</f>
        <v>60</v>
      </c>
      <c r="I96" s="27" t="n">
        <f aca="false">G96-H96</f>
        <v>20</v>
      </c>
      <c r="J96" s="35" t="s">
        <v>376</v>
      </c>
      <c r="K96" s="36" t="n">
        <v>100000</v>
      </c>
      <c r="L96" s="36" t="n">
        <v>216000</v>
      </c>
      <c r="M96" s="37" t="n">
        <f aca="false">(L96/G96)*5</f>
        <v>13500</v>
      </c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 t="s">
        <v>214</v>
      </c>
      <c r="EL96" s="30"/>
      <c r="EM96" s="30" t="s">
        <v>214</v>
      </c>
      <c r="EN96" s="30" t="s">
        <v>214</v>
      </c>
      <c r="EO96" s="30"/>
      <c r="EP96" s="30"/>
      <c r="EQ96" s="30"/>
      <c r="ER96" s="30"/>
      <c r="ES96" s="30" t="s">
        <v>214</v>
      </c>
      <c r="ET96" s="30"/>
      <c r="EU96" s="30"/>
      <c r="EV96" s="30" t="s">
        <v>214</v>
      </c>
      <c r="EW96" s="30"/>
      <c r="EX96" s="30"/>
      <c r="EY96" s="30"/>
      <c r="EZ96" s="30"/>
      <c r="FA96" s="30"/>
      <c r="FB96" s="30"/>
      <c r="FC96" s="30" t="s">
        <v>214</v>
      </c>
      <c r="FD96" s="30"/>
      <c r="FE96" s="30"/>
      <c r="FF96" s="30"/>
      <c r="FG96" s="30"/>
      <c r="FH96" s="30"/>
      <c r="FI96" s="30"/>
      <c r="FJ96" s="30"/>
      <c r="FK96" s="30"/>
      <c r="FL96" s="30" t="s">
        <v>214</v>
      </c>
      <c r="FM96" s="30"/>
      <c r="FN96" s="30"/>
      <c r="FO96" s="30"/>
      <c r="FP96" s="30"/>
      <c r="FQ96" s="30"/>
      <c r="FR96" s="30"/>
      <c r="FS96" s="30"/>
      <c r="FT96" s="30"/>
      <c r="FU96" s="30"/>
      <c r="FV96" s="30"/>
      <c r="FW96" s="30"/>
      <c r="FX96" s="30"/>
      <c r="FY96" s="30"/>
      <c r="FZ96" s="30"/>
      <c r="GA96" s="30"/>
      <c r="GB96" s="30"/>
      <c r="GC96" s="30"/>
      <c r="GD96" s="30"/>
      <c r="GE96" s="30"/>
      <c r="GF96" s="30"/>
      <c r="GG96" s="30"/>
      <c r="GH96" s="30" t="n">
        <v>54000</v>
      </c>
      <c r="GI96" s="30"/>
      <c r="GJ96" s="30"/>
      <c r="GK96" s="30" t="n">
        <v>54000</v>
      </c>
      <c r="GL96" s="30"/>
      <c r="GM96" s="30"/>
      <c r="GN96" s="30"/>
      <c r="GO96" s="30" t="n">
        <v>54000</v>
      </c>
      <c r="GP96" s="30"/>
      <c r="GQ96" s="30"/>
      <c r="GR96" s="30"/>
      <c r="GS96" s="30"/>
      <c r="GT96" s="30"/>
      <c r="GU96" s="30"/>
      <c r="GV96" s="30"/>
      <c r="GW96" s="30"/>
      <c r="GX96" s="30" t="n">
        <f aca="false">SUM(N96:GW96)</f>
        <v>162000</v>
      </c>
      <c r="GY96" s="36" t="n">
        <f aca="false">SUM(L96-GX96)</f>
        <v>54000</v>
      </c>
      <c r="GZ96" s="32" t="n">
        <f aca="false">SUM( H96/5)</f>
        <v>12</v>
      </c>
      <c r="HA96" s="32" t="n">
        <f aca="false">SUM( I96/5)</f>
        <v>4</v>
      </c>
      <c r="HB96" s="33" t="n">
        <f aca="false">SUM(GZ96/4)</f>
        <v>3</v>
      </c>
      <c r="HC96" s="33" t="n">
        <f aca="false">SUM(HA96/4)</f>
        <v>1</v>
      </c>
    </row>
    <row r="97" customFormat="false" ht="28.5" hidden="true" customHeight="true" outlineLevel="0" collapsed="false">
      <c r="A97" s="26" t="n">
        <v>3694</v>
      </c>
      <c r="B97" s="21" t="s">
        <v>374</v>
      </c>
      <c r="C97" s="21" t="s">
        <v>375</v>
      </c>
      <c r="D97" s="34"/>
      <c r="E97" s="25" t="n">
        <v>46102</v>
      </c>
      <c r="F97" s="25" t="n">
        <f aca="false">WORKDAY(E97,G97)</f>
        <v>46213</v>
      </c>
      <c r="G97" s="26" t="n">
        <v>80</v>
      </c>
      <c r="H97" s="27" t="n">
        <f aca="false">(GX97* 5)/M97</f>
        <v>26.6666666666667</v>
      </c>
      <c r="I97" s="27" t="n">
        <f aca="false">G97-H97</f>
        <v>53.3333333333333</v>
      </c>
      <c r="J97" s="35" t="s">
        <v>377</v>
      </c>
      <c r="K97" s="36" t="n">
        <v>150000</v>
      </c>
      <c r="L97" s="36" t="n">
        <v>288000</v>
      </c>
      <c r="M97" s="37" t="n">
        <f aca="false">(L97/G97)*5</f>
        <v>18000</v>
      </c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 t="s">
        <v>214</v>
      </c>
      <c r="EL97" s="30"/>
      <c r="EM97" s="30" t="s">
        <v>214</v>
      </c>
      <c r="EN97" s="30" t="s">
        <v>214</v>
      </c>
      <c r="EO97" s="30"/>
      <c r="EP97" s="30"/>
      <c r="EQ97" s="30"/>
      <c r="ER97" s="30"/>
      <c r="ES97" s="30" t="s">
        <v>214</v>
      </c>
      <c r="ET97" s="30"/>
      <c r="EU97" s="30"/>
      <c r="EV97" s="30" t="s">
        <v>214</v>
      </c>
      <c r="EW97" s="30"/>
      <c r="EX97" s="30"/>
      <c r="EY97" s="30"/>
      <c r="EZ97" s="30"/>
      <c r="FA97" s="30"/>
      <c r="FB97" s="30"/>
      <c r="FC97" s="30" t="s">
        <v>214</v>
      </c>
      <c r="FD97" s="30"/>
      <c r="FE97" s="30"/>
      <c r="FF97" s="30"/>
      <c r="FG97" s="30"/>
      <c r="FH97" s="30"/>
      <c r="FI97" s="30"/>
      <c r="FJ97" s="30"/>
      <c r="FK97" s="30"/>
      <c r="FL97" s="30" t="s">
        <v>214</v>
      </c>
      <c r="FM97" s="30"/>
      <c r="FN97" s="30"/>
      <c r="FO97" s="30"/>
      <c r="FP97" s="30"/>
      <c r="FQ97" s="30"/>
      <c r="FR97" s="30"/>
      <c r="FS97" s="30"/>
      <c r="FT97" s="30"/>
      <c r="FU97" s="30"/>
      <c r="FV97" s="30"/>
      <c r="FW97" s="30"/>
      <c r="FX97" s="30"/>
      <c r="FY97" s="30"/>
      <c r="FZ97" s="30"/>
      <c r="GA97" s="30"/>
      <c r="GB97" s="30"/>
      <c r="GC97" s="30"/>
      <c r="GD97" s="30"/>
      <c r="GE97" s="30"/>
      <c r="GF97" s="30"/>
      <c r="GG97" s="30"/>
      <c r="GH97" s="30"/>
      <c r="GI97" s="30"/>
      <c r="GJ97" s="30"/>
      <c r="GK97" s="30"/>
      <c r="GL97" s="30"/>
      <c r="GM97" s="30"/>
      <c r="GN97" s="30"/>
      <c r="GO97" s="30" t="n">
        <v>96000</v>
      </c>
      <c r="GP97" s="30"/>
      <c r="GQ97" s="30"/>
      <c r="GR97" s="30"/>
      <c r="GS97" s="30"/>
      <c r="GT97" s="30"/>
      <c r="GU97" s="30"/>
      <c r="GV97" s="30"/>
      <c r="GW97" s="30"/>
      <c r="GX97" s="30" t="n">
        <f aca="false">SUM(N97:GW97)</f>
        <v>96000</v>
      </c>
      <c r="GY97" s="36" t="n">
        <f aca="false">SUM(L97-GX97)</f>
        <v>192000</v>
      </c>
      <c r="GZ97" s="32" t="n">
        <f aca="false">SUM( H97/5)</f>
        <v>5.33333333333333</v>
      </c>
      <c r="HA97" s="32" t="n">
        <f aca="false">SUM( I97/5)</f>
        <v>10.6666666666667</v>
      </c>
      <c r="HB97" s="33" t="n">
        <f aca="false">SUM(GZ97/4)</f>
        <v>1.33333333333333</v>
      </c>
      <c r="HC97" s="33" t="n">
        <f aca="false">SUM(HA97/4)</f>
        <v>2.66666666666667</v>
      </c>
    </row>
    <row r="98" customFormat="false" ht="28.5" hidden="true" customHeight="true" outlineLevel="0" collapsed="false">
      <c r="A98" s="26" t="n">
        <v>3722</v>
      </c>
      <c r="B98" s="21" t="s">
        <v>374</v>
      </c>
      <c r="C98" s="21" t="s">
        <v>375</v>
      </c>
      <c r="D98" s="34"/>
      <c r="E98" s="25" t="n">
        <v>46125</v>
      </c>
      <c r="F98" s="25" t="n">
        <f aca="false">WORKDAY(E98,G98)</f>
        <v>46405</v>
      </c>
      <c r="G98" s="26" t="n">
        <v>200</v>
      </c>
      <c r="H98" s="27" t="n">
        <f aca="false">(GX98* 5)/M98</f>
        <v>20</v>
      </c>
      <c r="I98" s="27" t="n">
        <f aca="false">G98-H98</f>
        <v>180</v>
      </c>
      <c r="J98" s="35" t="s">
        <v>378</v>
      </c>
      <c r="K98" s="31" t="n">
        <v>600000</v>
      </c>
      <c r="L98" s="31" t="n">
        <v>1872000</v>
      </c>
      <c r="M98" s="37" t="n">
        <f aca="false">(L98/G98)*5</f>
        <v>46800</v>
      </c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 t="s">
        <v>214</v>
      </c>
      <c r="EL98" s="30"/>
      <c r="EM98" s="30" t="s">
        <v>214</v>
      </c>
      <c r="EN98" s="30" t="s">
        <v>214</v>
      </c>
      <c r="EO98" s="30"/>
      <c r="EP98" s="30"/>
      <c r="EQ98" s="30"/>
      <c r="ER98" s="30"/>
      <c r="ES98" s="30" t="s">
        <v>214</v>
      </c>
      <c r="ET98" s="30"/>
      <c r="EU98" s="30"/>
      <c r="EV98" s="30" t="s">
        <v>214</v>
      </c>
      <c r="EW98" s="30"/>
      <c r="EX98" s="30"/>
      <c r="EY98" s="30"/>
      <c r="EZ98" s="30"/>
      <c r="FA98" s="30"/>
      <c r="FB98" s="30"/>
      <c r="FC98" s="30" t="s">
        <v>214</v>
      </c>
      <c r="FD98" s="30"/>
      <c r="FE98" s="30"/>
      <c r="FF98" s="30"/>
      <c r="FG98" s="30"/>
      <c r="FH98" s="30"/>
      <c r="FI98" s="30"/>
      <c r="FJ98" s="30"/>
      <c r="FK98" s="30"/>
      <c r="FL98" s="30" t="s">
        <v>214</v>
      </c>
      <c r="FM98" s="30"/>
      <c r="FN98" s="30"/>
      <c r="FO98" s="30"/>
      <c r="FP98" s="30"/>
      <c r="FQ98" s="30"/>
      <c r="FR98" s="30"/>
      <c r="FS98" s="30"/>
      <c r="FT98" s="30"/>
      <c r="FU98" s="30"/>
      <c r="FV98" s="30"/>
      <c r="FW98" s="30"/>
      <c r="FX98" s="30"/>
      <c r="FY98" s="30"/>
      <c r="FZ98" s="30"/>
      <c r="GA98" s="30"/>
      <c r="GB98" s="30"/>
      <c r="GC98" s="30"/>
      <c r="GD98" s="30"/>
      <c r="GE98" s="30"/>
      <c r="GF98" s="30"/>
      <c r="GG98" s="30"/>
      <c r="GH98" s="30"/>
      <c r="GI98" s="30"/>
      <c r="GJ98" s="30"/>
      <c r="GK98" s="30"/>
      <c r="GL98" s="30"/>
      <c r="GM98" s="30"/>
      <c r="GN98" s="30"/>
      <c r="GO98" s="30" t="n">
        <v>187200</v>
      </c>
      <c r="GP98" s="30"/>
      <c r="GQ98" s="30"/>
      <c r="GR98" s="30"/>
      <c r="GS98" s="30"/>
      <c r="GT98" s="30"/>
      <c r="GU98" s="30"/>
      <c r="GV98" s="30"/>
      <c r="GW98" s="30"/>
      <c r="GX98" s="30" t="n">
        <f aca="false">SUM(N98:GW98)</f>
        <v>187200</v>
      </c>
      <c r="GY98" s="36" t="n">
        <f aca="false">SUM(L98-GX98)</f>
        <v>1684800</v>
      </c>
      <c r="GZ98" s="32" t="n">
        <f aca="false">SUM( H98/5)</f>
        <v>4</v>
      </c>
      <c r="HA98" s="32" t="n">
        <f aca="false">SUM( I98/5)</f>
        <v>36</v>
      </c>
      <c r="HB98" s="33" t="n">
        <f aca="false">SUM(GZ98/4)</f>
        <v>1</v>
      </c>
      <c r="HC98" s="33" t="n">
        <f aca="false">SUM(HA98/4)</f>
        <v>9</v>
      </c>
    </row>
    <row r="99" customFormat="false" ht="28.5" hidden="true" customHeight="true" outlineLevel="0" collapsed="false">
      <c r="A99" s="26" t="n">
        <v>3761</v>
      </c>
      <c r="B99" s="21" t="s">
        <v>374</v>
      </c>
      <c r="C99" s="21" t="s">
        <v>375</v>
      </c>
      <c r="D99" s="34"/>
      <c r="E99" s="25" t="n">
        <v>46153</v>
      </c>
      <c r="F99" s="25" t="n">
        <f aca="false">WORKDAY(E99,G99)</f>
        <v>46195</v>
      </c>
      <c r="G99" s="26" t="n">
        <v>30</v>
      </c>
      <c r="H99" s="27" t="n">
        <f aca="false">(GX99* 5)/M99</f>
        <v>0</v>
      </c>
      <c r="I99" s="27" t="n">
        <f aca="false">G99-H99</f>
        <v>30</v>
      </c>
      <c r="J99" s="35" t="s">
        <v>379</v>
      </c>
      <c r="K99" s="36" t="n">
        <v>250000</v>
      </c>
      <c r="L99" s="36" t="n">
        <v>351000</v>
      </c>
      <c r="M99" s="37" t="n">
        <f aca="false">(L99/G99)*5</f>
        <v>58500</v>
      </c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 t="s">
        <v>214</v>
      </c>
      <c r="EL99" s="30"/>
      <c r="EM99" s="30" t="s">
        <v>214</v>
      </c>
      <c r="EN99" s="30" t="s">
        <v>214</v>
      </c>
      <c r="EO99" s="30"/>
      <c r="EP99" s="30"/>
      <c r="EQ99" s="30"/>
      <c r="ER99" s="30"/>
      <c r="ES99" s="30" t="s">
        <v>214</v>
      </c>
      <c r="ET99" s="30"/>
      <c r="EU99" s="30"/>
      <c r="EV99" s="30" t="s">
        <v>214</v>
      </c>
      <c r="EW99" s="30"/>
      <c r="EX99" s="30"/>
      <c r="EY99" s="30"/>
      <c r="EZ99" s="30"/>
      <c r="FA99" s="30"/>
      <c r="FB99" s="30"/>
      <c r="FC99" s="30" t="s">
        <v>214</v>
      </c>
      <c r="FD99" s="30"/>
      <c r="FE99" s="30"/>
      <c r="FF99" s="30"/>
      <c r="FG99" s="30"/>
      <c r="FH99" s="30"/>
      <c r="FI99" s="30"/>
      <c r="FJ99" s="30"/>
      <c r="FK99" s="30"/>
      <c r="FL99" s="30" t="s">
        <v>214</v>
      </c>
      <c r="FM99" s="30"/>
      <c r="FN99" s="30"/>
      <c r="FO99" s="30"/>
      <c r="FP99" s="30"/>
      <c r="FQ99" s="30"/>
      <c r="FR99" s="30"/>
      <c r="FS99" s="30"/>
      <c r="FT99" s="30"/>
      <c r="FU99" s="30"/>
      <c r="FV99" s="30"/>
      <c r="FW99" s="30"/>
      <c r="FX99" s="30"/>
      <c r="FY99" s="30"/>
      <c r="FZ99" s="30"/>
      <c r="GA99" s="30"/>
      <c r="GB99" s="30"/>
      <c r="GC99" s="30"/>
      <c r="GD99" s="30"/>
      <c r="GE99" s="30"/>
      <c r="GF99" s="30"/>
      <c r="GG99" s="30"/>
      <c r="GH99" s="30"/>
      <c r="GI99" s="30"/>
      <c r="GJ99" s="30"/>
      <c r="GK99" s="30"/>
      <c r="GL99" s="30"/>
      <c r="GM99" s="30"/>
      <c r="GN99" s="30"/>
      <c r="GO99" s="30"/>
      <c r="GP99" s="30"/>
      <c r="GQ99" s="30"/>
      <c r="GR99" s="30"/>
      <c r="GS99" s="30"/>
      <c r="GT99" s="30"/>
      <c r="GU99" s="30"/>
      <c r="GV99" s="30"/>
      <c r="GW99" s="30"/>
      <c r="GX99" s="30" t="n">
        <f aca="false">SUM(N99:GW99)</f>
        <v>0</v>
      </c>
      <c r="GY99" s="36" t="n">
        <f aca="false">SUM(L99-GX99)</f>
        <v>351000</v>
      </c>
      <c r="GZ99" s="32" t="n">
        <f aca="false">SUM( H99/5)</f>
        <v>0</v>
      </c>
      <c r="HA99" s="32" t="n">
        <f aca="false">SUM( I99/5)</f>
        <v>6</v>
      </c>
      <c r="HB99" s="33" t="n">
        <f aca="false">SUM(GZ99/4)</f>
        <v>0</v>
      </c>
      <c r="HC99" s="33" t="n">
        <f aca="false">SUM(HA99/4)</f>
        <v>1.5</v>
      </c>
    </row>
    <row r="100" customFormat="false" ht="28.5" hidden="true" customHeight="true" outlineLevel="0" collapsed="false">
      <c r="A100" s="26" t="n">
        <v>3799</v>
      </c>
      <c r="B100" s="21" t="s">
        <v>380</v>
      </c>
      <c r="C100" s="21" t="s">
        <v>292</v>
      </c>
      <c r="D100" s="34"/>
      <c r="E100" s="25" t="n">
        <v>46182</v>
      </c>
      <c r="F100" s="25" t="n">
        <f aca="false">WORKDAY(E100,G100)</f>
        <v>46282</v>
      </c>
      <c r="G100" s="26" t="n">
        <v>72</v>
      </c>
      <c r="H100" s="27" t="n">
        <f aca="false">(GX100* 5)/M100</f>
        <v>20</v>
      </c>
      <c r="I100" s="27" t="n">
        <f aca="false">G100-H100</f>
        <v>52</v>
      </c>
      <c r="J100" s="22" t="s">
        <v>381</v>
      </c>
      <c r="K100" s="36" t="n">
        <v>100000</v>
      </c>
      <c r="L100" s="36" t="n">
        <v>216000</v>
      </c>
      <c r="M100" s="37" t="n">
        <f aca="false">(L100/G100)*5</f>
        <v>15000</v>
      </c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 t="s">
        <v>214</v>
      </c>
      <c r="EL100" s="30"/>
      <c r="EM100" s="30" t="s">
        <v>214</v>
      </c>
      <c r="EN100" s="30" t="s">
        <v>214</v>
      </c>
      <c r="EO100" s="30"/>
      <c r="EP100" s="30"/>
      <c r="EQ100" s="30"/>
      <c r="ER100" s="30"/>
      <c r="ES100" s="30" t="s">
        <v>214</v>
      </c>
      <c r="ET100" s="30"/>
      <c r="EU100" s="30"/>
      <c r="EV100" s="30" t="s">
        <v>214</v>
      </c>
      <c r="EW100" s="30"/>
      <c r="EX100" s="30"/>
      <c r="EY100" s="30"/>
      <c r="EZ100" s="30"/>
      <c r="FA100" s="30"/>
      <c r="FB100" s="30"/>
      <c r="FC100" s="30" t="s">
        <v>214</v>
      </c>
      <c r="FD100" s="30"/>
      <c r="FE100" s="30"/>
      <c r="FF100" s="30"/>
      <c r="FG100" s="30"/>
      <c r="FH100" s="30"/>
      <c r="FI100" s="30"/>
      <c r="FJ100" s="30"/>
      <c r="FK100" s="30"/>
      <c r="FL100" s="30" t="s">
        <v>214</v>
      </c>
      <c r="FM100" s="30"/>
      <c r="FN100" s="30"/>
      <c r="FO100" s="30"/>
      <c r="FP100" s="30"/>
      <c r="FQ100" s="30"/>
      <c r="FR100" s="30"/>
      <c r="FS100" s="30"/>
      <c r="FT100" s="30"/>
      <c r="FU100" s="30"/>
      <c r="FV100" s="30"/>
      <c r="FW100" s="30"/>
      <c r="FX100" s="30"/>
      <c r="FY100" s="30"/>
      <c r="FZ100" s="30"/>
      <c r="GA100" s="30"/>
      <c r="GB100" s="30"/>
      <c r="GC100" s="30"/>
      <c r="GD100" s="30"/>
      <c r="GE100" s="30"/>
      <c r="GF100" s="30"/>
      <c r="GG100" s="30"/>
      <c r="GH100" s="30"/>
      <c r="GI100" s="30"/>
      <c r="GJ100" s="30"/>
      <c r="GK100" s="30"/>
      <c r="GL100" s="30"/>
      <c r="GM100" s="30"/>
      <c r="GN100" s="30"/>
      <c r="GO100" s="30"/>
      <c r="GP100" s="30"/>
      <c r="GQ100" s="30"/>
      <c r="GR100" s="30"/>
      <c r="GS100" s="30"/>
      <c r="GT100" s="30" t="n">
        <v>15000</v>
      </c>
      <c r="GU100" s="30" t="n">
        <v>15000</v>
      </c>
      <c r="GV100" s="30" t="n">
        <v>15000</v>
      </c>
      <c r="GW100" s="30" t="n">
        <v>15000</v>
      </c>
      <c r="GX100" s="30" t="n">
        <f aca="false">SUM(N100:GW100)</f>
        <v>60000</v>
      </c>
      <c r="GY100" s="36" t="n">
        <f aca="false">SUM(L100-GX100)</f>
        <v>156000</v>
      </c>
      <c r="GZ100" s="32" t="n">
        <f aca="false">SUM( H100/5)</f>
        <v>4</v>
      </c>
      <c r="HA100" s="32" t="n">
        <f aca="false">SUM( I100/5)</f>
        <v>10.4</v>
      </c>
      <c r="HB100" s="33" t="n">
        <f aca="false">SUM(GZ100/4)</f>
        <v>1</v>
      </c>
      <c r="HC100" s="33" t="n">
        <f aca="false">SUM(HA100/4)</f>
        <v>2.6</v>
      </c>
    </row>
    <row r="101" customFormat="false" ht="28.5" hidden="true" customHeight="true" outlineLevel="0" collapsed="false">
      <c r="A101" s="26" t="n">
        <v>3732</v>
      </c>
      <c r="B101" s="21" t="s">
        <v>382</v>
      </c>
      <c r="C101" s="21" t="s">
        <v>383</v>
      </c>
      <c r="D101" s="34"/>
      <c r="E101" s="25" t="n">
        <v>46134</v>
      </c>
      <c r="F101" s="25" t="n">
        <f aca="false">WORKDAY(E101,G101)</f>
        <v>46414</v>
      </c>
      <c r="G101" s="26" t="n">
        <v>200</v>
      </c>
      <c r="H101" s="27" t="n">
        <f aca="false">(GX101* 5)/M101</f>
        <v>40</v>
      </c>
      <c r="I101" s="27" t="n">
        <f aca="false">G101-H101</f>
        <v>160</v>
      </c>
      <c r="J101" s="35" t="s">
        <v>384</v>
      </c>
      <c r="K101" s="36" t="n">
        <v>150000</v>
      </c>
      <c r="L101" s="36" t="n">
        <v>468000</v>
      </c>
      <c r="M101" s="29" t="n">
        <f aca="false">(L101/G101)*5</f>
        <v>11700</v>
      </c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 t="s">
        <v>214</v>
      </c>
      <c r="EL101" s="30"/>
      <c r="EM101" s="30" t="s">
        <v>214</v>
      </c>
      <c r="EN101" s="30" t="s">
        <v>214</v>
      </c>
      <c r="EO101" s="30"/>
      <c r="EP101" s="30"/>
      <c r="EQ101" s="30"/>
      <c r="ER101" s="30"/>
      <c r="ES101" s="30" t="s">
        <v>214</v>
      </c>
      <c r="ET101" s="30"/>
      <c r="EU101" s="30"/>
      <c r="EV101" s="30" t="s">
        <v>214</v>
      </c>
      <c r="EW101" s="30"/>
      <c r="EX101" s="30"/>
      <c r="EY101" s="30"/>
      <c r="EZ101" s="30"/>
      <c r="FA101" s="30"/>
      <c r="FB101" s="30"/>
      <c r="FC101" s="30" t="s">
        <v>214</v>
      </c>
      <c r="FD101" s="30"/>
      <c r="FE101" s="30"/>
      <c r="FF101" s="30"/>
      <c r="FG101" s="30"/>
      <c r="FH101" s="30"/>
      <c r="FI101" s="30"/>
      <c r="FJ101" s="30"/>
      <c r="FK101" s="30"/>
      <c r="FL101" s="30" t="s">
        <v>214</v>
      </c>
      <c r="FM101" s="30"/>
      <c r="FN101" s="30"/>
      <c r="FO101" s="30"/>
      <c r="FP101" s="30"/>
      <c r="FQ101" s="30"/>
      <c r="FR101" s="30"/>
      <c r="FS101" s="30"/>
      <c r="FT101" s="30"/>
      <c r="FU101" s="30"/>
      <c r="FV101" s="30"/>
      <c r="FW101" s="30"/>
      <c r="FX101" s="30"/>
      <c r="FY101" s="30"/>
      <c r="FZ101" s="30"/>
      <c r="GA101" s="30"/>
      <c r="GB101" s="30"/>
      <c r="GC101" s="30"/>
      <c r="GD101" s="30"/>
      <c r="GE101" s="30"/>
      <c r="GF101" s="30"/>
      <c r="GG101" s="30"/>
      <c r="GH101" s="30"/>
      <c r="GI101" s="30"/>
      <c r="GJ101" s="30"/>
      <c r="GK101" s="30"/>
      <c r="GL101" s="30"/>
      <c r="GM101" s="30"/>
      <c r="GN101" s="30"/>
      <c r="GO101" s="30"/>
      <c r="GP101" s="30"/>
      <c r="GQ101" s="30" t="n">
        <v>46800</v>
      </c>
      <c r="GR101" s="30"/>
      <c r="GS101" s="30"/>
      <c r="GT101" s="30"/>
      <c r="GU101" s="30" t="n">
        <v>46800</v>
      </c>
      <c r="GV101" s="30"/>
      <c r="GW101" s="30"/>
      <c r="GX101" s="30" t="n">
        <f aca="false">SUM(N101:GW101)</f>
        <v>93600</v>
      </c>
      <c r="GY101" s="36" t="n">
        <f aca="false">SUM(L101-GX101)</f>
        <v>374400</v>
      </c>
      <c r="GZ101" s="32" t="n">
        <f aca="false">SUM( H101/5)</f>
        <v>8</v>
      </c>
      <c r="HA101" s="32" t="n">
        <f aca="false">SUM( I101/5)</f>
        <v>32</v>
      </c>
      <c r="HB101" s="33" t="n">
        <f aca="false">SUM(GZ101/4)</f>
        <v>2</v>
      </c>
      <c r="HC101" s="33" t="n">
        <f aca="false">SUM(HA101/4)</f>
        <v>8</v>
      </c>
    </row>
    <row r="102" customFormat="false" ht="28.5" hidden="true" customHeight="true" outlineLevel="0" collapsed="false">
      <c r="A102" s="26" t="n">
        <v>3443</v>
      </c>
      <c r="B102" s="21" t="s">
        <v>385</v>
      </c>
      <c r="C102" s="21" t="s">
        <v>386</v>
      </c>
      <c r="D102" s="34"/>
      <c r="E102" s="25" t="n">
        <v>45782</v>
      </c>
      <c r="F102" s="25" t="n">
        <f aca="false">WORKDAY(E102,G102)</f>
        <v>45950</v>
      </c>
      <c r="G102" s="26" t="n">
        <v>120</v>
      </c>
      <c r="H102" s="27" t="n">
        <f aca="false">(GX102* 5)/M102</f>
        <v>97.3097345132743</v>
      </c>
      <c r="I102" s="27" t="n">
        <f aca="false">G102-H102</f>
        <v>22.6902654867257</v>
      </c>
      <c r="J102" s="35" t="s">
        <v>387</v>
      </c>
      <c r="K102" s="57" t="n">
        <v>200000</v>
      </c>
      <c r="L102" s="36" t="n">
        <v>678000</v>
      </c>
      <c r="M102" s="29" t="n">
        <f aca="false">(L102/G102)*5</f>
        <v>28250</v>
      </c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 t="n">
        <v>50000</v>
      </c>
      <c r="ES102" s="30"/>
      <c r="ET102" s="30"/>
      <c r="EU102" s="30"/>
      <c r="EV102" s="30" t="n">
        <v>7800</v>
      </c>
      <c r="EW102" s="30"/>
      <c r="EX102" s="30" t="s">
        <v>214</v>
      </c>
      <c r="EY102" s="30"/>
      <c r="EZ102" s="30"/>
      <c r="FA102" s="30" t="n">
        <v>88000</v>
      </c>
      <c r="FB102" s="30"/>
      <c r="FC102" s="30"/>
      <c r="FD102" s="30"/>
      <c r="FE102" s="30" t="n">
        <v>88000</v>
      </c>
      <c r="FF102" s="30"/>
      <c r="FG102" s="30"/>
      <c r="FH102" s="30"/>
      <c r="FI102" s="30"/>
      <c r="FJ102" s="30"/>
      <c r="FK102" s="30"/>
      <c r="FL102" s="30"/>
      <c r="FM102" s="30"/>
      <c r="FN102" s="30" t="n">
        <v>88000</v>
      </c>
      <c r="FO102" s="30"/>
      <c r="FP102" s="30"/>
      <c r="FQ102" s="30"/>
      <c r="FR102" s="30"/>
      <c r="FS102" s="30"/>
      <c r="FT102" s="30"/>
      <c r="FU102" s="30"/>
      <c r="FV102" s="30"/>
      <c r="FW102" s="30" t="n">
        <v>88000</v>
      </c>
      <c r="FX102" s="30"/>
      <c r="FY102" s="30"/>
      <c r="FZ102" s="30"/>
      <c r="GA102" s="30"/>
      <c r="GB102" s="30"/>
      <c r="GC102" s="30"/>
      <c r="GD102" s="30"/>
      <c r="GE102" s="30"/>
      <c r="GF102" s="30"/>
      <c r="GG102" s="30"/>
      <c r="GH102" s="30"/>
      <c r="GI102" s="30"/>
      <c r="GJ102" s="30" t="n">
        <v>30000</v>
      </c>
      <c r="GK102" s="30"/>
      <c r="GL102" s="30"/>
      <c r="GM102" s="30"/>
      <c r="GN102" s="30" t="n">
        <v>30000</v>
      </c>
      <c r="GO102" s="30"/>
      <c r="GP102" s="30"/>
      <c r="GQ102" s="30"/>
      <c r="GR102" s="30" t="n">
        <v>30000</v>
      </c>
      <c r="GS102" s="30"/>
      <c r="GT102" s="30"/>
      <c r="GU102" s="30"/>
      <c r="GV102" s="30"/>
      <c r="GW102" s="30" t="n">
        <v>50000</v>
      </c>
      <c r="GX102" s="30" t="n">
        <f aca="false">SUM(N102:GW102)</f>
        <v>549800</v>
      </c>
      <c r="GY102" s="36" t="n">
        <f aca="false">SUM(L102-GX102)</f>
        <v>128200</v>
      </c>
      <c r="GZ102" s="32" t="n">
        <f aca="false">SUM( H102/5)</f>
        <v>19.4619469026549</v>
      </c>
      <c r="HA102" s="32" t="n">
        <f aca="false">SUM( I102/5)</f>
        <v>4.53805309734513</v>
      </c>
      <c r="HB102" s="33" t="n">
        <f aca="false">SUM(GZ102/4)</f>
        <v>4.86548672566372</v>
      </c>
      <c r="HC102" s="33" t="n">
        <f aca="false">SUM(HA102/4)</f>
        <v>1.13451327433628</v>
      </c>
    </row>
    <row r="103" customFormat="false" ht="28.5" hidden="true" customHeight="true" outlineLevel="0" collapsed="false">
      <c r="A103" s="26" t="n">
        <v>3516</v>
      </c>
      <c r="B103" s="21" t="s">
        <v>385</v>
      </c>
      <c r="C103" s="21" t="s">
        <v>386</v>
      </c>
      <c r="D103" s="34"/>
      <c r="E103" s="25" t="n">
        <v>45873</v>
      </c>
      <c r="F103" s="25" t="n">
        <f aca="false">WORKDAY(E103,G103)</f>
        <v>45985</v>
      </c>
      <c r="G103" s="26" t="n">
        <v>80</v>
      </c>
      <c r="H103" s="27" t="n">
        <f aca="false">(GX103* 5)/M103</f>
        <v>60</v>
      </c>
      <c r="I103" s="27" t="n">
        <f aca="false">G103-H103</f>
        <v>20</v>
      </c>
      <c r="J103" s="35" t="s">
        <v>388</v>
      </c>
      <c r="K103" s="57" t="n">
        <v>50000</v>
      </c>
      <c r="L103" s="36" t="n">
        <v>108000</v>
      </c>
      <c r="M103" s="29" t="n">
        <f aca="false">(L103/G103)*5</f>
        <v>6750</v>
      </c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  <c r="DX103" s="30"/>
      <c r="DY103" s="30"/>
      <c r="DZ103" s="30"/>
      <c r="EA103" s="30"/>
      <c r="EB103" s="30"/>
      <c r="EC103" s="30"/>
      <c r="ED103" s="30"/>
      <c r="EE103" s="30"/>
      <c r="EF103" s="30"/>
      <c r="EG103" s="30"/>
      <c r="EH103" s="30"/>
      <c r="EI103" s="30"/>
      <c r="EJ103" s="30"/>
      <c r="EK103" s="30" t="s">
        <v>214</v>
      </c>
      <c r="EL103" s="30"/>
      <c r="EM103" s="30" t="s">
        <v>214</v>
      </c>
      <c r="EN103" s="30" t="s">
        <v>214</v>
      </c>
      <c r="EO103" s="30"/>
      <c r="EP103" s="30"/>
      <c r="EQ103" s="30"/>
      <c r="ER103" s="30"/>
      <c r="ES103" s="30" t="s">
        <v>214</v>
      </c>
      <c r="ET103" s="30"/>
      <c r="EU103" s="30"/>
      <c r="EV103" s="30" t="s">
        <v>214</v>
      </c>
      <c r="EW103" s="30"/>
      <c r="EX103" s="30"/>
      <c r="EY103" s="30"/>
      <c r="EZ103" s="30"/>
      <c r="FA103" s="30"/>
      <c r="FB103" s="30"/>
      <c r="FC103" s="30"/>
      <c r="FD103" s="30"/>
      <c r="FE103" s="30" t="n">
        <v>27000</v>
      </c>
      <c r="FF103" s="30"/>
      <c r="FG103" s="30"/>
      <c r="FH103" s="30"/>
      <c r="FI103" s="30"/>
      <c r="FJ103" s="30"/>
      <c r="FK103" s="30"/>
      <c r="FL103" s="30"/>
      <c r="FM103" s="30"/>
      <c r="FN103" s="30" t="n">
        <v>27000</v>
      </c>
      <c r="FO103" s="30"/>
      <c r="FP103" s="30"/>
      <c r="FQ103" s="30"/>
      <c r="FR103" s="30"/>
      <c r="FS103" s="30"/>
      <c r="FT103" s="30"/>
      <c r="FU103" s="30"/>
      <c r="FV103" s="30"/>
      <c r="FW103" s="30" t="n">
        <v>27000</v>
      </c>
      <c r="FX103" s="30"/>
      <c r="FY103" s="30"/>
      <c r="FZ103" s="30"/>
      <c r="GA103" s="30"/>
      <c r="GB103" s="30"/>
      <c r="GC103" s="30"/>
      <c r="GD103" s="30"/>
      <c r="GE103" s="30"/>
      <c r="GF103" s="30"/>
      <c r="GG103" s="30"/>
      <c r="GH103" s="30"/>
      <c r="GI103" s="30"/>
      <c r="GJ103" s="30"/>
      <c r="GK103" s="30"/>
      <c r="GL103" s="30"/>
      <c r="GM103" s="30"/>
      <c r="GN103" s="30"/>
      <c r="GO103" s="30"/>
      <c r="GP103" s="30"/>
      <c r="GQ103" s="30"/>
      <c r="GR103" s="30"/>
      <c r="GS103" s="30"/>
      <c r="GT103" s="30"/>
      <c r="GU103" s="30"/>
      <c r="GV103" s="30"/>
      <c r="GW103" s="30"/>
      <c r="GX103" s="30" t="n">
        <f aca="false">SUM(N103:GW103)</f>
        <v>81000</v>
      </c>
      <c r="GY103" s="36" t="n">
        <f aca="false">SUM(L103-GX103)</f>
        <v>27000</v>
      </c>
      <c r="GZ103" s="32" t="n">
        <f aca="false">SUM( H103/5)</f>
        <v>12</v>
      </c>
      <c r="HA103" s="32" t="n">
        <f aca="false">SUM( I103/5)</f>
        <v>4</v>
      </c>
      <c r="HB103" s="33" t="n">
        <f aca="false">SUM(GZ103/4)</f>
        <v>3</v>
      </c>
      <c r="HC103" s="33" t="n">
        <f aca="false">SUM(HA103/4)</f>
        <v>1</v>
      </c>
    </row>
    <row r="104" customFormat="false" ht="28.5" hidden="true" customHeight="true" outlineLevel="0" collapsed="false">
      <c r="A104" s="26" t="n">
        <v>3583</v>
      </c>
      <c r="B104" s="21" t="s">
        <v>385</v>
      </c>
      <c r="C104" s="21" t="s">
        <v>386</v>
      </c>
      <c r="D104" s="34"/>
      <c r="E104" s="25" t="n">
        <v>45891</v>
      </c>
      <c r="F104" s="25" t="n">
        <f aca="false">WORKDAY(E104,G104)</f>
        <v>46003</v>
      </c>
      <c r="G104" s="26" t="n">
        <v>80</v>
      </c>
      <c r="H104" s="27" t="n">
        <f aca="false">(GX104* 5)/M104</f>
        <v>26.984126984127</v>
      </c>
      <c r="I104" s="27" t="n">
        <f aca="false">G104-H104</f>
        <v>53.015873015873</v>
      </c>
      <c r="J104" s="35" t="s">
        <v>389</v>
      </c>
      <c r="K104" s="36" t="n">
        <v>70000</v>
      </c>
      <c r="L104" s="36" t="n">
        <v>151200</v>
      </c>
      <c r="M104" s="29" t="n">
        <f aca="false">(L104/G104)*5</f>
        <v>9450</v>
      </c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  <c r="DZ104" s="30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 t="s">
        <v>214</v>
      </c>
      <c r="EL104" s="30"/>
      <c r="EM104" s="30" t="s">
        <v>214</v>
      </c>
      <c r="EN104" s="30" t="s">
        <v>214</v>
      </c>
      <c r="EO104" s="30"/>
      <c r="EP104" s="30"/>
      <c r="EQ104" s="30"/>
      <c r="ER104" s="30"/>
      <c r="ES104" s="30" t="s">
        <v>214</v>
      </c>
      <c r="ET104" s="30"/>
      <c r="EU104" s="30"/>
      <c r="EV104" s="30" t="s">
        <v>214</v>
      </c>
      <c r="EW104" s="30"/>
      <c r="EX104" s="30"/>
      <c r="EY104" s="30"/>
      <c r="EZ104" s="30"/>
      <c r="FA104" s="30"/>
      <c r="FB104" s="30"/>
      <c r="FC104" s="30" t="s">
        <v>214</v>
      </c>
      <c r="FD104" s="30"/>
      <c r="FE104" s="30" t="n">
        <v>3000</v>
      </c>
      <c r="FF104" s="30"/>
      <c r="FG104" s="30"/>
      <c r="FH104" s="30"/>
      <c r="FI104" s="30"/>
      <c r="FJ104" s="30"/>
      <c r="FK104" s="30"/>
      <c r="FL104" s="30"/>
      <c r="FM104" s="30"/>
      <c r="FN104" s="30" t="n">
        <v>13000</v>
      </c>
      <c r="FO104" s="30"/>
      <c r="FP104" s="30"/>
      <c r="FQ104" s="30"/>
      <c r="FR104" s="30"/>
      <c r="FS104" s="30"/>
      <c r="FT104" s="30"/>
      <c r="FU104" s="30"/>
      <c r="FV104" s="30"/>
      <c r="FW104" s="30" t="n">
        <v>35000</v>
      </c>
      <c r="FX104" s="30"/>
      <c r="FY104" s="30"/>
      <c r="FZ104" s="30"/>
      <c r="GA104" s="30"/>
      <c r="GB104" s="30"/>
      <c r="GC104" s="30"/>
      <c r="GD104" s="30"/>
      <c r="GE104" s="30"/>
      <c r="GF104" s="30"/>
      <c r="GG104" s="30"/>
      <c r="GH104" s="30"/>
      <c r="GI104" s="30"/>
      <c r="GJ104" s="30"/>
      <c r="GK104" s="30"/>
      <c r="GL104" s="30"/>
      <c r="GM104" s="30"/>
      <c r="GN104" s="30"/>
      <c r="GO104" s="30"/>
      <c r="GP104" s="30"/>
      <c r="GQ104" s="30"/>
      <c r="GR104" s="30"/>
      <c r="GS104" s="30"/>
      <c r="GT104" s="30"/>
      <c r="GU104" s="30"/>
      <c r="GV104" s="30"/>
      <c r="GW104" s="30"/>
      <c r="GX104" s="30" t="n">
        <f aca="false">SUM(N104:GW104)</f>
        <v>51000</v>
      </c>
      <c r="GY104" s="36" t="n">
        <f aca="false">SUM(L104-GX104)</f>
        <v>100200</v>
      </c>
      <c r="GZ104" s="32" t="n">
        <f aca="false">SUM( H104/5)</f>
        <v>5.3968253968254</v>
      </c>
      <c r="HA104" s="32" t="n">
        <f aca="false">SUM( I104/5)</f>
        <v>10.6031746031746</v>
      </c>
      <c r="HB104" s="33" t="n">
        <f aca="false">SUM(GZ104/4)</f>
        <v>1.34920634920635</v>
      </c>
      <c r="HC104" s="33" t="n">
        <f aca="false">SUM(HA104/4)</f>
        <v>2.65079365079365</v>
      </c>
      <c r="HE104" s="1" t="s">
        <v>214</v>
      </c>
    </row>
    <row r="105" customFormat="false" ht="28.5" hidden="true" customHeight="true" outlineLevel="0" collapsed="false">
      <c r="A105" s="26" t="n">
        <v>3425</v>
      </c>
      <c r="B105" s="21" t="s">
        <v>385</v>
      </c>
      <c r="C105" s="21" t="s">
        <v>386</v>
      </c>
      <c r="D105" s="34"/>
      <c r="E105" s="25" t="n">
        <v>45908</v>
      </c>
      <c r="F105" s="25" t="n">
        <f aca="false">WORKDAY(E105,G105)</f>
        <v>46020</v>
      </c>
      <c r="G105" s="26" t="n">
        <v>80</v>
      </c>
      <c r="H105" s="27" t="n">
        <f aca="false">(GX105* 5)/M105</f>
        <v>0</v>
      </c>
      <c r="I105" s="27" t="n">
        <f aca="false">G105-H105</f>
        <v>80</v>
      </c>
      <c r="J105" s="35" t="s">
        <v>390</v>
      </c>
      <c r="K105" s="36" t="n">
        <v>30000</v>
      </c>
      <c r="L105" s="36" t="n">
        <v>64800</v>
      </c>
      <c r="M105" s="37" t="n">
        <f aca="false">(L105/G105)*5</f>
        <v>4050</v>
      </c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  <c r="DU105" s="30"/>
      <c r="DV105" s="30"/>
      <c r="DW105" s="30"/>
      <c r="DX105" s="30"/>
      <c r="DY105" s="30"/>
      <c r="DZ105" s="30"/>
      <c r="EA105" s="30"/>
      <c r="EB105" s="30"/>
      <c r="EC105" s="30"/>
      <c r="ED105" s="30"/>
      <c r="EE105" s="30"/>
      <c r="EF105" s="30"/>
      <c r="EG105" s="30"/>
      <c r="EH105" s="30"/>
      <c r="EI105" s="30"/>
      <c r="EJ105" s="30"/>
      <c r="EK105" s="30" t="s">
        <v>214</v>
      </c>
      <c r="EL105" s="30"/>
      <c r="EM105" s="30" t="s">
        <v>214</v>
      </c>
      <c r="EN105" s="30" t="s">
        <v>214</v>
      </c>
      <c r="EO105" s="30"/>
      <c r="EP105" s="30"/>
      <c r="EQ105" s="30"/>
      <c r="ER105" s="30"/>
      <c r="ES105" s="30" t="s">
        <v>214</v>
      </c>
      <c r="ET105" s="30"/>
      <c r="EU105" s="30"/>
      <c r="EV105" s="30" t="s">
        <v>214</v>
      </c>
      <c r="EW105" s="30"/>
      <c r="EX105" s="30"/>
      <c r="EY105" s="30"/>
      <c r="EZ105" s="30"/>
      <c r="FA105" s="30"/>
      <c r="FB105" s="30"/>
      <c r="FC105" s="30" t="s">
        <v>214</v>
      </c>
      <c r="FD105" s="30"/>
      <c r="FE105" s="30"/>
      <c r="FF105" s="30"/>
      <c r="FG105" s="30"/>
      <c r="FH105" s="30"/>
      <c r="FI105" s="30"/>
      <c r="FJ105" s="30"/>
      <c r="FK105" s="30"/>
      <c r="FL105" s="30"/>
      <c r="FM105" s="30"/>
      <c r="FN105" s="30"/>
      <c r="FO105" s="30"/>
      <c r="FP105" s="30"/>
      <c r="FQ105" s="30"/>
      <c r="FR105" s="30"/>
      <c r="FS105" s="30"/>
      <c r="FT105" s="30"/>
      <c r="FU105" s="30"/>
      <c r="FV105" s="30"/>
      <c r="FW105" s="30"/>
      <c r="FX105" s="30"/>
      <c r="FY105" s="30"/>
      <c r="FZ105" s="30"/>
      <c r="GA105" s="30"/>
      <c r="GB105" s="30"/>
      <c r="GC105" s="30"/>
      <c r="GD105" s="30"/>
      <c r="GE105" s="30"/>
      <c r="GF105" s="30"/>
      <c r="GG105" s="30"/>
      <c r="GH105" s="30"/>
      <c r="GI105" s="30"/>
      <c r="GJ105" s="30"/>
      <c r="GK105" s="30"/>
      <c r="GL105" s="30"/>
      <c r="GM105" s="30"/>
      <c r="GN105" s="30"/>
      <c r="GO105" s="30"/>
      <c r="GP105" s="30"/>
      <c r="GQ105" s="30"/>
      <c r="GR105" s="30"/>
      <c r="GS105" s="30"/>
      <c r="GT105" s="30"/>
      <c r="GU105" s="30"/>
      <c r="GV105" s="30"/>
      <c r="GW105" s="30"/>
      <c r="GX105" s="30" t="n">
        <f aca="false">SUM(N105:GW105)</f>
        <v>0</v>
      </c>
      <c r="GY105" s="36" t="n">
        <f aca="false">SUM(L105-GX105)</f>
        <v>64800</v>
      </c>
      <c r="GZ105" s="32" t="n">
        <f aca="false">SUM( H105/5)</f>
        <v>0</v>
      </c>
      <c r="HA105" s="32" t="n">
        <f aca="false">SUM( I105/5)</f>
        <v>16</v>
      </c>
      <c r="HB105" s="33" t="n">
        <f aca="false">SUM(GZ105/4)</f>
        <v>0</v>
      </c>
      <c r="HC105" s="33" t="n">
        <f aca="false">SUM(HA105/4)</f>
        <v>4</v>
      </c>
    </row>
    <row r="106" customFormat="false" ht="28.5" hidden="true" customHeight="true" outlineLevel="0" collapsed="false">
      <c r="A106" s="26" t="n">
        <v>3373</v>
      </c>
      <c r="B106" s="21" t="s">
        <v>391</v>
      </c>
      <c r="C106" s="21" t="s">
        <v>386</v>
      </c>
      <c r="D106" s="34"/>
      <c r="E106" s="25" t="n">
        <v>45918</v>
      </c>
      <c r="F106" s="25" t="n">
        <f aca="false">WORKDAY(E106,G106)</f>
        <v>46030</v>
      </c>
      <c r="G106" s="26" t="n">
        <v>80</v>
      </c>
      <c r="H106" s="27" t="n">
        <f aca="false">(GX106* 5)/M106</f>
        <v>40</v>
      </c>
      <c r="I106" s="27" t="n">
        <f aca="false">G106-H106</f>
        <v>40</v>
      </c>
      <c r="J106" s="35" t="s">
        <v>388</v>
      </c>
      <c r="K106" s="36" t="n">
        <v>50000</v>
      </c>
      <c r="L106" s="36" t="n">
        <v>108000</v>
      </c>
      <c r="M106" s="29" t="n">
        <f aca="false">(L106/G106)*5</f>
        <v>6750</v>
      </c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 t="s">
        <v>214</v>
      </c>
      <c r="EL106" s="30"/>
      <c r="EM106" s="30" t="s">
        <v>214</v>
      </c>
      <c r="EN106" s="30" t="s">
        <v>214</v>
      </c>
      <c r="EO106" s="30"/>
      <c r="EP106" s="30"/>
      <c r="EQ106" s="30"/>
      <c r="ER106" s="30"/>
      <c r="ES106" s="30" t="s">
        <v>214</v>
      </c>
      <c r="ET106" s="30"/>
      <c r="EU106" s="30"/>
      <c r="EV106" s="30" t="s">
        <v>214</v>
      </c>
      <c r="EW106" s="30"/>
      <c r="EX106" s="30"/>
      <c r="EY106" s="30"/>
      <c r="EZ106" s="30"/>
      <c r="FA106" s="30"/>
      <c r="FB106" s="30"/>
      <c r="FC106" s="30" t="s">
        <v>214</v>
      </c>
      <c r="FD106" s="30"/>
      <c r="FE106" s="30"/>
      <c r="FF106" s="30"/>
      <c r="FG106" s="30"/>
      <c r="FH106" s="30"/>
      <c r="FI106" s="30"/>
      <c r="FJ106" s="30"/>
      <c r="FK106" s="30"/>
      <c r="FL106" s="30"/>
      <c r="FM106" s="30" t="n">
        <v>27000</v>
      </c>
      <c r="FN106" s="30"/>
      <c r="FO106" s="30"/>
      <c r="FP106" s="30"/>
      <c r="FQ106" s="30"/>
      <c r="FR106" s="30" t="n">
        <v>27000</v>
      </c>
      <c r="FS106" s="30"/>
      <c r="FT106" s="30"/>
      <c r="FU106" s="30"/>
      <c r="FV106" s="30"/>
      <c r="FW106" s="30"/>
      <c r="FX106" s="30"/>
      <c r="FY106" s="30"/>
      <c r="FZ106" s="30"/>
      <c r="GA106" s="30"/>
      <c r="GB106" s="30"/>
      <c r="GC106" s="30"/>
      <c r="GD106" s="30"/>
      <c r="GE106" s="30"/>
      <c r="GF106" s="30"/>
      <c r="GG106" s="30"/>
      <c r="GH106" s="30"/>
      <c r="GI106" s="30"/>
      <c r="GJ106" s="30"/>
      <c r="GK106" s="30"/>
      <c r="GL106" s="30"/>
      <c r="GM106" s="30"/>
      <c r="GN106" s="30"/>
      <c r="GO106" s="30"/>
      <c r="GP106" s="30"/>
      <c r="GQ106" s="30"/>
      <c r="GR106" s="30"/>
      <c r="GS106" s="30"/>
      <c r="GT106" s="30"/>
      <c r="GU106" s="30"/>
      <c r="GV106" s="30"/>
      <c r="GW106" s="30"/>
      <c r="GX106" s="30" t="n">
        <f aca="false">SUM(N106:GW106)</f>
        <v>54000</v>
      </c>
      <c r="GY106" s="36" t="n">
        <f aca="false">SUM(L106-GX106)</f>
        <v>54000</v>
      </c>
      <c r="GZ106" s="32" t="n">
        <f aca="false">SUM( H106/5)</f>
        <v>8</v>
      </c>
      <c r="HA106" s="32" t="n">
        <f aca="false">SUM( I106/5)</f>
        <v>8</v>
      </c>
      <c r="HB106" s="33" t="n">
        <f aca="false">SUM(GZ106/4)</f>
        <v>2</v>
      </c>
      <c r="HC106" s="33" t="n">
        <f aca="false">SUM(HA106/4)</f>
        <v>2</v>
      </c>
    </row>
    <row r="107" customFormat="false" ht="28.5" hidden="true" customHeight="true" outlineLevel="0" collapsed="false">
      <c r="A107" s="26" t="n">
        <v>3344</v>
      </c>
      <c r="B107" s="21" t="s">
        <v>392</v>
      </c>
      <c r="C107" s="21" t="s">
        <v>393</v>
      </c>
      <c r="D107" s="34"/>
      <c r="E107" s="25" t="n">
        <v>45944</v>
      </c>
      <c r="F107" s="25" t="n">
        <f aca="false">WORKDAY(E107,G107)</f>
        <v>46168</v>
      </c>
      <c r="G107" s="26" t="n">
        <v>160</v>
      </c>
      <c r="H107" s="27" t="n">
        <f aca="false">(GX107* 5)/M107</f>
        <v>150</v>
      </c>
      <c r="I107" s="27" t="n">
        <f aca="false">G107-H107</f>
        <v>10</v>
      </c>
      <c r="J107" s="35" t="s">
        <v>394</v>
      </c>
      <c r="K107" s="31" t="n">
        <v>400000</v>
      </c>
      <c r="L107" s="31" t="n">
        <v>1056000</v>
      </c>
      <c r="M107" s="37" t="n">
        <f aca="false">(L107/G107)*5</f>
        <v>33000</v>
      </c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  <c r="DX107" s="30"/>
      <c r="DY107" s="30"/>
      <c r="DZ107" s="30"/>
      <c r="EA107" s="30"/>
      <c r="EB107" s="30"/>
      <c r="EC107" s="30"/>
      <c r="ED107" s="30"/>
      <c r="EE107" s="30"/>
      <c r="EF107" s="30"/>
      <c r="EG107" s="30"/>
      <c r="EH107" s="30"/>
      <c r="EI107" s="30"/>
      <c r="EJ107" s="30"/>
      <c r="EK107" s="30" t="s">
        <v>214</v>
      </c>
      <c r="EL107" s="30"/>
      <c r="EM107" s="30" t="s">
        <v>214</v>
      </c>
      <c r="EN107" s="30" t="s">
        <v>214</v>
      </c>
      <c r="EO107" s="30"/>
      <c r="EP107" s="30"/>
      <c r="EQ107" s="30"/>
      <c r="ER107" s="30"/>
      <c r="ES107" s="30" t="s">
        <v>214</v>
      </c>
      <c r="ET107" s="30"/>
      <c r="EU107" s="30"/>
      <c r="EV107" s="30" t="s">
        <v>214</v>
      </c>
      <c r="EW107" s="30"/>
      <c r="EX107" s="30"/>
      <c r="EY107" s="30"/>
      <c r="EZ107" s="30"/>
      <c r="FA107" s="30"/>
      <c r="FB107" s="30"/>
      <c r="FC107" s="30" t="s">
        <v>214</v>
      </c>
      <c r="FD107" s="30"/>
      <c r="FE107" s="30"/>
      <c r="FF107" s="30"/>
      <c r="FG107" s="30"/>
      <c r="FH107" s="30"/>
      <c r="FI107" s="30"/>
      <c r="FJ107" s="30"/>
      <c r="FK107" s="30"/>
      <c r="FL107" s="30"/>
      <c r="FM107" s="30"/>
      <c r="FN107" s="30"/>
      <c r="FO107" s="30" t="n">
        <v>132000</v>
      </c>
      <c r="FP107" s="30"/>
      <c r="FQ107" s="30"/>
      <c r="FR107" s="30"/>
      <c r="FS107" s="30" t="n">
        <v>132000</v>
      </c>
      <c r="FT107" s="30"/>
      <c r="FU107" s="30"/>
      <c r="FV107" s="30"/>
      <c r="FW107" s="30"/>
      <c r="FX107" s="30" t="n">
        <v>132000</v>
      </c>
      <c r="FY107" s="30"/>
      <c r="FZ107" s="30"/>
      <c r="GA107" s="30"/>
      <c r="GB107" s="30"/>
      <c r="GC107" s="30"/>
      <c r="GD107" s="30" t="n">
        <v>110000</v>
      </c>
      <c r="GE107" s="30"/>
      <c r="GF107" s="30"/>
      <c r="GG107" s="30" t="n">
        <v>110000</v>
      </c>
      <c r="GH107" s="30"/>
      <c r="GI107" s="30"/>
      <c r="GJ107" s="30"/>
      <c r="GK107" s="30"/>
      <c r="GL107" s="30" t="n">
        <v>110000</v>
      </c>
      <c r="GM107" s="30"/>
      <c r="GN107" s="30"/>
      <c r="GO107" s="30"/>
      <c r="GP107" s="30"/>
      <c r="GQ107" s="30" t="n">
        <v>132000</v>
      </c>
      <c r="GR107" s="30"/>
      <c r="GS107" s="30"/>
      <c r="GT107" s="30" t="n">
        <v>132000</v>
      </c>
      <c r="GU107" s="30"/>
      <c r="GV107" s="30"/>
      <c r="GW107" s="30"/>
      <c r="GX107" s="30" t="n">
        <f aca="false">SUM(N107:GW107)</f>
        <v>990000</v>
      </c>
      <c r="GY107" s="36" t="n">
        <f aca="false">SUM(L107-GX107)</f>
        <v>66000</v>
      </c>
      <c r="GZ107" s="32" t="n">
        <f aca="false">SUM( H107/5)</f>
        <v>30</v>
      </c>
      <c r="HA107" s="32" t="n">
        <f aca="false">SUM( I107/5)</f>
        <v>2</v>
      </c>
      <c r="HB107" s="33" t="n">
        <f aca="false">SUM(GZ107/4)</f>
        <v>7.5</v>
      </c>
      <c r="HC107" s="33" t="n">
        <f aca="false">SUM(HA107/4)</f>
        <v>0.5</v>
      </c>
      <c r="HD107" s="1" t="s">
        <v>214</v>
      </c>
    </row>
    <row r="108" customFormat="false" ht="28.5" hidden="true" customHeight="true" outlineLevel="0" collapsed="false">
      <c r="A108" s="26" t="n">
        <v>3562</v>
      </c>
      <c r="B108" s="21" t="s">
        <v>392</v>
      </c>
      <c r="C108" s="21" t="s">
        <v>393</v>
      </c>
      <c r="D108" s="34"/>
      <c r="E108" s="25" t="n">
        <v>46027</v>
      </c>
      <c r="F108" s="25" t="n">
        <f aca="false">WORKDAY(E108,G108)</f>
        <v>46251</v>
      </c>
      <c r="G108" s="26" t="n">
        <v>160</v>
      </c>
      <c r="H108" s="27" t="n">
        <f aca="false">(GX108* 5)/M108</f>
        <v>15.9259259259259</v>
      </c>
      <c r="I108" s="27" t="n">
        <f aca="false">G108-H108</f>
        <v>144.074074074074</v>
      </c>
      <c r="J108" s="35" t="s">
        <v>395</v>
      </c>
      <c r="K108" s="58" t="n">
        <v>300000</v>
      </c>
      <c r="L108" s="36" t="n">
        <v>864000</v>
      </c>
      <c r="M108" s="29" t="n">
        <f aca="false">(L108/G108)*5</f>
        <v>27000</v>
      </c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 t="s">
        <v>214</v>
      </c>
      <c r="EL108" s="30"/>
      <c r="EM108" s="30" t="s">
        <v>214</v>
      </c>
      <c r="EN108" s="30" t="s">
        <v>214</v>
      </c>
      <c r="EO108" s="30"/>
      <c r="EP108" s="30"/>
      <c r="EQ108" s="30"/>
      <c r="ER108" s="30"/>
      <c r="ES108" s="30" t="s">
        <v>214</v>
      </c>
      <c r="ET108" s="30"/>
      <c r="EU108" s="30"/>
      <c r="EV108" s="30" t="s">
        <v>214</v>
      </c>
      <c r="EW108" s="30"/>
      <c r="EX108" s="30"/>
      <c r="EY108" s="30"/>
      <c r="EZ108" s="30"/>
      <c r="FA108" s="30"/>
      <c r="FB108" s="30"/>
      <c r="FC108" s="30" t="s">
        <v>214</v>
      </c>
      <c r="FD108" s="30"/>
      <c r="FE108" s="30"/>
      <c r="FF108" s="30"/>
      <c r="FG108" s="30"/>
      <c r="FH108" s="30"/>
      <c r="FI108" s="30"/>
      <c r="FJ108" s="30"/>
      <c r="FK108" s="30"/>
      <c r="FL108" s="30" t="s">
        <v>214</v>
      </c>
      <c r="FM108" s="30"/>
      <c r="FN108" s="30"/>
      <c r="FO108" s="30"/>
      <c r="FP108" s="30"/>
      <c r="FQ108" s="30"/>
      <c r="FR108" s="30"/>
      <c r="FS108" s="30"/>
      <c r="FT108" s="30"/>
      <c r="FU108" s="30"/>
      <c r="FV108" s="30"/>
      <c r="FW108" s="30"/>
      <c r="FX108" s="30"/>
      <c r="FY108" s="30"/>
      <c r="FZ108" s="30"/>
      <c r="GA108" s="30"/>
      <c r="GB108" s="30"/>
      <c r="GC108" s="30"/>
      <c r="GD108" s="30"/>
      <c r="GE108" s="30"/>
      <c r="GF108" s="30"/>
      <c r="GG108" s="30"/>
      <c r="GH108" s="30"/>
      <c r="GI108" s="30"/>
      <c r="GJ108" s="30"/>
      <c r="GK108" s="30"/>
      <c r="GL108" s="30"/>
      <c r="GM108" s="30"/>
      <c r="GN108" s="30"/>
      <c r="GO108" s="30"/>
      <c r="GP108" s="30"/>
      <c r="GQ108" s="30" t="n">
        <v>18000</v>
      </c>
      <c r="GR108" s="30"/>
      <c r="GS108" s="30"/>
      <c r="GT108" s="30" t="n">
        <v>68000</v>
      </c>
      <c r="GU108" s="30"/>
      <c r="GV108" s="30"/>
      <c r="GW108" s="30"/>
      <c r="GX108" s="30" t="n">
        <f aca="false">SUM(N108:GW108)</f>
        <v>86000</v>
      </c>
      <c r="GY108" s="36" t="n">
        <f aca="false">SUM(L108-GX108)</f>
        <v>778000</v>
      </c>
      <c r="GZ108" s="32" t="n">
        <f aca="false">SUM( H108/5)</f>
        <v>3.18518518518519</v>
      </c>
      <c r="HA108" s="32" t="n">
        <f aca="false">SUM( I108/5)</f>
        <v>28.8148148148148</v>
      </c>
      <c r="HB108" s="33" t="n">
        <f aca="false">SUM(GZ108/4)</f>
        <v>0.796296296296296</v>
      </c>
      <c r="HC108" s="33" t="n">
        <f aca="false">SUM(HA108/4)</f>
        <v>7.2037037037037</v>
      </c>
      <c r="HD108" s="1" t="s">
        <v>214</v>
      </c>
    </row>
    <row r="109" customFormat="false" ht="28.5" hidden="true" customHeight="true" outlineLevel="0" collapsed="false">
      <c r="A109" s="26" t="n">
        <v>3606</v>
      </c>
      <c r="B109" s="34" t="s">
        <v>396</v>
      </c>
      <c r="C109" s="34" t="s">
        <v>397</v>
      </c>
      <c r="D109" s="34"/>
      <c r="E109" s="25" t="n">
        <v>46037</v>
      </c>
      <c r="F109" s="25" t="n">
        <f aca="false">WORKDAY(E109,G109)</f>
        <v>46149</v>
      </c>
      <c r="G109" s="26" t="n">
        <v>80</v>
      </c>
      <c r="H109" s="27" t="n">
        <f aca="false">(GX109* 5)/M109</f>
        <v>60</v>
      </c>
      <c r="I109" s="27" t="n">
        <f aca="false">G109-H109</f>
        <v>20</v>
      </c>
      <c r="J109" s="35" t="s">
        <v>398</v>
      </c>
      <c r="K109" s="31" t="n">
        <v>300000</v>
      </c>
      <c r="L109" s="31" t="n">
        <v>600000</v>
      </c>
      <c r="M109" s="37" t="n">
        <f aca="false">(L109/G109)*5</f>
        <v>37500</v>
      </c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  <c r="DX109" s="30"/>
      <c r="DY109" s="30"/>
      <c r="DZ109" s="30"/>
      <c r="EA109" s="30"/>
      <c r="EB109" s="30"/>
      <c r="EC109" s="30"/>
      <c r="ED109" s="30"/>
      <c r="EE109" s="30"/>
      <c r="EF109" s="30"/>
      <c r="EG109" s="30"/>
      <c r="EH109" s="30"/>
      <c r="EI109" s="30"/>
      <c r="EJ109" s="30"/>
      <c r="EK109" s="30" t="s">
        <v>214</v>
      </c>
      <c r="EL109" s="30"/>
      <c r="EM109" s="30" t="s">
        <v>214</v>
      </c>
      <c r="EN109" s="30" t="s">
        <v>214</v>
      </c>
      <c r="EO109" s="30"/>
      <c r="EP109" s="30"/>
      <c r="EQ109" s="30"/>
      <c r="ER109" s="30"/>
      <c r="ES109" s="30" t="s">
        <v>214</v>
      </c>
      <c r="ET109" s="30"/>
      <c r="EU109" s="30"/>
      <c r="EV109" s="30" t="s">
        <v>214</v>
      </c>
      <c r="EW109" s="30"/>
      <c r="EX109" s="30"/>
      <c r="EY109" s="30"/>
      <c r="EZ109" s="30"/>
      <c r="FA109" s="30"/>
      <c r="FB109" s="30"/>
      <c r="FC109" s="30" t="s">
        <v>214</v>
      </c>
      <c r="FD109" s="30"/>
      <c r="FE109" s="30"/>
      <c r="FF109" s="30"/>
      <c r="FG109" s="30"/>
      <c r="FH109" s="30"/>
      <c r="FI109" s="30"/>
      <c r="FJ109" s="30"/>
      <c r="FK109" s="30"/>
      <c r="FL109" s="30" t="s">
        <v>214</v>
      </c>
      <c r="FM109" s="30"/>
      <c r="FN109" s="30"/>
      <c r="FO109" s="30"/>
      <c r="FP109" s="30"/>
      <c r="FQ109" s="30"/>
      <c r="FR109" s="30"/>
      <c r="FS109" s="30"/>
      <c r="FT109" s="30"/>
      <c r="FU109" s="30"/>
      <c r="FV109" s="30"/>
      <c r="FW109" s="30"/>
      <c r="FX109" s="30"/>
      <c r="FY109" s="30"/>
      <c r="FZ109" s="30"/>
      <c r="GA109" s="30"/>
      <c r="GB109" s="30"/>
      <c r="GC109" s="30" t="n">
        <v>150000</v>
      </c>
      <c r="GD109" s="30"/>
      <c r="GE109" s="30"/>
      <c r="GF109" s="30"/>
      <c r="GG109" s="30"/>
      <c r="GH109" s="30" t="n">
        <v>150000</v>
      </c>
      <c r="GI109" s="30"/>
      <c r="GJ109" s="30"/>
      <c r="GK109" s="30"/>
      <c r="GL109" s="30"/>
      <c r="GM109" s="30"/>
      <c r="GN109" s="30"/>
      <c r="GO109" s="30" t="n">
        <v>150000</v>
      </c>
      <c r="GP109" s="30"/>
      <c r="GQ109" s="30"/>
      <c r="GR109" s="30"/>
      <c r="GS109" s="30"/>
      <c r="GT109" s="30"/>
      <c r="GU109" s="30"/>
      <c r="GV109" s="30"/>
      <c r="GW109" s="30"/>
      <c r="GX109" s="30" t="n">
        <f aca="false">SUM(N109:GW109)</f>
        <v>450000</v>
      </c>
      <c r="GY109" s="36" t="n">
        <f aca="false">SUM(L109-GX109)</f>
        <v>150000</v>
      </c>
      <c r="GZ109" s="32" t="n">
        <f aca="false">SUM( H109/5)</f>
        <v>12</v>
      </c>
      <c r="HA109" s="32" t="n">
        <f aca="false">SUM( I109/5)</f>
        <v>4</v>
      </c>
      <c r="HB109" s="33" t="n">
        <f aca="false">SUM(GZ109/4)</f>
        <v>3</v>
      </c>
      <c r="HC109" s="33" t="n">
        <f aca="false">SUM(HA109/4)</f>
        <v>1</v>
      </c>
    </row>
    <row r="110" customFormat="false" ht="28.5" hidden="true" customHeight="true" outlineLevel="0" collapsed="false">
      <c r="A110" s="26" t="n">
        <v>3762</v>
      </c>
      <c r="B110" s="34" t="s">
        <v>396</v>
      </c>
      <c r="C110" s="34" t="s">
        <v>397</v>
      </c>
      <c r="D110" s="34"/>
      <c r="E110" s="25" t="n">
        <v>46154</v>
      </c>
      <c r="F110" s="25" t="n">
        <f aca="false">WORKDAY(E110,G110)</f>
        <v>46210</v>
      </c>
      <c r="G110" s="26" t="n">
        <v>40</v>
      </c>
      <c r="H110" s="27" t="n">
        <f aca="false">(GX110* 5)/M110</f>
        <v>0</v>
      </c>
      <c r="I110" s="27" t="n">
        <f aca="false">G110-H110</f>
        <v>40</v>
      </c>
      <c r="J110" s="35" t="s">
        <v>399</v>
      </c>
      <c r="K110" s="36" t="n">
        <v>200000</v>
      </c>
      <c r="L110" s="36" t="n">
        <v>290000</v>
      </c>
      <c r="M110" s="29" t="n">
        <f aca="false">(L110/G110)*5</f>
        <v>36250</v>
      </c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  <c r="DX110" s="30"/>
      <c r="DY110" s="30"/>
      <c r="DZ110" s="30"/>
      <c r="EA110" s="30"/>
      <c r="EB110" s="30"/>
      <c r="EC110" s="30"/>
      <c r="ED110" s="30"/>
      <c r="EE110" s="30"/>
      <c r="EF110" s="30"/>
      <c r="EG110" s="30"/>
      <c r="EH110" s="30"/>
      <c r="EI110" s="30"/>
      <c r="EJ110" s="30"/>
      <c r="EK110" s="30" t="s">
        <v>214</v>
      </c>
      <c r="EL110" s="30"/>
      <c r="EM110" s="30" t="s">
        <v>214</v>
      </c>
      <c r="EN110" s="30" t="s">
        <v>214</v>
      </c>
      <c r="EO110" s="30"/>
      <c r="EP110" s="30"/>
      <c r="EQ110" s="30"/>
      <c r="ER110" s="30"/>
      <c r="ES110" s="30" t="s">
        <v>214</v>
      </c>
      <c r="ET110" s="30"/>
      <c r="EU110" s="30"/>
      <c r="EV110" s="30" t="s">
        <v>214</v>
      </c>
      <c r="EW110" s="30"/>
      <c r="EX110" s="30"/>
      <c r="EY110" s="30"/>
      <c r="EZ110" s="30"/>
      <c r="FA110" s="30"/>
      <c r="FB110" s="30"/>
      <c r="FC110" s="30" t="s">
        <v>214</v>
      </c>
      <c r="FD110" s="30"/>
      <c r="FE110" s="30"/>
      <c r="FF110" s="30"/>
      <c r="FG110" s="30"/>
      <c r="FH110" s="30"/>
      <c r="FI110" s="30"/>
      <c r="FJ110" s="30"/>
      <c r="FK110" s="30"/>
      <c r="FL110" s="30" t="s">
        <v>214</v>
      </c>
      <c r="FM110" s="30"/>
      <c r="FN110" s="30"/>
      <c r="FO110" s="30"/>
      <c r="FP110" s="30"/>
      <c r="FQ110" s="30"/>
      <c r="FR110" s="30"/>
      <c r="FS110" s="30"/>
      <c r="FT110" s="30"/>
      <c r="FU110" s="30"/>
      <c r="FV110" s="30"/>
      <c r="FW110" s="30"/>
      <c r="FX110" s="30"/>
      <c r="FY110" s="30"/>
      <c r="FZ110" s="30"/>
      <c r="GA110" s="30"/>
      <c r="GB110" s="30"/>
      <c r="GC110" s="30"/>
      <c r="GD110" s="30"/>
      <c r="GE110" s="30"/>
      <c r="GF110" s="30"/>
      <c r="GG110" s="30"/>
      <c r="GH110" s="30"/>
      <c r="GI110" s="30"/>
      <c r="GJ110" s="30"/>
      <c r="GK110" s="30"/>
      <c r="GL110" s="30"/>
      <c r="GM110" s="30"/>
      <c r="GN110" s="30"/>
      <c r="GO110" s="30"/>
      <c r="GP110" s="30"/>
      <c r="GQ110" s="30"/>
      <c r="GR110" s="30"/>
      <c r="GS110" s="30"/>
      <c r="GT110" s="30"/>
      <c r="GU110" s="30"/>
      <c r="GV110" s="30"/>
      <c r="GW110" s="30"/>
      <c r="GX110" s="30" t="n">
        <f aca="false">SUM(N110:GW110)</f>
        <v>0</v>
      </c>
      <c r="GY110" s="36" t="n">
        <f aca="false">SUM(L110-GX110)</f>
        <v>290000</v>
      </c>
      <c r="GZ110" s="32" t="n">
        <f aca="false">SUM( H110/5)</f>
        <v>0</v>
      </c>
      <c r="HA110" s="32" t="n">
        <f aca="false">SUM( I110/5)</f>
        <v>8</v>
      </c>
      <c r="HB110" s="33" t="n">
        <f aca="false">SUM(GZ110/4)</f>
        <v>0</v>
      </c>
      <c r="HC110" s="33" t="n">
        <f aca="false">SUM(HA110/4)</f>
        <v>2</v>
      </c>
    </row>
    <row r="111" customFormat="false" ht="28.5" hidden="true" customHeight="true" outlineLevel="0" collapsed="false">
      <c r="A111" s="26" t="n">
        <v>3775</v>
      </c>
      <c r="B111" s="34" t="s">
        <v>396</v>
      </c>
      <c r="C111" s="34" t="s">
        <v>397</v>
      </c>
      <c r="D111" s="34"/>
      <c r="E111" s="25" t="n">
        <v>46163</v>
      </c>
      <c r="F111" s="25" t="n">
        <f aca="false">WORKDAY(E111,G111)</f>
        <v>46247</v>
      </c>
      <c r="G111" s="26" t="n">
        <v>60</v>
      </c>
      <c r="H111" s="27" t="n">
        <f aca="false">(GX111* 5)/M111</f>
        <v>0</v>
      </c>
      <c r="I111" s="27" t="n">
        <f aca="false">G111-H111</f>
        <v>60</v>
      </c>
      <c r="J111" s="35" t="s">
        <v>400</v>
      </c>
      <c r="K111" s="36" t="n">
        <v>50000</v>
      </c>
      <c r="L111" s="36" t="n">
        <v>96000</v>
      </c>
      <c r="M111" s="29" t="n">
        <f aca="false">(L111/G111)*5</f>
        <v>8000</v>
      </c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  <c r="DX111" s="30"/>
      <c r="DY111" s="30"/>
      <c r="DZ111" s="30"/>
      <c r="EA111" s="30"/>
      <c r="EB111" s="30"/>
      <c r="EC111" s="30"/>
      <c r="ED111" s="30"/>
      <c r="EE111" s="30"/>
      <c r="EF111" s="30"/>
      <c r="EG111" s="30"/>
      <c r="EH111" s="30"/>
      <c r="EI111" s="30"/>
      <c r="EJ111" s="30"/>
      <c r="EK111" s="30" t="s">
        <v>214</v>
      </c>
      <c r="EL111" s="30"/>
      <c r="EM111" s="30" t="s">
        <v>214</v>
      </c>
      <c r="EN111" s="30" t="s">
        <v>214</v>
      </c>
      <c r="EO111" s="30"/>
      <c r="EP111" s="30"/>
      <c r="EQ111" s="30"/>
      <c r="ER111" s="30"/>
      <c r="ES111" s="30" t="s">
        <v>214</v>
      </c>
      <c r="ET111" s="30"/>
      <c r="EU111" s="30"/>
      <c r="EV111" s="30" t="s">
        <v>214</v>
      </c>
      <c r="EW111" s="30"/>
      <c r="EX111" s="30"/>
      <c r="EY111" s="30"/>
      <c r="EZ111" s="30"/>
      <c r="FA111" s="30"/>
      <c r="FB111" s="30"/>
      <c r="FC111" s="30" t="s">
        <v>214</v>
      </c>
      <c r="FD111" s="30"/>
      <c r="FE111" s="30"/>
      <c r="FF111" s="30"/>
      <c r="FG111" s="30"/>
      <c r="FH111" s="30"/>
      <c r="FI111" s="30"/>
      <c r="FJ111" s="30"/>
      <c r="FK111" s="30"/>
      <c r="FL111" s="30" t="s">
        <v>214</v>
      </c>
      <c r="FM111" s="30"/>
      <c r="FN111" s="30"/>
      <c r="FO111" s="30"/>
      <c r="FP111" s="30"/>
      <c r="FQ111" s="30"/>
      <c r="FR111" s="30"/>
      <c r="FS111" s="30"/>
      <c r="FT111" s="30"/>
      <c r="FU111" s="30"/>
      <c r="FV111" s="30"/>
      <c r="FW111" s="30"/>
      <c r="FX111" s="30"/>
      <c r="FY111" s="30"/>
      <c r="FZ111" s="30"/>
      <c r="GA111" s="30"/>
      <c r="GB111" s="30"/>
      <c r="GC111" s="30"/>
      <c r="GD111" s="30"/>
      <c r="GE111" s="30"/>
      <c r="GF111" s="30"/>
      <c r="GG111" s="30"/>
      <c r="GH111" s="30"/>
      <c r="GI111" s="30"/>
      <c r="GJ111" s="30"/>
      <c r="GK111" s="30"/>
      <c r="GL111" s="30"/>
      <c r="GM111" s="30"/>
      <c r="GN111" s="30"/>
      <c r="GO111" s="30"/>
      <c r="GP111" s="30"/>
      <c r="GQ111" s="30"/>
      <c r="GR111" s="30"/>
      <c r="GS111" s="30"/>
      <c r="GT111" s="30"/>
      <c r="GU111" s="30"/>
      <c r="GV111" s="30"/>
      <c r="GW111" s="30"/>
      <c r="GX111" s="30" t="n">
        <f aca="false">SUM(N111:GW111)</f>
        <v>0</v>
      </c>
      <c r="GY111" s="36" t="n">
        <f aca="false">SUM(L111-GX111)</f>
        <v>96000</v>
      </c>
      <c r="GZ111" s="32" t="n">
        <f aca="false">SUM( H111/5)</f>
        <v>0</v>
      </c>
      <c r="HA111" s="32" t="n">
        <f aca="false">SUM( I111/5)</f>
        <v>12</v>
      </c>
      <c r="HB111" s="33" t="n">
        <f aca="false">SUM(GZ111/4)</f>
        <v>0</v>
      </c>
      <c r="HC111" s="33" t="n">
        <f aca="false">SUM(HA111/4)</f>
        <v>3</v>
      </c>
    </row>
    <row r="112" customFormat="false" ht="28.5" hidden="true" customHeight="true" outlineLevel="0" collapsed="false">
      <c r="A112" s="26" t="n">
        <v>3699</v>
      </c>
      <c r="B112" s="21" t="s">
        <v>401</v>
      </c>
      <c r="C112" s="21" t="s">
        <v>402</v>
      </c>
      <c r="D112" s="34"/>
      <c r="E112" s="25" t="n">
        <v>46106</v>
      </c>
      <c r="F112" s="25" t="n">
        <f aca="false">WORKDAY(E112,G112)</f>
        <v>46330</v>
      </c>
      <c r="G112" s="26" t="n">
        <v>160</v>
      </c>
      <c r="H112" s="27" t="n">
        <f aca="false">(GX112* 5)/M112</f>
        <v>33.8888888888889</v>
      </c>
      <c r="I112" s="27" t="n">
        <f aca="false">G112-H112</f>
        <v>126.111111111111</v>
      </c>
      <c r="J112" s="22" t="s">
        <v>335</v>
      </c>
      <c r="K112" s="36" t="n">
        <v>1000000</v>
      </c>
      <c r="L112" s="36" t="n">
        <v>2880000</v>
      </c>
      <c r="M112" s="29" t="n">
        <f aca="false">(L112/G112)*5</f>
        <v>90000</v>
      </c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  <c r="DX112" s="30"/>
      <c r="DY112" s="30"/>
      <c r="DZ112" s="30"/>
      <c r="EA112" s="30"/>
      <c r="EB112" s="30"/>
      <c r="EC112" s="30"/>
      <c r="ED112" s="30"/>
      <c r="EE112" s="30"/>
      <c r="EF112" s="30"/>
      <c r="EG112" s="30"/>
      <c r="EH112" s="30"/>
      <c r="EI112" s="30"/>
      <c r="EJ112" s="30"/>
      <c r="EK112" s="30" t="s">
        <v>214</v>
      </c>
      <c r="EL112" s="30"/>
      <c r="EM112" s="30" t="s">
        <v>214</v>
      </c>
      <c r="EN112" s="30" t="s">
        <v>214</v>
      </c>
      <c r="EO112" s="30"/>
      <c r="EP112" s="30"/>
      <c r="EQ112" s="30"/>
      <c r="ER112" s="30"/>
      <c r="ES112" s="30" t="s">
        <v>214</v>
      </c>
      <c r="ET112" s="30"/>
      <c r="EU112" s="30"/>
      <c r="EV112" s="30" t="s">
        <v>214</v>
      </c>
      <c r="EW112" s="30"/>
      <c r="EX112" s="30"/>
      <c r="EY112" s="30"/>
      <c r="EZ112" s="30"/>
      <c r="FA112" s="30"/>
      <c r="FB112" s="30"/>
      <c r="FC112" s="30" t="s">
        <v>214</v>
      </c>
      <c r="FD112" s="30"/>
      <c r="FE112" s="30"/>
      <c r="FF112" s="30"/>
      <c r="FG112" s="30"/>
      <c r="FH112" s="30"/>
      <c r="FI112" s="30"/>
      <c r="FJ112" s="30"/>
      <c r="FK112" s="30"/>
      <c r="FL112" s="30" t="s">
        <v>214</v>
      </c>
      <c r="FM112" s="30"/>
      <c r="FN112" s="30"/>
      <c r="FO112" s="30"/>
      <c r="FP112" s="30"/>
      <c r="FQ112" s="30"/>
      <c r="FR112" s="30"/>
      <c r="FS112" s="30"/>
      <c r="FT112" s="30"/>
      <c r="FU112" s="30"/>
      <c r="FV112" s="30"/>
      <c r="FW112" s="30"/>
      <c r="FX112" s="30"/>
      <c r="FY112" s="30"/>
      <c r="FZ112" s="30"/>
      <c r="GA112" s="30"/>
      <c r="GB112" s="30"/>
      <c r="GC112" s="30"/>
      <c r="GD112" s="30"/>
      <c r="GE112" s="30"/>
      <c r="GF112" s="30"/>
      <c r="GG112" s="30"/>
      <c r="GH112" s="30"/>
      <c r="GI112" s="30"/>
      <c r="GJ112" s="30" t="n">
        <v>90000</v>
      </c>
      <c r="GK112" s="30" t="n">
        <v>90000</v>
      </c>
      <c r="GL112" s="30" t="n">
        <v>90000</v>
      </c>
      <c r="GM112" s="30" t="n">
        <v>90000</v>
      </c>
      <c r="GN112" s="30"/>
      <c r="GO112" s="30" t="n">
        <v>90000</v>
      </c>
      <c r="GP112" s="30"/>
      <c r="GQ112" s="30" t="n">
        <v>95000</v>
      </c>
      <c r="GR112" s="30"/>
      <c r="GS112" s="30"/>
      <c r="GT112" s="30"/>
      <c r="GU112" s="30"/>
      <c r="GV112" s="30"/>
      <c r="GW112" s="30" t="n">
        <v>65000</v>
      </c>
      <c r="GX112" s="30" t="n">
        <f aca="false">SUM(N112:GW112)</f>
        <v>610000</v>
      </c>
      <c r="GY112" s="36" t="n">
        <f aca="false">SUM(L112-GX112)</f>
        <v>2270000</v>
      </c>
      <c r="GZ112" s="32" t="n">
        <f aca="false">SUM( H112/5)</f>
        <v>6.77777777777778</v>
      </c>
      <c r="HA112" s="32" t="n">
        <f aca="false">SUM( I112/5)</f>
        <v>25.2222222222222</v>
      </c>
      <c r="HB112" s="33" t="n">
        <f aca="false">SUM(GZ112/4)</f>
        <v>1.69444444444444</v>
      </c>
      <c r="HC112" s="33" t="n">
        <f aca="false">SUM(HA112/4)</f>
        <v>6.30555555555556</v>
      </c>
    </row>
    <row r="113" customFormat="false" ht="28.5" hidden="true" customHeight="true" outlineLevel="0" collapsed="false">
      <c r="A113" s="26" t="n">
        <v>3721</v>
      </c>
      <c r="B113" s="21" t="s">
        <v>401</v>
      </c>
      <c r="C113" s="21" t="s">
        <v>402</v>
      </c>
      <c r="D113" s="34"/>
      <c r="E113" s="25" t="n">
        <v>46125</v>
      </c>
      <c r="F113" s="25" t="n">
        <f aca="false">WORKDAY(E113,G113)</f>
        <v>46349</v>
      </c>
      <c r="G113" s="26" t="n">
        <v>160</v>
      </c>
      <c r="H113" s="27" t="n">
        <f aca="false">(GX113* 5)/M113</f>
        <v>15</v>
      </c>
      <c r="I113" s="27" t="n">
        <f aca="false">G113-H113</f>
        <v>145</v>
      </c>
      <c r="J113" s="22" t="s">
        <v>403</v>
      </c>
      <c r="K113" s="39" t="n">
        <v>200000</v>
      </c>
      <c r="L113" s="36" t="n">
        <v>576000</v>
      </c>
      <c r="M113" s="37" t="n">
        <f aca="false">(L113/G113)*5</f>
        <v>18000</v>
      </c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 t="s">
        <v>214</v>
      </c>
      <c r="EL113" s="30"/>
      <c r="EM113" s="30" t="s">
        <v>214</v>
      </c>
      <c r="EN113" s="30" t="s">
        <v>214</v>
      </c>
      <c r="EO113" s="30"/>
      <c r="EP113" s="30"/>
      <c r="EQ113" s="30"/>
      <c r="ER113" s="30"/>
      <c r="ES113" s="30" t="s">
        <v>214</v>
      </c>
      <c r="ET113" s="30"/>
      <c r="EU113" s="30"/>
      <c r="EV113" s="30" t="s">
        <v>214</v>
      </c>
      <c r="EW113" s="30"/>
      <c r="EX113" s="30"/>
      <c r="EY113" s="30"/>
      <c r="EZ113" s="30"/>
      <c r="FA113" s="30"/>
      <c r="FB113" s="30"/>
      <c r="FC113" s="30" t="s">
        <v>214</v>
      </c>
      <c r="FD113" s="30"/>
      <c r="FE113" s="30"/>
      <c r="FF113" s="30"/>
      <c r="FG113" s="30"/>
      <c r="FH113" s="30"/>
      <c r="FI113" s="30"/>
      <c r="FJ113" s="30"/>
      <c r="FK113" s="30"/>
      <c r="FL113" s="30" t="s">
        <v>214</v>
      </c>
      <c r="FM113" s="30"/>
      <c r="FN113" s="30"/>
      <c r="FO113" s="30"/>
      <c r="FP113" s="30"/>
      <c r="FQ113" s="30"/>
      <c r="FR113" s="30"/>
      <c r="FS113" s="30"/>
      <c r="FT113" s="30"/>
      <c r="FU113" s="30"/>
      <c r="FV113" s="30"/>
      <c r="FW113" s="30"/>
      <c r="FX113" s="30"/>
      <c r="FY113" s="30"/>
      <c r="FZ113" s="30"/>
      <c r="GA113" s="30"/>
      <c r="GB113" s="30"/>
      <c r="GC113" s="30"/>
      <c r="GD113" s="30"/>
      <c r="GE113" s="30"/>
      <c r="GF113" s="30"/>
      <c r="GG113" s="30"/>
      <c r="GH113" s="30"/>
      <c r="GI113" s="30"/>
      <c r="GJ113" s="30"/>
      <c r="GK113" s="30"/>
      <c r="GL113" s="30"/>
      <c r="GM113" s="30" t="n">
        <v>18000</v>
      </c>
      <c r="GN113" s="30"/>
      <c r="GO113" s="30" t="n">
        <v>18000</v>
      </c>
      <c r="GP113" s="30"/>
      <c r="GQ113" s="30" t="n">
        <v>18000</v>
      </c>
      <c r="GR113" s="30"/>
      <c r="GS113" s="30"/>
      <c r="GT113" s="30"/>
      <c r="GU113" s="30"/>
      <c r="GV113" s="30"/>
      <c r="GW113" s="30"/>
      <c r="GX113" s="30" t="n">
        <f aca="false">SUM(N113:GW113)</f>
        <v>54000</v>
      </c>
      <c r="GY113" s="36" t="n">
        <f aca="false">SUM(L113-GX113)</f>
        <v>522000</v>
      </c>
      <c r="GZ113" s="32" t="n">
        <f aca="false">SUM( H113/5)</f>
        <v>3</v>
      </c>
      <c r="HA113" s="32" t="n">
        <f aca="false">SUM( I113/5)</f>
        <v>29</v>
      </c>
      <c r="HB113" s="33" t="n">
        <f aca="false">SUM(GZ113/4)</f>
        <v>0.75</v>
      </c>
      <c r="HC113" s="33" t="n">
        <f aca="false">SUM(HA113/4)</f>
        <v>7.25</v>
      </c>
    </row>
    <row r="114" customFormat="false" ht="28.5" hidden="true" customHeight="true" outlineLevel="0" collapsed="false">
      <c r="A114" s="26" t="n">
        <v>3688</v>
      </c>
      <c r="B114" s="21" t="s">
        <v>404</v>
      </c>
      <c r="C114" s="21" t="s">
        <v>405</v>
      </c>
      <c r="D114" s="34" t="s">
        <v>406</v>
      </c>
      <c r="E114" s="25" t="n">
        <v>46099</v>
      </c>
      <c r="F114" s="25" t="n">
        <f aca="false">WORKDAY(E114,G114)</f>
        <v>46199</v>
      </c>
      <c r="G114" s="26" t="n">
        <v>72</v>
      </c>
      <c r="H114" s="27" t="n">
        <f aca="false">(GX114* 5)/M114</f>
        <v>59.4444444444444</v>
      </c>
      <c r="I114" s="27" t="n">
        <f aca="false">G114-H114</f>
        <v>12.5555555555556</v>
      </c>
      <c r="J114" s="22" t="s">
        <v>245</v>
      </c>
      <c r="K114" s="36" t="n">
        <v>300000</v>
      </c>
      <c r="L114" s="36" t="n">
        <v>648000</v>
      </c>
      <c r="M114" s="37" t="n">
        <f aca="false">(L114/G114)*5</f>
        <v>45000</v>
      </c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 t="s">
        <v>214</v>
      </c>
      <c r="EL114" s="30"/>
      <c r="EM114" s="30" t="s">
        <v>214</v>
      </c>
      <c r="EN114" s="30" t="s">
        <v>214</v>
      </c>
      <c r="EO114" s="30"/>
      <c r="EP114" s="30"/>
      <c r="EQ114" s="30"/>
      <c r="ER114" s="30"/>
      <c r="ES114" s="30" t="s">
        <v>214</v>
      </c>
      <c r="ET114" s="30"/>
      <c r="EU114" s="30"/>
      <c r="EV114" s="30" t="s">
        <v>214</v>
      </c>
      <c r="EW114" s="30"/>
      <c r="EX114" s="30"/>
      <c r="EY114" s="30"/>
      <c r="EZ114" s="30"/>
      <c r="FA114" s="30"/>
      <c r="FB114" s="30"/>
      <c r="FC114" s="30" t="s">
        <v>214</v>
      </c>
      <c r="FD114" s="30"/>
      <c r="FE114" s="30"/>
      <c r="FF114" s="30"/>
      <c r="FG114" s="30"/>
      <c r="FH114" s="30"/>
      <c r="FI114" s="30"/>
      <c r="FJ114" s="30"/>
      <c r="FK114" s="30"/>
      <c r="FL114" s="30" t="s">
        <v>214</v>
      </c>
      <c r="FM114" s="30"/>
      <c r="FN114" s="30"/>
      <c r="FO114" s="30"/>
      <c r="FP114" s="30"/>
      <c r="FQ114" s="30"/>
      <c r="FR114" s="30"/>
      <c r="FS114" s="30"/>
      <c r="FT114" s="30"/>
      <c r="FU114" s="30"/>
      <c r="FV114" s="30"/>
      <c r="FW114" s="30"/>
      <c r="FX114" s="30"/>
      <c r="FY114" s="30"/>
      <c r="FZ114" s="30"/>
      <c r="GA114" s="30"/>
      <c r="GB114" s="30"/>
      <c r="GC114" s="30"/>
      <c r="GD114" s="30"/>
      <c r="GE114" s="30"/>
      <c r="GF114" s="30"/>
      <c r="GG114" s="30"/>
      <c r="GH114" s="30"/>
      <c r="GI114" s="30"/>
      <c r="GJ114" s="30" t="n">
        <v>45000</v>
      </c>
      <c r="GK114" s="30" t="n">
        <v>45000</v>
      </c>
      <c r="GL114" s="30" t="n">
        <v>45000</v>
      </c>
      <c r="GM114" s="30" t="n">
        <v>45000</v>
      </c>
      <c r="GN114" s="30" t="n">
        <v>45000</v>
      </c>
      <c r="GO114" s="30" t="n">
        <v>45000</v>
      </c>
      <c r="GP114" s="30" t="n">
        <v>45000</v>
      </c>
      <c r="GQ114" s="30" t="n">
        <v>45000</v>
      </c>
      <c r="GR114" s="30" t="n">
        <v>20000</v>
      </c>
      <c r="GS114" s="30" t="n">
        <v>20000</v>
      </c>
      <c r="GT114" s="30" t="n">
        <v>45000</v>
      </c>
      <c r="GU114" s="30" t="n">
        <v>45000</v>
      </c>
      <c r="GV114" s="30" t="n">
        <v>45000</v>
      </c>
      <c r="GW114" s="30"/>
      <c r="GX114" s="30" t="n">
        <f aca="false">SUM(N114:GW114)</f>
        <v>535000</v>
      </c>
      <c r="GY114" s="36" t="n">
        <f aca="false">SUM(L114-GX114)</f>
        <v>113000</v>
      </c>
      <c r="GZ114" s="32" t="n">
        <f aca="false">SUM( H114/5)</f>
        <v>11.8888888888889</v>
      </c>
      <c r="HA114" s="32" t="n">
        <f aca="false">SUM( I114/5)</f>
        <v>2.51111111111111</v>
      </c>
      <c r="HB114" s="33" t="n">
        <f aca="false">SUM(GZ114/4)</f>
        <v>2.97222222222222</v>
      </c>
      <c r="HC114" s="33" t="n">
        <f aca="false">SUM(HA114/4)</f>
        <v>0.627777777777778</v>
      </c>
    </row>
    <row r="115" customFormat="false" ht="28.5" hidden="true" customHeight="true" outlineLevel="0" collapsed="false">
      <c r="A115" s="26" t="n">
        <v>3744</v>
      </c>
      <c r="B115" s="21" t="s">
        <v>404</v>
      </c>
      <c r="C115" s="21" t="s">
        <v>405</v>
      </c>
      <c r="D115" s="34" t="s">
        <v>406</v>
      </c>
      <c r="E115" s="25" t="n">
        <v>46128</v>
      </c>
      <c r="F115" s="25" t="n">
        <f aca="false">WORKDAY(E115,G115)</f>
        <v>46230</v>
      </c>
      <c r="G115" s="26" t="n">
        <v>72</v>
      </c>
      <c r="H115" s="27" t="n">
        <f aca="false">(GX115* 5)/M115</f>
        <v>39.5555555555556</v>
      </c>
      <c r="I115" s="27" t="n">
        <f aca="false">G115-H115</f>
        <v>32.4444444444444</v>
      </c>
      <c r="J115" s="22" t="s">
        <v>245</v>
      </c>
      <c r="K115" s="31" t="n">
        <v>300000</v>
      </c>
      <c r="L115" s="31" t="n">
        <v>648000</v>
      </c>
      <c r="M115" s="29" t="n">
        <f aca="false">(L115/G115)*5</f>
        <v>45000</v>
      </c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 t="s">
        <v>214</v>
      </c>
      <c r="EL115" s="30"/>
      <c r="EM115" s="30" t="s">
        <v>214</v>
      </c>
      <c r="EN115" s="30" t="s">
        <v>214</v>
      </c>
      <c r="EO115" s="30"/>
      <c r="EP115" s="30"/>
      <c r="EQ115" s="30"/>
      <c r="ER115" s="30"/>
      <c r="ES115" s="30" t="s">
        <v>214</v>
      </c>
      <c r="ET115" s="30"/>
      <c r="EU115" s="30"/>
      <c r="EV115" s="30" t="s">
        <v>214</v>
      </c>
      <c r="EW115" s="30"/>
      <c r="EX115" s="30"/>
      <c r="EY115" s="30"/>
      <c r="EZ115" s="30"/>
      <c r="FA115" s="30"/>
      <c r="FB115" s="30"/>
      <c r="FC115" s="30" t="s">
        <v>214</v>
      </c>
      <c r="FD115" s="30"/>
      <c r="FE115" s="30"/>
      <c r="FF115" s="30"/>
      <c r="FG115" s="30"/>
      <c r="FH115" s="30"/>
      <c r="FI115" s="30"/>
      <c r="FJ115" s="30"/>
      <c r="FK115" s="30"/>
      <c r="FL115" s="30" t="s">
        <v>214</v>
      </c>
      <c r="FM115" s="30"/>
      <c r="FN115" s="30"/>
      <c r="FO115" s="30"/>
      <c r="FP115" s="30"/>
      <c r="FQ115" s="30"/>
      <c r="FR115" s="30"/>
      <c r="FS115" s="30"/>
      <c r="FT115" s="30"/>
      <c r="FU115" s="30"/>
      <c r="FV115" s="30"/>
      <c r="FW115" s="30"/>
      <c r="FX115" s="30"/>
      <c r="FY115" s="30"/>
      <c r="FZ115" s="30"/>
      <c r="GA115" s="30"/>
      <c r="GB115" s="30"/>
      <c r="GC115" s="30"/>
      <c r="GD115" s="30"/>
      <c r="GE115" s="30"/>
      <c r="GF115" s="30"/>
      <c r="GG115" s="30"/>
      <c r="GH115" s="30"/>
      <c r="GI115" s="30"/>
      <c r="GJ115" s="30"/>
      <c r="GK115" s="30"/>
      <c r="GL115" s="30"/>
      <c r="GM115" s="30"/>
      <c r="GN115" s="30" t="n">
        <v>41000</v>
      </c>
      <c r="GO115" s="30" t="n">
        <v>45000</v>
      </c>
      <c r="GP115" s="30" t="n">
        <v>45000</v>
      </c>
      <c r="GQ115" s="30" t="n">
        <v>25000</v>
      </c>
      <c r="GR115" s="30" t="n">
        <v>20000</v>
      </c>
      <c r="GS115" s="30" t="n">
        <v>45000</v>
      </c>
      <c r="GT115" s="30" t="n">
        <v>45000</v>
      </c>
      <c r="GU115" s="30" t="n">
        <v>45000</v>
      </c>
      <c r="GV115" s="30" t="n">
        <v>45000</v>
      </c>
      <c r="GW115" s="30"/>
      <c r="GX115" s="30" t="n">
        <f aca="false">SUM(N115:GW115)</f>
        <v>356000</v>
      </c>
      <c r="GY115" s="36" t="n">
        <f aca="false">SUM(L115-GX115)</f>
        <v>292000</v>
      </c>
      <c r="GZ115" s="32" t="n">
        <f aca="false">SUM( H115/5)</f>
        <v>7.91111111111111</v>
      </c>
      <c r="HA115" s="32" t="n">
        <f aca="false">SUM( I115/5)</f>
        <v>6.48888888888889</v>
      </c>
      <c r="HB115" s="33" t="n">
        <f aca="false">SUM(GZ115/4)</f>
        <v>1.97777777777778</v>
      </c>
      <c r="HC115" s="33" t="n">
        <f aca="false">SUM(HA115/4)</f>
        <v>1.62222222222222</v>
      </c>
    </row>
    <row r="116" customFormat="false" ht="28.5" hidden="true" customHeight="true" outlineLevel="0" collapsed="false">
      <c r="A116" s="26" t="n">
        <v>3818</v>
      </c>
      <c r="B116" s="21" t="s">
        <v>404</v>
      </c>
      <c r="C116" s="21" t="s">
        <v>405</v>
      </c>
      <c r="D116" s="34" t="s">
        <v>406</v>
      </c>
      <c r="E116" s="25" t="n">
        <v>46197</v>
      </c>
      <c r="F116" s="25" t="n">
        <f aca="false">WORKDAY(E116,G116)</f>
        <v>46297</v>
      </c>
      <c r="G116" s="26" t="n">
        <v>72</v>
      </c>
      <c r="H116" s="27" t="n">
        <f aca="false">(GX116* 5)/M116</f>
        <v>0</v>
      </c>
      <c r="I116" s="27" t="n">
        <f aca="false">G116-H116</f>
        <v>72</v>
      </c>
      <c r="J116" s="22" t="s">
        <v>243</v>
      </c>
      <c r="K116" s="36" t="n">
        <v>150000</v>
      </c>
      <c r="L116" s="36" t="n">
        <v>324000</v>
      </c>
      <c r="M116" s="29" t="n">
        <f aca="false">(L116/G116)*5</f>
        <v>22500</v>
      </c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  <c r="DX116" s="30"/>
      <c r="DY116" s="30"/>
      <c r="DZ116" s="30"/>
      <c r="EA116" s="30"/>
      <c r="EB116" s="30"/>
      <c r="EC116" s="30"/>
      <c r="ED116" s="30"/>
      <c r="EE116" s="30"/>
      <c r="EF116" s="30"/>
      <c r="EG116" s="30"/>
      <c r="EH116" s="30"/>
      <c r="EI116" s="30"/>
      <c r="EJ116" s="30"/>
      <c r="EK116" s="30" t="s">
        <v>214</v>
      </c>
      <c r="EL116" s="30"/>
      <c r="EM116" s="30" t="s">
        <v>214</v>
      </c>
      <c r="EN116" s="30" t="s">
        <v>214</v>
      </c>
      <c r="EO116" s="30"/>
      <c r="EP116" s="30"/>
      <c r="EQ116" s="30"/>
      <c r="ER116" s="30"/>
      <c r="ES116" s="30" t="s">
        <v>214</v>
      </c>
      <c r="ET116" s="30"/>
      <c r="EU116" s="30"/>
      <c r="EV116" s="30" t="s">
        <v>214</v>
      </c>
      <c r="EW116" s="30"/>
      <c r="EX116" s="30"/>
      <c r="EY116" s="30"/>
      <c r="EZ116" s="30"/>
      <c r="FA116" s="30"/>
      <c r="FB116" s="30"/>
      <c r="FC116" s="30" t="s">
        <v>214</v>
      </c>
      <c r="FD116" s="30"/>
      <c r="FE116" s="30"/>
      <c r="FF116" s="30"/>
      <c r="FG116" s="30"/>
      <c r="FH116" s="30"/>
      <c r="FI116" s="30"/>
      <c r="FJ116" s="30"/>
      <c r="FK116" s="30"/>
      <c r="FL116" s="30" t="s">
        <v>214</v>
      </c>
      <c r="FM116" s="30"/>
      <c r="FN116" s="30"/>
      <c r="FO116" s="30"/>
      <c r="FP116" s="30"/>
      <c r="FQ116" s="30"/>
      <c r="FR116" s="30"/>
      <c r="FS116" s="30"/>
      <c r="FT116" s="30"/>
      <c r="FU116" s="30"/>
      <c r="FV116" s="30"/>
      <c r="FW116" s="30"/>
      <c r="FX116" s="30"/>
      <c r="FY116" s="30"/>
      <c r="FZ116" s="30"/>
      <c r="GA116" s="30"/>
      <c r="GB116" s="30"/>
      <c r="GC116" s="30"/>
      <c r="GD116" s="30"/>
      <c r="GE116" s="30"/>
      <c r="GF116" s="30"/>
      <c r="GG116" s="30"/>
      <c r="GH116" s="30"/>
      <c r="GI116" s="30"/>
      <c r="GJ116" s="30"/>
      <c r="GK116" s="30"/>
      <c r="GL116" s="30"/>
      <c r="GM116" s="30"/>
      <c r="GN116" s="30"/>
      <c r="GO116" s="30"/>
      <c r="GP116" s="30"/>
      <c r="GQ116" s="30"/>
      <c r="GR116" s="30"/>
      <c r="GS116" s="30"/>
      <c r="GT116" s="30"/>
      <c r="GU116" s="30"/>
      <c r="GV116" s="30"/>
      <c r="GW116" s="30"/>
      <c r="GX116" s="30" t="n">
        <f aca="false">SUM(N116:GW116)</f>
        <v>0</v>
      </c>
      <c r="GY116" s="36" t="n">
        <f aca="false">SUM(L116-GX116)</f>
        <v>324000</v>
      </c>
      <c r="GZ116" s="32" t="n">
        <f aca="false">SUM( H116/5)</f>
        <v>0</v>
      </c>
      <c r="HA116" s="32" t="n">
        <f aca="false">SUM( I116/5)</f>
        <v>14.4</v>
      </c>
      <c r="HB116" s="33" t="n">
        <f aca="false">SUM(GZ116/4)</f>
        <v>0</v>
      </c>
      <c r="HC116" s="33" t="n">
        <f aca="false">SUM(HA116/4)</f>
        <v>3.6</v>
      </c>
    </row>
    <row r="117" customFormat="false" ht="28.5" hidden="true" customHeight="true" outlineLevel="0" collapsed="false">
      <c r="A117" s="26" t="n">
        <v>3623</v>
      </c>
      <c r="B117" s="21" t="s">
        <v>407</v>
      </c>
      <c r="C117" s="21" t="s">
        <v>397</v>
      </c>
      <c r="D117" s="34"/>
      <c r="E117" s="25" t="n">
        <v>46049</v>
      </c>
      <c r="F117" s="25" t="n">
        <f aca="false">WORKDAY(E117,G117)</f>
        <v>46203</v>
      </c>
      <c r="G117" s="26" t="n">
        <v>110</v>
      </c>
      <c r="H117" s="27" t="n">
        <f aca="false">(GX117* 5)/M117</f>
        <v>101.785714285714</v>
      </c>
      <c r="I117" s="27" t="n">
        <f aca="false">G117-H117</f>
        <v>8.21428571428571</v>
      </c>
      <c r="J117" s="59" t="s">
        <v>408</v>
      </c>
      <c r="K117" s="31" t="n">
        <v>350000</v>
      </c>
      <c r="L117" s="31" t="n">
        <v>924000</v>
      </c>
      <c r="M117" s="37" t="n">
        <f aca="false">(L117/G117)*5</f>
        <v>42000</v>
      </c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 t="s">
        <v>214</v>
      </c>
      <c r="EL117" s="30"/>
      <c r="EM117" s="30" t="s">
        <v>214</v>
      </c>
      <c r="EN117" s="30" t="s">
        <v>214</v>
      </c>
      <c r="EO117" s="30"/>
      <c r="EP117" s="30"/>
      <c r="EQ117" s="30"/>
      <c r="ER117" s="30"/>
      <c r="ES117" s="30" t="s">
        <v>214</v>
      </c>
      <c r="ET117" s="30"/>
      <c r="EU117" s="30"/>
      <c r="EV117" s="30" t="s">
        <v>214</v>
      </c>
      <c r="EW117" s="30"/>
      <c r="EX117" s="30"/>
      <c r="EY117" s="30"/>
      <c r="EZ117" s="30"/>
      <c r="FA117" s="30"/>
      <c r="FB117" s="30"/>
      <c r="FC117" s="30" t="s">
        <v>214</v>
      </c>
      <c r="FD117" s="30"/>
      <c r="FE117" s="30"/>
      <c r="FF117" s="30"/>
      <c r="FG117" s="30"/>
      <c r="FH117" s="30"/>
      <c r="FI117" s="30"/>
      <c r="FJ117" s="30"/>
      <c r="FK117" s="30"/>
      <c r="FL117" s="30" t="s">
        <v>214</v>
      </c>
      <c r="FM117" s="30"/>
      <c r="FN117" s="30"/>
      <c r="FO117" s="30"/>
      <c r="FP117" s="30"/>
      <c r="FQ117" s="30"/>
      <c r="FR117" s="30"/>
      <c r="FS117" s="30"/>
      <c r="FT117" s="30"/>
      <c r="FU117" s="30"/>
      <c r="FV117" s="30"/>
      <c r="FW117" s="30"/>
      <c r="FX117" s="30"/>
      <c r="FY117" s="30"/>
      <c r="FZ117" s="30"/>
      <c r="GA117" s="30"/>
      <c r="GB117" s="30" t="n">
        <v>84000</v>
      </c>
      <c r="GC117" s="30"/>
      <c r="GD117" s="30"/>
      <c r="GE117" s="30" t="n">
        <v>84000</v>
      </c>
      <c r="GF117" s="30" t="n">
        <v>84000</v>
      </c>
      <c r="GG117" s="30"/>
      <c r="GH117" s="30" t="n">
        <v>84000</v>
      </c>
      <c r="GI117" s="30"/>
      <c r="GJ117" s="30"/>
      <c r="GK117" s="30" t="n">
        <v>84000</v>
      </c>
      <c r="GL117" s="30"/>
      <c r="GM117" s="30" t="n">
        <v>84000</v>
      </c>
      <c r="GN117" s="30"/>
      <c r="GO117" s="30"/>
      <c r="GP117" s="30"/>
      <c r="GQ117" s="30" t="n">
        <v>168000</v>
      </c>
      <c r="GR117" s="30"/>
      <c r="GS117" s="30" t="n">
        <v>15000</v>
      </c>
      <c r="GT117" s="30" t="n">
        <v>84000</v>
      </c>
      <c r="GU117" s="30" t="n">
        <v>84000</v>
      </c>
      <c r="GV117" s="30"/>
      <c r="GW117" s="30"/>
      <c r="GX117" s="30" t="n">
        <f aca="false">SUM(N117:GW117)</f>
        <v>855000</v>
      </c>
      <c r="GY117" s="36" t="n">
        <f aca="false">SUM(L117-GX117)</f>
        <v>69000</v>
      </c>
      <c r="GZ117" s="32" t="n">
        <f aca="false">SUM( H117/5)</f>
        <v>20.3571428571429</v>
      </c>
      <c r="HA117" s="32" t="n">
        <f aca="false">SUM( I117/5)</f>
        <v>1.64285714285714</v>
      </c>
      <c r="HB117" s="33" t="n">
        <f aca="false">SUM(GZ117/4)</f>
        <v>5.08928571428571</v>
      </c>
      <c r="HC117" s="33" t="n">
        <f aca="false">SUM(HA117/4)</f>
        <v>0.410714285714285</v>
      </c>
    </row>
    <row r="118" customFormat="false" ht="28.5" hidden="true" customHeight="true" outlineLevel="0" collapsed="false">
      <c r="A118" s="26" t="n">
        <v>3813</v>
      </c>
      <c r="B118" s="21" t="s">
        <v>407</v>
      </c>
      <c r="C118" s="21" t="s">
        <v>397</v>
      </c>
      <c r="D118" s="34"/>
      <c r="E118" s="25" t="n">
        <v>46192</v>
      </c>
      <c r="F118" s="25" t="n">
        <f aca="false">WORKDAY(E118,G118)</f>
        <v>46276</v>
      </c>
      <c r="G118" s="26" t="n">
        <v>60</v>
      </c>
      <c r="H118" s="27" t="n">
        <f aca="false">(GX118* 5)/M118</f>
        <v>0</v>
      </c>
      <c r="I118" s="27" t="n">
        <f aca="false">G118-H118</f>
        <v>60</v>
      </c>
      <c r="J118" s="59" t="s">
        <v>409</v>
      </c>
      <c r="K118" s="31" t="n">
        <v>500000</v>
      </c>
      <c r="L118" s="31" t="n">
        <v>960000</v>
      </c>
      <c r="M118" s="37" t="n">
        <f aca="false">(L118/G118)*5</f>
        <v>80000</v>
      </c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  <c r="DX118" s="30"/>
      <c r="DY118" s="30"/>
      <c r="DZ118" s="30"/>
      <c r="EA118" s="30"/>
      <c r="EB118" s="30"/>
      <c r="EC118" s="30"/>
      <c r="ED118" s="30"/>
      <c r="EE118" s="30"/>
      <c r="EF118" s="30"/>
      <c r="EG118" s="30"/>
      <c r="EH118" s="30"/>
      <c r="EI118" s="30"/>
      <c r="EJ118" s="30"/>
      <c r="EK118" s="30" t="s">
        <v>214</v>
      </c>
      <c r="EL118" s="30"/>
      <c r="EM118" s="30" t="s">
        <v>214</v>
      </c>
      <c r="EN118" s="30" t="s">
        <v>214</v>
      </c>
      <c r="EO118" s="30"/>
      <c r="EP118" s="30"/>
      <c r="EQ118" s="30"/>
      <c r="ER118" s="30"/>
      <c r="ES118" s="30" t="s">
        <v>214</v>
      </c>
      <c r="ET118" s="30"/>
      <c r="EU118" s="30"/>
      <c r="EV118" s="30" t="s">
        <v>214</v>
      </c>
      <c r="EW118" s="30"/>
      <c r="EX118" s="30"/>
      <c r="EY118" s="30"/>
      <c r="EZ118" s="30"/>
      <c r="FA118" s="30"/>
      <c r="FB118" s="30"/>
      <c r="FC118" s="30" t="s">
        <v>214</v>
      </c>
      <c r="FD118" s="30"/>
      <c r="FE118" s="30"/>
      <c r="FF118" s="30"/>
      <c r="FG118" s="30"/>
      <c r="FH118" s="30"/>
      <c r="FI118" s="30"/>
      <c r="FJ118" s="30"/>
      <c r="FK118" s="30"/>
      <c r="FL118" s="30" t="s">
        <v>214</v>
      </c>
      <c r="FM118" s="30"/>
      <c r="FN118" s="30"/>
      <c r="FO118" s="30"/>
      <c r="FP118" s="30"/>
      <c r="FQ118" s="30"/>
      <c r="FR118" s="30"/>
      <c r="FS118" s="30"/>
      <c r="FT118" s="30"/>
      <c r="FU118" s="30"/>
      <c r="FV118" s="30"/>
      <c r="FW118" s="30"/>
      <c r="FX118" s="30"/>
      <c r="FY118" s="30"/>
      <c r="FZ118" s="30"/>
      <c r="GA118" s="30"/>
      <c r="GB118" s="30"/>
      <c r="GC118" s="30"/>
      <c r="GD118" s="30"/>
      <c r="GE118" s="30"/>
      <c r="GF118" s="30"/>
      <c r="GG118" s="30"/>
      <c r="GH118" s="30"/>
      <c r="GI118" s="30"/>
      <c r="GJ118" s="30"/>
      <c r="GK118" s="30"/>
      <c r="GL118" s="30"/>
      <c r="GM118" s="30"/>
      <c r="GN118" s="30"/>
      <c r="GO118" s="30"/>
      <c r="GP118" s="30"/>
      <c r="GQ118" s="30"/>
      <c r="GR118" s="30"/>
      <c r="GS118" s="30"/>
      <c r="GT118" s="30"/>
      <c r="GU118" s="30"/>
      <c r="GV118" s="30"/>
      <c r="GW118" s="30"/>
      <c r="GX118" s="30" t="n">
        <f aca="false">SUM(N118:GW118)</f>
        <v>0</v>
      </c>
      <c r="GY118" s="36" t="n">
        <f aca="false">SUM(L118-GX118)</f>
        <v>960000</v>
      </c>
      <c r="GZ118" s="32" t="n">
        <f aca="false">SUM( H118/5)</f>
        <v>0</v>
      </c>
      <c r="HA118" s="32" t="n">
        <f aca="false">SUM( I118/5)</f>
        <v>12</v>
      </c>
      <c r="HB118" s="33" t="n">
        <f aca="false">SUM(GZ118/4)</f>
        <v>0</v>
      </c>
      <c r="HC118" s="33" t="n">
        <f aca="false">SUM(HA118/4)</f>
        <v>3</v>
      </c>
    </row>
    <row r="119" customFormat="false" ht="28.5" hidden="true" customHeight="true" outlineLevel="0" collapsed="false">
      <c r="A119" s="26" t="n">
        <v>3692</v>
      </c>
      <c r="B119" s="34" t="s">
        <v>410</v>
      </c>
      <c r="C119" s="34" t="s">
        <v>411</v>
      </c>
      <c r="D119" s="25"/>
      <c r="E119" s="25" t="n">
        <v>46102</v>
      </c>
      <c r="F119" s="25" t="n">
        <f aca="false">WORKDAY(E119,G119)</f>
        <v>46203</v>
      </c>
      <c r="G119" s="26" t="n">
        <v>72</v>
      </c>
      <c r="H119" s="27" t="n">
        <f aca="false">(GX119* 5)/M119</f>
        <v>72</v>
      </c>
      <c r="I119" s="27" t="n">
        <f aca="false">G119-H119</f>
        <v>0</v>
      </c>
      <c r="J119" s="31" t="s">
        <v>412</v>
      </c>
      <c r="K119" s="31" t="n">
        <v>500000</v>
      </c>
      <c r="L119" s="37" t="n">
        <v>1080000</v>
      </c>
      <c r="M119" s="29" t="n">
        <f aca="false">(L119/G119)*5</f>
        <v>75000</v>
      </c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 t="s">
        <v>214</v>
      </c>
      <c r="EL119" s="30"/>
      <c r="EM119" s="30" t="s">
        <v>214</v>
      </c>
      <c r="EN119" s="30" t="s">
        <v>214</v>
      </c>
      <c r="EO119" s="30"/>
      <c r="EP119" s="30"/>
      <c r="EQ119" s="30"/>
      <c r="ER119" s="30"/>
      <c r="ES119" s="30" t="s">
        <v>214</v>
      </c>
      <c r="ET119" s="30"/>
      <c r="EU119" s="30"/>
      <c r="EV119" s="30" t="s">
        <v>214</v>
      </c>
      <c r="EW119" s="30"/>
      <c r="EX119" s="30"/>
      <c r="EY119" s="30"/>
      <c r="EZ119" s="30"/>
      <c r="FA119" s="30"/>
      <c r="FB119" s="30"/>
      <c r="FC119" s="30" t="s">
        <v>214</v>
      </c>
      <c r="FD119" s="30"/>
      <c r="FE119" s="30"/>
      <c r="FF119" s="30"/>
      <c r="FG119" s="30"/>
      <c r="FH119" s="30"/>
      <c r="FI119" s="30"/>
      <c r="FJ119" s="30"/>
      <c r="FK119" s="30"/>
      <c r="FL119" s="30" t="s">
        <v>214</v>
      </c>
      <c r="FM119" s="30"/>
      <c r="FN119" s="30"/>
      <c r="FO119" s="30"/>
      <c r="FP119" s="30"/>
      <c r="FQ119" s="30"/>
      <c r="FR119" s="30"/>
      <c r="FS119" s="30"/>
      <c r="FT119" s="30"/>
      <c r="FU119" s="30"/>
      <c r="FV119" s="30"/>
      <c r="FW119" s="30"/>
      <c r="FX119" s="30"/>
      <c r="FY119" s="30"/>
      <c r="FZ119" s="30"/>
      <c r="GA119" s="30"/>
      <c r="GB119" s="30"/>
      <c r="GC119" s="30"/>
      <c r="GD119" s="30"/>
      <c r="GE119" s="30"/>
      <c r="GF119" s="30"/>
      <c r="GG119" s="30"/>
      <c r="GH119" s="30"/>
      <c r="GI119" s="30" t="n">
        <v>75000</v>
      </c>
      <c r="GJ119" s="30" t="n">
        <v>75000</v>
      </c>
      <c r="GK119" s="30" t="n">
        <v>75000</v>
      </c>
      <c r="GL119" s="30" t="n">
        <v>75000</v>
      </c>
      <c r="GM119" s="30" t="n">
        <v>75000</v>
      </c>
      <c r="GN119" s="30" t="n">
        <v>75000</v>
      </c>
      <c r="GO119" s="30" t="n">
        <v>75000</v>
      </c>
      <c r="GP119" s="30"/>
      <c r="GQ119" s="30" t="n">
        <v>75000</v>
      </c>
      <c r="GR119" s="30" t="n">
        <v>75000</v>
      </c>
      <c r="GS119" s="30" t="n">
        <v>74000</v>
      </c>
      <c r="GT119" s="30" t="n">
        <v>75000</v>
      </c>
      <c r="GU119" s="30" t="n">
        <v>75000</v>
      </c>
      <c r="GV119" s="30" t="n">
        <v>75000</v>
      </c>
      <c r="GW119" s="30" t="n">
        <v>106000</v>
      </c>
      <c r="GX119" s="30" t="n">
        <f aca="false">SUM(N119:GW119)</f>
        <v>1080000</v>
      </c>
      <c r="GY119" s="36" t="n">
        <f aca="false">SUM(L119-GX119)</f>
        <v>0</v>
      </c>
      <c r="GZ119" s="32" t="n">
        <f aca="false">SUM( H119/5)</f>
        <v>14.4</v>
      </c>
      <c r="HA119" s="32" t="n">
        <f aca="false">SUM( I119/5)</f>
        <v>0</v>
      </c>
      <c r="HB119" s="33" t="n">
        <f aca="false">SUM(GZ119/4)</f>
        <v>3.6</v>
      </c>
      <c r="HC119" s="33" t="n">
        <f aca="false">SUM(HA119/4)</f>
        <v>0</v>
      </c>
    </row>
    <row r="120" customFormat="false" ht="28.5" hidden="true" customHeight="true" outlineLevel="0" collapsed="false">
      <c r="A120" s="26" t="n">
        <v>3670</v>
      </c>
      <c r="B120" s="34" t="s">
        <v>413</v>
      </c>
      <c r="C120" s="22" t="s">
        <v>414</v>
      </c>
      <c r="D120" s="22" t="n">
        <v>37095915</v>
      </c>
      <c r="E120" s="24" t="n">
        <v>46086</v>
      </c>
      <c r="F120" s="25" t="n">
        <f aca="false">WORKDAY(E120,G120)</f>
        <v>46198</v>
      </c>
      <c r="G120" s="26" t="n">
        <v>80</v>
      </c>
      <c r="H120" s="27" t="n">
        <f aca="false">(GX120* 5)/M120</f>
        <v>60</v>
      </c>
      <c r="I120" s="27" t="n">
        <f aca="false">G120-H120</f>
        <v>20</v>
      </c>
      <c r="J120" s="35" t="s">
        <v>415</v>
      </c>
      <c r="K120" s="28" t="n">
        <v>500000</v>
      </c>
      <c r="L120" s="28" t="n">
        <v>1080000</v>
      </c>
      <c r="M120" s="29" t="n">
        <f aca="false">(L120/G120)*5</f>
        <v>67500</v>
      </c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  <c r="ED120" s="30"/>
      <c r="EE120" s="30"/>
      <c r="EF120" s="30"/>
      <c r="EG120" s="30"/>
      <c r="EH120" s="30"/>
      <c r="EI120" s="30"/>
      <c r="EJ120" s="30"/>
      <c r="EK120" s="30" t="s">
        <v>214</v>
      </c>
      <c r="EL120" s="30"/>
      <c r="EM120" s="30" t="s">
        <v>214</v>
      </c>
      <c r="EN120" s="30" t="s">
        <v>214</v>
      </c>
      <c r="EO120" s="30"/>
      <c r="EP120" s="30"/>
      <c r="EQ120" s="30"/>
      <c r="ER120" s="30"/>
      <c r="ES120" s="30" t="s">
        <v>214</v>
      </c>
      <c r="ET120" s="30"/>
      <c r="EU120" s="30"/>
      <c r="EV120" s="30" t="s">
        <v>214</v>
      </c>
      <c r="EW120" s="30"/>
      <c r="EX120" s="30"/>
      <c r="EY120" s="30"/>
      <c r="EZ120" s="30"/>
      <c r="FA120" s="30"/>
      <c r="FB120" s="30"/>
      <c r="FC120" s="30" t="s">
        <v>214</v>
      </c>
      <c r="FD120" s="30"/>
      <c r="FE120" s="30"/>
      <c r="FF120" s="30"/>
      <c r="FG120" s="30"/>
      <c r="FH120" s="30"/>
      <c r="FI120" s="30"/>
      <c r="FJ120" s="30"/>
      <c r="FK120" s="30"/>
      <c r="FL120" s="30" t="s">
        <v>214</v>
      </c>
      <c r="FM120" s="30"/>
      <c r="FN120" s="30"/>
      <c r="FO120" s="30"/>
      <c r="FP120" s="30"/>
      <c r="FQ120" s="30"/>
      <c r="FR120" s="30"/>
      <c r="FS120" s="30"/>
      <c r="FT120" s="30"/>
      <c r="FU120" s="30"/>
      <c r="FV120" s="30"/>
      <c r="FW120" s="30"/>
      <c r="FX120" s="30"/>
      <c r="FY120" s="30"/>
      <c r="FZ120" s="30"/>
      <c r="GA120" s="30"/>
      <c r="GB120" s="30"/>
      <c r="GC120" s="30"/>
      <c r="GD120" s="30"/>
      <c r="GE120" s="30"/>
      <c r="GF120" s="30"/>
      <c r="GG120" s="30"/>
      <c r="GH120" s="30"/>
      <c r="GI120" s="30"/>
      <c r="GJ120" s="30"/>
      <c r="GK120" s="30"/>
      <c r="GL120" s="30"/>
      <c r="GM120" s="30" t="n">
        <v>270000</v>
      </c>
      <c r="GN120" s="30"/>
      <c r="GO120" s="30"/>
      <c r="GP120" s="30"/>
      <c r="GQ120" s="30" t="n">
        <v>270000</v>
      </c>
      <c r="GR120" s="30"/>
      <c r="GS120" s="30"/>
      <c r="GT120" s="30"/>
      <c r="GU120" s="30" t="n">
        <v>270000</v>
      </c>
      <c r="GV120" s="30"/>
      <c r="GW120" s="30"/>
      <c r="GX120" s="30" t="n">
        <f aca="false">SUM(N120:GW120)</f>
        <v>810000</v>
      </c>
      <c r="GY120" s="36" t="n">
        <f aca="false">SUM(L120-GX120)</f>
        <v>270000</v>
      </c>
      <c r="GZ120" s="32" t="n">
        <f aca="false">SUM( H120/5)</f>
        <v>12</v>
      </c>
      <c r="HA120" s="32" t="n">
        <f aca="false">SUM( I120/5)</f>
        <v>4</v>
      </c>
      <c r="HB120" s="33" t="n">
        <f aca="false">SUM(GZ120/4)</f>
        <v>3</v>
      </c>
      <c r="HC120" s="33" t="n">
        <f aca="false">SUM(HA120/4)</f>
        <v>1</v>
      </c>
    </row>
    <row r="121" customFormat="false" ht="28.5" hidden="true" customHeight="true" outlineLevel="0" collapsed="false">
      <c r="A121" s="26" t="n">
        <v>3469</v>
      </c>
      <c r="B121" s="21" t="s">
        <v>416</v>
      </c>
      <c r="C121" s="21" t="s">
        <v>417</v>
      </c>
      <c r="D121" s="34" t="n">
        <v>13589728</v>
      </c>
      <c r="E121" s="25" t="n">
        <v>46013</v>
      </c>
      <c r="F121" s="25" t="n">
        <f aca="false">WORKDAY(E121,G121)</f>
        <v>46167</v>
      </c>
      <c r="G121" s="26" t="n">
        <v>110</v>
      </c>
      <c r="H121" s="27" t="n">
        <f aca="false">(GX121* 5)/M121</f>
        <v>70.8333333333333</v>
      </c>
      <c r="I121" s="27" t="n">
        <f aca="false">G121-H121</f>
        <v>39.1666666666667</v>
      </c>
      <c r="J121" s="35" t="s">
        <v>418</v>
      </c>
      <c r="K121" s="45" t="n">
        <v>100000</v>
      </c>
      <c r="L121" s="31" t="n">
        <v>264000</v>
      </c>
      <c r="M121" s="29" t="n">
        <f aca="false">(L121/G121)*5</f>
        <v>12000</v>
      </c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  <c r="ED121" s="30"/>
      <c r="EE121" s="30"/>
      <c r="EF121" s="30"/>
      <c r="EG121" s="30"/>
      <c r="EH121" s="30"/>
      <c r="EI121" s="30"/>
      <c r="EJ121" s="30"/>
      <c r="EK121" s="30" t="s">
        <v>214</v>
      </c>
      <c r="EL121" s="30"/>
      <c r="EM121" s="30" t="s">
        <v>214</v>
      </c>
      <c r="EN121" s="30" t="s">
        <v>214</v>
      </c>
      <c r="EO121" s="30"/>
      <c r="EP121" s="30"/>
      <c r="EQ121" s="30"/>
      <c r="ER121" s="30"/>
      <c r="ES121" s="30" t="s">
        <v>214</v>
      </c>
      <c r="ET121" s="30"/>
      <c r="EU121" s="30"/>
      <c r="EV121" s="30" t="s">
        <v>214</v>
      </c>
      <c r="EW121" s="30"/>
      <c r="EX121" s="30"/>
      <c r="EY121" s="30"/>
      <c r="EZ121" s="30"/>
      <c r="FA121" s="30"/>
      <c r="FB121" s="30"/>
      <c r="FC121" s="30" t="s">
        <v>214</v>
      </c>
      <c r="FD121" s="30"/>
      <c r="FE121" s="30"/>
      <c r="FF121" s="30"/>
      <c r="FG121" s="30"/>
      <c r="FH121" s="30"/>
      <c r="FI121" s="30"/>
      <c r="FJ121" s="30"/>
      <c r="FK121" s="30"/>
      <c r="FL121" s="30" t="s">
        <v>214</v>
      </c>
      <c r="FM121" s="30"/>
      <c r="FN121" s="30"/>
      <c r="FO121" s="30"/>
      <c r="FP121" s="30"/>
      <c r="FQ121" s="30"/>
      <c r="FR121" s="30"/>
      <c r="FS121" s="30"/>
      <c r="FT121" s="30"/>
      <c r="FU121" s="30"/>
      <c r="FV121" s="30"/>
      <c r="FW121" s="30"/>
      <c r="FX121" s="30"/>
      <c r="FY121" s="30"/>
      <c r="FZ121" s="30"/>
      <c r="GA121" s="30"/>
      <c r="GB121" s="30"/>
      <c r="GC121" s="30"/>
      <c r="GD121" s="30"/>
      <c r="GE121" s="30" t="n">
        <v>44000</v>
      </c>
      <c r="GF121" s="30"/>
      <c r="GG121" s="30"/>
      <c r="GH121" s="30" t="n">
        <v>44000</v>
      </c>
      <c r="GI121" s="30"/>
      <c r="GJ121" s="30"/>
      <c r="GK121" s="30"/>
      <c r="GL121" s="30"/>
      <c r="GM121" s="30" t="n">
        <v>44000</v>
      </c>
      <c r="GN121" s="30"/>
      <c r="GO121" s="30"/>
      <c r="GP121" s="30"/>
      <c r="GQ121" s="30"/>
      <c r="GR121" s="30"/>
      <c r="GS121" s="30"/>
      <c r="GT121" s="30"/>
      <c r="GU121" s="30"/>
      <c r="GV121" s="30" t="n">
        <v>38000</v>
      </c>
      <c r="GW121" s="30"/>
      <c r="GX121" s="30" t="n">
        <f aca="false">SUM(N121:GW121)</f>
        <v>170000</v>
      </c>
      <c r="GY121" s="36" t="n">
        <f aca="false">SUM(L121-GX121)</f>
        <v>94000</v>
      </c>
      <c r="GZ121" s="32" t="n">
        <f aca="false">SUM( H121/5)</f>
        <v>14.1666666666667</v>
      </c>
      <c r="HA121" s="32" t="n">
        <f aca="false">SUM( I121/5)</f>
        <v>7.83333333333333</v>
      </c>
      <c r="HB121" s="33" t="n">
        <f aca="false">SUM(GZ121/4)</f>
        <v>3.54166666666667</v>
      </c>
      <c r="HC121" s="33" t="n">
        <f aca="false">SUM(HA121/4)</f>
        <v>1.95833333333333</v>
      </c>
    </row>
    <row r="122" customFormat="false" ht="28.5" hidden="true" customHeight="true" outlineLevel="0" collapsed="false">
      <c r="A122" s="26" t="n">
        <v>3713</v>
      </c>
      <c r="B122" s="21" t="s">
        <v>416</v>
      </c>
      <c r="C122" s="21" t="s">
        <v>417</v>
      </c>
      <c r="D122" s="34" t="n">
        <v>13589728</v>
      </c>
      <c r="E122" s="25" t="n">
        <v>46120</v>
      </c>
      <c r="F122" s="25" t="n">
        <f aca="false">WORKDAY(E122,G122)</f>
        <v>46344</v>
      </c>
      <c r="G122" s="26" t="n">
        <v>160</v>
      </c>
      <c r="H122" s="27" t="n">
        <f aca="false">(GX122* 5)/M122</f>
        <v>40</v>
      </c>
      <c r="I122" s="27" t="n">
        <f aca="false">G122-H122</f>
        <v>120</v>
      </c>
      <c r="J122" s="35" t="s">
        <v>302</v>
      </c>
      <c r="K122" s="46" t="n">
        <v>500000</v>
      </c>
      <c r="L122" s="36" t="n">
        <v>1440000</v>
      </c>
      <c r="M122" s="37" t="n">
        <f aca="false">(L122/G122)*5</f>
        <v>45000</v>
      </c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 t="s">
        <v>214</v>
      </c>
      <c r="EL122" s="30"/>
      <c r="EM122" s="30" t="s">
        <v>214</v>
      </c>
      <c r="EN122" s="30" t="s">
        <v>214</v>
      </c>
      <c r="EO122" s="30"/>
      <c r="EP122" s="30"/>
      <c r="EQ122" s="30"/>
      <c r="ER122" s="30"/>
      <c r="ES122" s="30" t="s">
        <v>214</v>
      </c>
      <c r="ET122" s="30"/>
      <c r="EU122" s="30"/>
      <c r="EV122" s="30" t="s">
        <v>214</v>
      </c>
      <c r="EW122" s="30"/>
      <c r="EX122" s="30"/>
      <c r="EY122" s="30"/>
      <c r="EZ122" s="30"/>
      <c r="FA122" s="30"/>
      <c r="FB122" s="30"/>
      <c r="FC122" s="30" t="s">
        <v>214</v>
      </c>
      <c r="FD122" s="30"/>
      <c r="FE122" s="30"/>
      <c r="FF122" s="30"/>
      <c r="FG122" s="30"/>
      <c r="FH122" s="30"/>
      <c r="FI122" s="30"/>
      <c r="FJ122" s="30"/>
      <c r="FK122" s="30"/>
      <c r="FL122" s="30" t="s">
        <v>214</v>
      </c>
      <c r="FM122" s="30"/>
      <c r="FN122" s="30"/>
      <c r="FO122" s="30"/>
      <c r="FP122" s="30"/>
      <c r="FQ122" s="30"/>
      <c r="FR122" s="30"/>
      <c r="FS122" s="30"/>
      <c r="FT122" s="30"/>
      <c r="FU122" s="30"/>
      <c r="FV122" s="30"/>
      <c r="FW122" s="30"/>
      <c r="FX122" s="30"/>
      <c r="FY122" s="30"/>
      <c r="FZ122" s="30"/>
      <c r="GA122" s="30"/>
      <c r="GB122" s="30"/>
      <c r="GC122" s="30"/>
      <c r="GD122" s="30"/>
      <c r="GE122" s="30"/>
      <c r="GF122" s="30"/>
      <c r="GG122" s="30"/>
      <c r="GH122" s="30"/>
      <c r="GI122" s="30"/>
      <c r="GJ122" s="30"/>
      <c r="GK122" s="30"/>
      <c r="GL122" s="30"/>
      <c r="GM122" s="30"/>
      <c r="GN122" s="30"/>
      <c r="GO122" s="30"/>
      <c r="GP122" s="30"/>
      <c r="GQ122" s="30" t="n">
        <v>180000</v>
      </c>
      <c r="GR122" s="30"/>
      <c r="GS122" s="30"/>
      <c r="GT122" s="30"/>
      <c r="GU122" s="30"/>
      <c r="GV122" s="30" t="n">
        <v>180000</v>
      </c>
      <c r="GW122" s="30"/>
      <c r="GX122" s="30" t="n">
        <f aca="false">SUM(N122:GW122)</f>
        <v>360000</v>
      </c>
      <c r="GY122" s="36" t="n">
        <f aca="false">SUM(L122-GX122)</f>
        <v>1080000</v>
      </c>
      <c r="GZ122" s="32" t="n">
        <f aca="false">SUM( H122/5)</f>
        <v>8</v>
      </c>
      <c r="HA122" s="32" t="n">
        <f aca="false">SUM( I122/5)</f>
        <v>24</v>
      </c>
      <c r="HB122" s="33" t="n">
        <f aca="false">SUM(GZ122/4)</f>
        <v>2</v>
      </c>
      <c r="HC122" s="33" t="n">
        <f aca="false">SUM(HA122/4)</f>
        <v>6</v>
      </c>
      <c r="HD122" s="1" t="n">
        <v>598000</v>
      </c>
    </row>
    <row r="123" customFormat="false" ht="28.5" hidden="true" customHeight="true" outlineLevel="0" collapsed="false">
      <c r="A123" s="60" t="n">
        <v>3645</v>
      </c>
      <c r="B123" s="51" t="s">
        <v>419</v>
      </c>
      <c r="C123" s="51" t="s">
        <v>420</v>
      </c>
      <c r="D123" s="61"/>
      <c r="E123" s="62" t="n">
        <v>46072</v>
      </c>
      <c r="F123" s="62" t="n">
        <f aca="false">WORKDAY(E123,G123)</f>
        <v>46184</v>
      </c>
      <c r="G123" s="60" t="n">
        <v>80</v>
      </c>
      <c r="H123" s="63" t="n">
        <f aca="false">(GX123* 5)/M123</f>
        <v>80</v>
      </c>
      <c r="I123" s="63" t="n">
        <f aca="false">G123-H123</f>
        <v>0</v>
      </c>
      <c r="J123" s="35" t="s">
        <v>421</v>
      </c>
      <c r="K123" s="31" t="n">
        <v>400000</v>
      </c>
      <c r="L123" s="31" t="n">
        <v>864000</v>
      </c>
      <c r="M123" s="37" t="n">
        <f aca="false">(L123/G123)*5</f>
        <v>54000</v>
      </c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 t="s">
        <v>214</v>
      </c>
      <c r="EL123" s="30"/>
      <c r="EM123" s="30" t="s">
        <v>214</v>
      </c>
      <c r="EN123" s="30" t="s">
        <v>214</v>
      </c>
      <c r="EO123" s="30"/>
      <c r="EP123" s="30"/>
      <c r="EQ123" s="30"/>
      <c r="ER123" s="30"/>
      <c r="ES123" s="30" t="s">
        <v>214</v>
      </c>
      <c r="ET123" s="30"/>
      <c r="EU123" s="30"/>
      <c r="EV123" s="30" t="s">
        <v>214</v>
      </c>
      <c r="EW123" s="30"/>
      <c r="EX123" s="30"/>
      <c r="EY123" s="30"/>
      <c r="EZ123" s="30"/>
      <c r="FA123" s="30"/>
      <c r="FB123" s="30"/>
      <c r="FC123" s="30" t="s">
        <v>214</v>
      </c>
      <c r="FD123" s="30"/>
      <c r="FE123" s="30"/>
      <c r="FF123" s="30"/>
      <c r="FG123" s="30"/>
      <c r="FH123" s="30"/>
      <c r="FI123" s="30"/>
      <c r="FJ123" s="30"/>
      <c r="FK123" s="30"/>
      <c r="FL123" s="30" t="s">
        <v>214</v>
      </c>
      <c r="FM123" s="30"/>
      <c r="FN123" s="30"/>
      <c r="FO123" s="30"/>
      <c r="FP123" s="30"/>
      <c r="FQ123" s="30"/>
      <c r="FR123" s="30"/>
      <c r="FS123" s="30"/>
      <c r="FT123" s="30"/>
      <c r="FU123" s="30"/>
      <c r="FV123" s="30"/>
      <c r="FW123" s="30"/>
      <c r="FX123" s="30"/>
      <c r="FY123" s="30"/>
      <c r="FZ123" s="30"/>
      <c r="GA123" s="30"/>
      <c r="GB123" s="30"/>
      <c r="GC123" s="30"/>
      <c r="GD123" s="30"/>
      <c r="GE123" s="30"/>
      <c r="GF123" s="30"/>
      <c r="GG123" s="30" t="n">
        <v>216000</v>
      </c>
      <c r="GH123" s="30"/>
      <c r="GI123" s="30"/>
      <c r="GJ123" s="30"/>
      <c r="GK123" s="30"/>
      <c r="GL123" s="30"/>
      <c r="GM123" s="30" t="n">
        <v>216000</v>
      </c>
      <c r="GN123" s="30"/>
      <c r="GO123" s="30" t="n">
        <v>216000</v>
      </c>
      <c r="GP123" s="30"/>
      <c r="GQ123" s="30"/>
      <c r="GR123" s="30"/>
      <c r="GS123" s="30"/>
      <c r="GT123" s="30"/>
      <c r="GU123" s="30"/>
      <c r="GV123" s="30" t="n">
        <v>110000</v>
      </c>
      <c r="GW123" s="30" t="n">
        <v>106000</v>
      </c>
      <c r="GX123" s="30" t="n">
        <f aca="false">SUM(N123:GW123)</f>
        <v>864000</v>
      </c>
      <c r="GY123" s="36" t="n">
        <f aca="false">SUM(L123-GX123)</f>
        <v>0</v>
      </c>
      <c r="GZ123" s="32" t="n">
        <f aca="false">SUM( H123/5)</f>
        <v>16</v>
      </c>
      <c r="HA123" s="32" t="n">
        <f aca="false">SUM( I123/5)</f>
        <v>0</v>
      </c>
      <c r="HB123" s="33" t="n">
        <f aca="false">SUM(GZ123/4)</f>
        <v>4</v>
      </c>
      <c r="HC123" s="33" t="n">
        <f aca="false">SUM(HA123/4)</f>
        <v>0</v>
      </c>
    </row>
    <row r="124" customFormat="false" ht="28.5" hidden="true" customHeight="true" outlineLevel="0" collapsed="false">
      <c r="A124" s="26" t="n">
        <v>3763</v>
      </c>
      <c r="B124" s="51" t="s">
        <v>419</v>
      </c>
      <c r="C124" s="51" t="s">
        <v>420</v>
      </c>
      <c r="D124" s="61"/>
      <c r="E124" s="62" t="n">
        <v>46154</v>
      </c>
      <c r="F124" s="62" t="n">
        <f aca="false">WORKDAY(E124,G124)</f>
        <v>46322</v>
      </c>
      <c r="G124" s="60" t="n">
        <v>120</v>
      </c>
      <c r="H124" s="63" t="n">
        <f aca="false">(GX124* 5)/M124</f>
        <v>8.33333333333333</v>
      </c>
      <c r="I124" s="63" t="n">
        <f aca="false">G124-H124</f>
        <v>111.666666666667</v>
      </c>
      <c r="J124" s="35" t="s">
        <v>422</v>
      </c>
      <c r="K124" s="36" t="n">
        <v>600000</v>
      </c>
      <c r="L124" s="36" t="n">
        <v>1584000</v>
      </c>
      <c r="M124" s="37" t="n">
        <f aca="false">(L124/G124)*5</f>
        <v>66000</v>
      </c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 t="s">
        <v>214</v>
      </c>
      <c r="EL124" s="30"/>
      <c r="EM124" s="30" t="s">
        <v>214</v>
      </c>
      <c r="EN124" s="30" t="s">
        <v>214</v>
      </c>
      <c r="EO124" s="30"/>
      <c r="EP124" s="30"/>
      <c r="EQ124" s="30"/>
      <c r="ER124" s="30"/>
      <c r="ES124" s="30" t="s">
        <v>214</v>
      </c>
      <c r="ET124" s="30"/>
      <c r="EU124" s="30"/>
      <c r="EV124" s="30" t="s">
        <v>214</v>
      </c>
      <c r="EW124" s="30"/>
      <c r="EX124" s="30"/>
      <c r="EY124" s="30"/>
      <c r="EZ124" s="30"/>
      <c r="FA124" s="30"/>
      <c r="FB124" s="30"/>
      <c r="FC124" s="30" t="s">
        <v>214</v>
      </c>
      <c r="FD124" s="30"/>
      <c r="FE124" s="30"/>
      <c r="FF124" s="30"/>
      <c r="FG124" s="30"/>
      <c r="FH124" s="30"/>
      <c r="FI124" s="30"/>
      <c r="FJ124" s="30"/>
      <c r="FK124" s="30"/>
      <c r="FL124" s="30" t="s">
        <v>214</v>
      </c>
      <c r="FM124" s="30"/>
      <c r="FN124" s="30"/>
      <c r="FO124" s="30"/>
      <c r="FP124" s="30"/>
      <c r="FQ124" s="30"/>
      <c r="FR124" s="30"/>
      <c r="FS124" s="30"/>
      <c r="FT124" s="30"/>
      <c r="FU124" s="30"/>
      <c r="FV124" s="30"/>
      <c r="FW124" s="30"/>
      <c r="FX124" s="30"/>
      <c r="FY124" s="30"/>
      <c r="FZ124" s="30"/>
      <c r="GA124" s="30"/>
      <c r="GB124" s="30"/>
      <c r="GC124" s="30"/>
      <c r="GD124" s="30"/>
      <c r="GE124" s="30"/>
      <c r="GF124" s="30"/>
      <c r="GG124" s="30"/>
      <c r="GH124" s="30"/>
      <c r="GI124" s="30"/>
      <c r="GJ124" s="30"/>
      <c r="GK124" s="30"/>
      <c r="GL124" s="30"/>
      <c r="GM124" s="30"/>
      <c r="GN124" s="30"/>
      <c r="GO124" s="30"/>
      <c r="GP124" s="30"/>
      <c r="GQ124" s="30"/>
      <c r="GR124" s="30"/>
      <c r="GS124" s="30"/>
      <c r="GT124" s="30"/>
      <c r="GU124" s="30"/>
      <c r="GV124" s="30"/>
      <c r="GW124" s="30" t="n">
        <v>110000</v>
      </c>
      <c r="GX124" s="30" t="n">
        <f aca="false">SUM(N124:GW124)</f>
        <v>110000</v>
      </c>
      <c r="GY124" s="36" t="n">
        <f aca="false">SUM(L124-GX124)</f>
        <v>1474000</v>
      </c>
      <c r="GZ124" s="32" t="n">
        <f aca="false">SUM( H124/5)</f>
        <v>1.66666666666667</v>
      </c>
      <c r="HA124" s="32" t="n">
        <f aca="false">SUM( I124/5)</f>
        <v>22.3333333333333</v>
      </c>
      <c r="HB124" s="33" t="n">
        <f aca="false">SUM(GZ124/4)</f>
        <v>0.416666666666667</v>
      </c>
      <c r="HC124" s="33" t="n">
        <f aca="false">SUM(HA124/4)</f>
        <v>5.58333333333333</v>
      </c>
    </row>
    <row r="125" customFormat="false" ht="28.5" hidden="true" customHeight="true" outlineLevel="0" collapsed="false">
      <c r="A125" s="26" t="n">
        <v>3673</v>
      </c>
      <c r="B125" s="21" t="s">
        <v>423</v>
      </c>
      <c r="C125" s="21" t="s">
        <v>424</v>
      </c>
      <c r="D125" s="34"/>
      <c r="E125" s="25" t="n">
        <v>46090</v>
      </c>
      <c r="F125" s="25" t="n">
        <f aca="false">WORKDAY(E125,G125)</f>
        <v>46244</v>
      </c>
      <c r="G125" s="26" t="n">
        <v>110</v>
      </c>
      <c r="H125" s="27" t="n">
        <f aca="false">(GX125* 5)/M125</f>
        <v>44.1666666666667</v>
      </c>
      <c r="I125" s="27" t="n">
        <f aca="false">G125-H125</f>
        <v>65.8333333333333</v>
      </c>
      <c r="J125" s="22" t="s">
        <v>362</v>
      </c>
      <c r="K125" s="39" t="n">
        <v>200000</v>
      </c>
      <c r="L125" s="36" t="n">
        <v>528000</v>
      </c>
      <c r="M125" s="29" t="n">
        <f aca="false">(L125/G125)*5</f>
        <v>24000</v>
      </c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  <c r="DX125" s="30"/>
      <c r="DY125" s="30"/>
      <c r="DZ125" s="30"/>
      <c r="EA125" s="30"/>
      <c r="EB125" s="30"/>
      <c r="EC125" s="30"/>
      <c r="ED125" s="30"/>
      <c r="EE125" s="30"/>
      <c r="EF125" s="30"/>
      <c r="EG125" s="30"/>
      <c r="EH125" s="30"/>
      <c r="EI125" s="30"/>
      <c r="EJ125" s="30"/>
      <c r="EK125" s="30" t="s">
        <v>214</v>
      </c>
      <c r="EL125" s="30"/>
      <c r="EM125" s="30" t="s">
        <v>214</v>
      </c>
      <c r="EN125" s="30" t="s">
        <v>214</v>
      </c>
      <c r="EO125" s="30"/>
      <c r="EP125" s="30"/>
      <c r="EQ125" s="30"/>
      <c r="ER125" s="30"/>
      <c r="ES125" s="30" t="s">
        <v>214</v>
      </c>
      <c r="ET125" s="30"/>
      <c r="EU125" s="30"/>
      <c r="EV125" s="30" t="s">
        <v>214</v>
      </c>
      <c r="EW125" s="30"/>
      <c r="EX125" s="30"/>
      <c r="EY125" s="30"/>
      <c r="EZ125" s="30"/>
      <c r="FA125" s="30"/>
      <c r="FB125" s="30"/>
      <c r="FC125" s="30" t="s">
        <v>214</v>
      </c>
      <c r="FD125" s="30"/>
      <c r="FE125" s="30"/>
      <c r="FF125" s="30"/>
      <c r="FG125" s="30"/>
      <c r="FH125" s="30"/>
      <c r="FI125" s="30"/>
      <c r="FJ125" s="30"/>
      <c r="FK125" s="30"/>
      <c r="FL125" s="30" t="s">
        <v>214</v>
      </c>
      <c r="FM125" s="30"/>
      <c r="FN125" s="30"/>
      <c r="FO125" s="30"/>
      <c r="FP125" s="30"/>
      <c r="FQ125" s="30"/>
      <c r="FR125" s="30"/>
      <c r="FS125" s="30"/>
      <c r="FT125" s="30"/>
      <c r="FU125" s="30"/>
      <c r="FV125" s="30"/>
      <c r="FW125" s="30"/>
      <c r="FX125" s="30"/>
      <c r="FY125" s="30"/>
      <c r="FZ125" s="30"/>
      <c r="GA125" s="30"/>
      <c r="GB125" s="30"/>
      <c r="GC125" s="30"/>
      <c r="GD125" s="30"/>
      <c r="GE125" s="30"/>
      <c r="GF125" s="30"/>
      <c r="GG125" s="30"/>
      <c r="GH125" s="30" t="n">
        <v>22000</v>
      </c>
      <c r="GI125" s="30"/>
      <c r="GJ125" s="30"/>
      <c r="GK125" s="30"/>
      <c r="GL125" s="30" t="n">
        <v>40000</v>
      </c>
      <c r="GM125" s="30"/>
      <c r="GN125" s="30"/>
      <c r="GO125" s="30" t="n">
        <v>30000</v>
      </c>
      <c r="GP125" s="30" t="n">
        <v>30000</v>
      </c>
      <c r="GQ125" s="30"/>
      <c r="GR125" s="30"/>
      <c r="GS125" s="30" t="n">
        <v>40000</v>
      </c>
      <c r="GT125" s="30"/>
      <c r="GU125" s="30"/>
      <c r="GV125" s="30"/>
      <c r="GW125" s="30" t="n">
        <v>50000</v>
      </c>
      <c r="GX125" s="30" t="n">
        <f aca="false">SUM(N125:GW125)</f>
        <v>212000</v>
      </c>
      <c r="GY125" s="36" t="n">
        <f aca="false">SUM(L125-GX125)</f>
        <v>316000</v>
      </c>
      <c r="GZ125" s="32" t="n">
        <f aca="false">SUM( H125/5)</f>
        <v>8.83333333333333</v>
      </c>
      <c r="HA125" s="32" t="n">
        <f aca="false">SUM( I125/5)</f>
        <v>13.1666666666667</v>
      </c>
      <c r="HB125" s="33" t="n">
        <f aca="false">SUM(GZ125/4)</f>
        <v>2.20833333333333</v>
      </c>
      <c r="HC125" s="33" t="n">
        <f aca="false">SUM(HA125/4)</f>
        <v>3.29166666666667</v>
      </c>
    </row>
    <row r="126" customFormat="false" ht="28.5" hidden="true" customHeight="true" outlineLevel="0" collapsed="false">
      <c r="A126" s="26" t="n">
        <v>3671</v>
      </c>
      <c r="B126" s="22" t="s">
        <v>425</v>
      </c>
      <c r="C126" s="22" t="s">
        <v>426</v>
      </c>
      <c r="D126" s="22"/>
      <c r="E126" s="25" t="n">
        <v>46087</v>
      </c>
      <c r="F126" s="25" t="n">
        <f aca="false">WORKDAY(E126,G126)</f>
        <v>46311</v>
      </c>
      <c r="G126" s="26" t="n">
        <v>160</v>
      </c>
      <c r="H126" s="27" t="n">
        <f aca="false">(GX126* 5)/M126</f>
        <v>60</v>
      </c>
      <c r="I126" s="27" t="n">
        <f aca="false">G126-H126</f>
        <v>100</v>
      </c>
      <c r="J126" s="38" t="s">
        <v>427</v>
      </c>
      <c r="K126" s="64" t="n">
        <v>400000</v>
      </c>
      <c r="L126" s="36" t="n">
        <v>1152000</v>
      </c>
      <c r="M126" s="37" t="n">
        <f aca="false">(L126/G126)*5</f>
        <v>36000</v>
      </c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 t="s">
        <v>214</v>
      </c>
      <c r="EL126" s="30"/>
      <c r="EM126" s="30" t="s">
        <v>214</v>
      </c>
      <c r="EN126" s="30" t="s">
        <v>214</v>
      </c>
      <c r="EO126" s="30"/>
      <c r="EP126" s="30"/>
      <c r="EQ126" s="30"/>
      <c r="ER126" s="30"/>
      <c r="ES126" s="30" t="s">
        <v>214</v>
      </c>
      <c r="ET126" s="30"/>
      <c r="EU126" s="30"/>
      <c r="EV126" s="30" t="s">
        <v>214</v>
      </c>
      <c r="EW126" s="30"/>
      <c r="EX126" s="30"/>
      <c r="EY126" s="30"/>
      <c r="EZ126" s="30"/>
      <c r="FA126" s="30"/>
      <c r="FB126" s="30"/>
      <c r="FC126" s="30" t="s">
        <v>214</v>
      </c>
      <c r="FD126" s="30"/>
      <c r="FE126" s="30"/>
      <c r="FF126" s="30"/>
      <c r="FG126" s="30"/>
      <c r="FH126" s="30"/>
      <c r="FI126" s="30"/>
      <c r="FJ126" s="30"/>
      <c r="FK126" s="30"/>
      <c r="FL126" s="30" t="s">
        <v>214</v>
      </c>
      <c r="FM126" s="30"/>
      <c r="FN126" s="30"/>
      <c r="FO126" s="30"/>
      <c r="FP126" s="30"/>
      <c r="FQ126" s="30"/>
      <c r="FR126" s="30"/>
      <c r="FS126" s="30"/>
      <c r="FT126" s="30"/>
      <c r="FU126" s="30"/>
      <c r="FV126" s="30"/>
      <c r="FW126" s="30"/>
      <c r="FX126" s="30"/>
      <c r="FY126" s="30"/>
      <c r="FZ126" s="30"/>
      <c r="GA126" s="30"/>
      <c r="GB126" s="30"/>
      <c r="GC126" s="30"/>
      <c r="GD126" s="30"/>
      <c r="GE126" s="30"/>
      <c r="GF126" s="30"/>
      <c r="GG126" s="30"/>
      <c r="GH126" s="30"/>
      <c r="GI126" s="30"/>
      <c r="GJ126" s="30"/>
      <c r="GK126" s="30" t="n">
        <v>144000</v>
      </c>
      <c r="GL126" s="30"/>
      <c r="GM126" s="30"/>
      <c r="GN126" s="30"/>
      <c r="GO126" s="30" t="n">
        <v>144000</v>
      </c>
      <c r="GP126" s="30" t="s">
        <v>428</v>
      </c>
      <c r="GQ126" s="30"/>
      <c r="GR126" s="30"/>
      <c r="GS126" s="30"/>
      <c r="GT126" s="30" t="n">
        <v>144000</v>
      </c>
      <c r="GU126" s="30"/>
      <c r="GV126" s="30"/>
      <c r="GW126" s="30"/>
      <c r="GX126" s="30" t="n">
        <f aca="false">SUM(N126:GW126)</f>
        <v>432000</v>
      </c>
      <c r="GY126" s="36" t="n">
        <f aca="false">SUM(L126-GX126)</f>
        <v>720000</v>
      </c>
      <c r="GZ126" s="32" t="n">
        <f aca="false">SUM( H126/5)</f>
        <v>12</v>
      </c>
      <c r="HA126" s="32" t="n">
        <f aca="false">SUM( I126/5)</f>
        <v>20</v>
      </c>
      <c r="HB126" s="33" t="n">
        <f aca="false">SUM(GZ126/4)</f>
        <v>3</v>
      </c>
      <c r="HC126" s="33" t="n">
        <f aca="false">SUM(HA126/4)</f>
        <v>5</v>
      </c>
    </row>
    <row r="127" customFormat="false" ht="28.5" hidden="true" customHeight="true" outlineLevel="0" collapsed="false">
      <c r="A127" s="26" t="n">
        <v>3635</v>
      </c>
      <c r="B127" s="34" t="s">
        <v>429</v>
      </c>
      <c r="C127" s="34"/>
      <c r="D127" s="34"/>
      <c r="E127" s="25" t="n">
        <v>46062</v>
      </c>
      <c r="F127" s="25" t="n">
        <f aca="false">WORKDAY(E127,G127)</f>
        <v>46162</v>
      </c>
      <c r="G127" s="26" t="n">
        <v>72</v>
      </c>
      <c r="H127" s="27" t="n">
        <f aca="false">(GX127* 5)/M127</f>
        <v>72</v>
      </c>
      <c r="I127" s="27" t="n">
        <f aca="false">G127-H127</f>
        <v>0</v>
      </c>
      <c r="J127" s="38" t="s">
        <v>245</v>
      </c>
      <c r="K127" s="36" t="n">
        <v>250000</v>
      </c>
      <c r="L127" s="36" t="n">
        <v>648000</v>
      </c>
      <c r="M127" s="37" t="n">
        <v>45000</v>
      </c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  <c r="ED127" s="30"/>
      <c r="EE127" s="30"/>
      <c r="EF127" s="30"/>
      <c r="EG127" s="30"/>
      <c r="EH127" s="30"/>
      <c r="EI127" s="30"/>
      <c r="EJ127" s="30"/>
      <c r="EK127" s="30" t="s">
        <v>214</v>
      </c>
      <c r="EL127" s="30"/>
      <c r="EM127" s="30" t="s">
        <v>214</v>
      </c>
      <c r="EN127" s="30" t="s">
        <v>214</v>
      </c>
      <c r="EO127" s="30"/>
      <c r="EP127" s="30"/>
      <c r="EQ127" s="30"/>
      <c r="ER127" s="30"/>
      <c r="ES127" s="30" t="s">
        <v>214</v>
      </c>
      <c r="ET127" s="30"/>
      <c r="EU127" s="30"/>
      <c r="EV127" s="30" t="s">
        <v>214</v>
      </c>
      <c r="EW127" s="30"/>
      <c r="EX127" s="30"/>
      <c r="EY127" s="30"/>
      <c r="EZ127" s="30"/>
      <c r="FA127" s="30"/>
      <c r="FB127" s="30"/>
      <c r="FC127" s="30" t="s">
        <v>214</v>
      </c>
      <c r="FD127" s="30"/>
      <c r="FE127" s="30"/>
      <c r="FF127" s="30"/>
      <c r="FG127" s="30"/>
      <c r="FH127" s="30"/>
      <c r="FI127" s="30"/>
      <c r="FJ127" s="30"/>
      <c r="FK127" s="30"/>
      <c r="FL127" s="30" t="s">
        <v>214</v>
      </c>
      <c r="FM127" s="30"/>
      <c r="FN127" s="30"/>
      <c r="FO127" s="30"/>
      <c r="FP127" s="30"/>
      <c r="FQ127" s="30"/>
      <c r="FR127" s="30"/>
      <c r="FS127" s="30"/>
      <c r="FT127" s="30"/>
      <c r="FU127" s="30"/>
      <c r="FV127" s="30"/>
      <c r="FW127" s="30"/>
      <c r="FX127" s="30"/>
      <c r="FY127" s="30"/>
      <c r="FZ127" s="30"/>
      <c r="GA127" s="30"/>
      <c r="GB127" s="30"/>
      <c r="GC127" s="30"/>
      <c r="GD127" s="30" t="n">
        <v>45000</v>
      </c>
      <c r="GE127" s="30"/>
      <c r="GF127" s="30" t="n">
        <v>90000</v>
      </c>
      <c r="GG127" s="30" t="n">
        <v>45000</v>
      </c>
      <c r="GH127" s="30"/>
      <c r="GI127" s="30" t="n">
        <v>90000</v>
      </c>
      <c r="GJ127" s="30" t="n">
        <v>45000</v>
      </c>
      <c r="GK127" s="30" t="n">
        <v>45000</v>
      </c>
      <c r="GL127" s="30"/>
      <c r="GM127" s="30" t="n">
        <v>90000</v>
      </c>
      <c r="GN127" s="30"/>
      <c r="GO127" s="30" t="n">
        <v>45000</v>
      </c>
      <c r="GP127" s="30" t="n">
        <v>45000</v>
      </c>
      <c r="GQ127" s="30" t="n">
        <v>45000</v>
      </c>
      <c r="GR127" s="30" t="n">
        <v>45000</v>
      </c>
      <c r="GS127" s="30"/>
      <c r="GT127" s="30"/>
      <c r="GU127" s="30"/>
      <c r="GV127" s="30"/>
      <c r="GW127" s="30" t="n">
        <v>18000</v>
      </c>
      <c r="GX127" s="30" t="n">
        <f aca="false">SUM(N127:GW127)</f>
        <v>648000</v>
      </c>
      <c r="GY127" s="36" t="n">
        <f aca="false">SUM(L127-GX127)</f>
        <v>0</v>
      </c>
      <c r="GZ127" s="32" t="n">
        <f aca="false">SUM( H127/5)</f>
        <v>14.4</v>
      </c>
      <c r="HA127" s="32" t="n">
        <f aca="false">SUM( I127/5)</f>
        <v>0</v>
      </c>
      <c r="HB127" s="33" t="n">
        <f aca="false">SUM(GZ127/4)</f>
        <v>3.6</v>
      </c>
      <c r="HC127" s="33" t="n">
        <f aca="false">SUM(HA127/4)</f>
        <v>0</v>
      </c>
    </row>
    <row r="128" customFormat="false" ht="28.5" hidden="true" customHeight="true" outlineLevel="0" collapsed="false">
      <c r="A128" s="26" t="n">
        <v>3467</v>
      </c>
      <c r="B128" s="21" t="s">
        <v>430</v>
      </c>
      <c r="C128" s="21" t="s">
        <v>431</v>
      </c>
      <c r="D128" s="34"/>
      <c r="E128" s="25" t="n">
        <v>46011</v>
      </c>
      <c r="F128" s="25" t="n">
        <f aca="false">WORKDAY(E128,G128)</f>
        <v>46178</v>
      </c>
      <c r="G128" s="26" t="n">
        <v>120</v>
      </c>
      <c r="H128" s="27" t="n">
        <f aca="false">(GX128* 5)/M128</f>
        <v>100</v>
      </c>
      <c r="I128" s="27" t="n">
        <f aca="false">G128-H128</f>
        <v>20</v>
      </c>
      <c r="J128" s="65" t="s">
        <v>432</v>
      </c>
      <c r="K128" s="36" t="n">
        <v>200000</v>
      </c>
      <c r="L128" s="36" t="n">
        <v>528000</v>
      </c>
      <c r="M128" s="37" t="n">
        <f aca="false">(L128/G128)*5</f>
        <v>22000</v>
      </c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 t="s">
        <v>214</v>
      </c>
      <c r="EL128" s="30"/>
      <c r="EM128" s="30" t="s">
        <v>214</v>
      </c>
      <c r="EN128" s="30" t="s">
        <v>214</v>
      </c>
      <c r="EO128" s="30"/>
      <c r="EP128" s="30"/>
      <c r="EQ128" s="30"/>
      <c r="ER128" s="30"/>
      <c r="ES128" s="30" t="s">
        <v>214</v>
      </c>
      <c r="ET128" s="30"/>
      <c r="EU128" s="30"/>
      <c r="EV128" s="30" t="s">
        <v>214</v>
      </c>
      <c r="EW128" s="30"/>
      <c r="EX128" s="30"/>
      <c r="EY128" s="30"/>
      <c r="EZ128" s="30"/>
      <c r="FA128" s="30"/>
      <c r="FB128" s="30"/>
      <c r="FC128" s="30" t="s">
        <v>214</v>
      </c>
      <c r="FD128" s="30"/>
      <c r="FE128" s="30"/>
      <c r="FF128" s="30"/>
      <c r="FG128" s="30"/>
      <c r="FH128" s="30"/>
      <c r="FI128" s="30"/>
      <c r="FJ128" s="30"/>
      <c r="FK128" s="30"/>
      <c r="FL128" s="30" t="s">
        <v>214</v>
      </c>
      <c r="FM128" s="30"/>
      <c r="FN128" s="30"/>
      <c r="FO128" s="30"/>
      <c r="FP128" s="30"/>
      <c r="FQ128" s="30"/>
      <c r="FR128" s="30"/>
      <c r="FS128" s="30"/>
      <c r="FT128" s="30"/>
      <c r="FU128" s="30"/>
      <c r="FV128" s="30"/>
      <c r="FW128" s="30"/>
      <c r="FX128" s="30"/>
      <c r="FY128" s="30"/>
      <c r="FZ128" s="30"/>
      <c r="GA128" s="30"/>
      <c r="GB128" s="30"/>
      <c r="GC128" s="30" t="n">
        <v>88000</v>
      </c>
      <c r="GD128" s="30"/>
      <c r="GE128" s="30"/>
      <c r="GF128" s="30"/>
      <c r="GG128" s="30" t="n">
        <v>88000</v>
      </c>
      <c r="GH128" s="30"/>
      <c r="GI128" s="30"/>
      <c r="GJ128" s="30"/>
      <c r="GK128" s="30" t="n">
        <v>88000</v>
      </c>
      <c r="GL128" s="30"/>
      <c r="GM128" s="30"/>
      <c r="GN128" s="30"/>
      <c r="GO128" s="30"/>
      <c r="GP128" s="30" t="n">
        <v>88000</v>
      </c>
      <c r="GQ128" s="30"/>
      <c r="GR128" s="30"/>
      <c r="GS128" s="30"/>
      <c r="GT128" s="30" t="n">
        <v>88000</v>
      </c>
      <c r="GU128" s="30"/>
      <c r="GV128" s="30"/>
      <c r="GW128" s="30"/>
      <c r="GX128" s="30" t="n">
        <f aca="false">SUM(N128:GW128)</f>
        <v>440000</v>
      </c>
      <c r="GY128" s="36" t="n">
        <f aca="false">SUM(L128-GX128)</f>
        <v>88000</v>
      </c>
      <c r="GZ128" s="32" t="n">
        <f aca="false">SUM( H128/5)</f>
        <v>20</v>
      </c>
      <c r="HA128" s="32" t="n">
        <f aca="false">SUM( I128/5)</f>
        <v>4</v>
      </c>
      <c r="HB128" s="33" t="n">
        <f aca="false">SUM(GZ128/4)</f>
        <v>5</v>
      </c>
      <c r="HC128" s="33" t="n">
        <f aca="false">SUM(HA128/4)</f>
        <v>1</v>
      </c>
    </row>
    <row r="129" customFormat="false" ht="28.5" hidden="true" customHeight="true" outlineLevel="0" collapsed="false">
      <c r="A129" s="26" t="n">
        <v>3599</v>
      </c>
      <c r="B129" s="21" t="s">
        <v>430</v>
      </c>
      <c r="C129" s="21" t="s">
        <v>431</v>
      </c>
      <c r="D129" s="34"/>
      <c r="E129" s="25" t="n">
        <v>46034</v>
      </c>
      <c r="F129" s="25" t="n">
        <f aca="false">WORKDAY(E129,G129)</f>
        <v>46258</v>
      </c>
      <c r="G129" s="26" t="n">
        <v>160</v>
      </c>
      <c r="H129" s="27" t="n">
        <f aca="false">(GX129* 5)/M129</f>
        <v>100</v>
      </c>
      <c r="I129" s="27" t="n">
        <f aca="false">G129-H129</f>
        <v>60</v>
      </c>
      <c r="J129" s="35" t="s">
        <v>433</v>
      </c>
      <c r="K129" s="36" t="n">
        <v>500000</v>
      </c>
      <c r="L129" s="36" t="n">
        <v>1440000</v>
      </c>
      <c r="M129" s="29" t="n">
        <f aca="false">(L129/G129)*5</f>
        <v>45000</v>
      </c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 t="s">
        <v>214</v>
      </c>
      <c r="EL129" s="30"/>
      <c r="EM129" s="30" t="s">
        <v>214</v>
      </c>
      <c r="EN129" s="30" t="s">
        <v>214</v>
      </c>
      <c r="EO129" s="30"/>
      <c r="EP129" s="30"/>
      <c r="EQ129" s="30"/>
      <c r="ER129" s="30"/>
      <c r="ES129" s="30" t="s">
        <v>214</v>
      </c>
      <c r="ET129" s="30"/>
      <c r="EU129" s="30"/>
      <c r="EV129" s="30" t="s">
        <v>214</v>
      </c>
      <c r="EW129" s="30"/>
      <c r="EX129" s="30"/>
      <c r="EY129" s="30"/>
      <c r="EZ129" s="30"/>
      <c r="FA129" s="30"/>
      <c r="FB129" s="30"/>
      <c r="FC129" s="30" t="s">
        <v>214</v>
      </c>
      <c r="FD129" s="30"/>
      <c r="FE129" s="30"/>
      <c r="FF129" s="30"/>
      <c r="FG129" s="30"/>
      <c r="FH129" s="30"/>
      <c r="FI129" s="30"/>
      <c r="FJ129" s="30"/>
      <c r="FK129" s="30"/>
      <c r="FL129" s="30" t="s">
        <v>214</v>
      </c>
      <c r="FM129" s="30"/>
      <c r="FN129" s="30"/>
      <c r="FO129" s="30"/>
      <c r="FP129" s="30"/>
      <c r="FQ129" s="30"/>
      <c r="FR129" s="30"/>
      <c r="FS129" s="30"/>
      <c r="FT129" s="30"/>
      <c r="FU129" s="30"/>
      <c r="FV129" s="30"/>
      <c r="FW129" s="30"/>
      <c r="FX129" s="30"/>
      <c r="FY129" s="30"/>
      <c r="FZ129" s="30"/>
      <c r="GA129" s="30"/>
      <c r="GB129" s="30"/>
      <c r="GC129" s="30" t="n">
        <v>140000</v>
      </c>
      <c r="GD129" s="30"/>
      <c r="GE129" s="30"/>
      <c r="GF129" s="30"/>
      <c r="GG129" s="30" t="n">
        <v>140000</v>
      </c>
      <c r="GH129" s="30" t="n">
        <v>40000</v>
      </c>
      <c r="GI129" s="30" t="n">
        <v>40000</v>
      </c>
      <c r="GJ129" s="30"/>
      <c r="GK129" s="30" t="n">
        <v>180000</v>
      </c>
      <c r="GL129" s="30"/>
      <c r="GM129" s="30"/>
      <c r="GN129" s="30"/>
      <c r="GO129" s="30"/>
      <c r="GP129" s="30" t="n">
        <v>180000</v>
      </c>
      <c r="GQ129" s="30"/>
      <c r="GR129" s="30"/>
      <c r="GS129" s="30"/>
      <c r="GT129" s="30" t="n">
        <v>180000</v>
      </c>
      <c r="GU129" s="30"/>
      <c r="GV129" s="30"/>
      <c r="GW129" s="30"/>
      <c r="GX129" s="30" t="n">
        <f aca="false">SUM(N129:GW129)</f>
        <v>900000</v>
      </c>
      <c r="GY129" s="36" t="n">
        <f aca="false">SUM(L129-GX129)</f>
        <v>540000</v>
      </c>
      <c r="GZ129" s="32" t="n">
        <f aca="false">SUM( H129/5)</f>
        <v>20</v>
      </c>
      <c r="HA129" s="32" t="n">
        <f aca="false">SUM( I129/5)</f>
        <v>12</v>
      </c>
      <c r="HB129" s="33" t="n">
        <f aca="false">SUM(GZ129/4)</f>
        <v>5</v>
      </c>
      <c r="HC129" s="33" t="n">
        <f aca="false">SUM(HA129/4)</f>
        <v>3</v>
      </c>
    </row>
    <row r="130" customFormat="false" ht="28.5" hidden="true" customHeight="true" outlineLevel="0" collapsed="false">
      <c r="A130" s="26" t="n">
        <v>3628</v>
      </c>
      <c r="B130" s="21" t="s">
        <v>430</v>
      </c>
      <c r="C130" s="21" t="s">
        <v>431</v>
      </c>
      <c r="D130" s="34"/>
      <c r="E130" s="25" t="n">
        <v>46057</v>
      </c>
      <c r="F130" s="25" t="n">
        <f aca="false">WORKDAY(E130,G130)</f>
        <v>46225</v>
      </c>
      <c r="G130" s="26" t="n">
        <v>120</v>
      </c>
      <c r="H130" s="27" t="n">
        <f aca="false">(GX130* 5)/M130</f>
        <v>44.2424242424242</v>
      </c>
      <c r="I130" s="27" t="n">
        <f aca="false">G130-H130</f>
        <v>75.7575757575758</v>
      </c>
      <c r="J130" s="65" t="s">
        <v>434</v>
      </c>
      <c r="K130" s="66" t="n">
        <v>150000</v>
      </c>
      <c r="L130" s="31" t="n">
        <v>396000</v>
      </c>
      <c r="M130" s="29" t="n">
        <f aca="false">(L130/G130)*5</f>
        <v>16500</v>
      </c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 t="s">
        <v>214</v>
      </c>
      <c r="EL130" s="30"/>
      <c r="EM130" s="30" t="s">
        <v>214</v>
      </c>
      <c r="EN130" s="30" t="s">
        <v>214</v>
      </c>
      <c r="EO130" s="30"/>
      <c r="EP130" s="30"/>
      <c r="EQ130" s="30"/>
      <c r="ER130" s="30"/>
      <c r="ES130" s="30" t="s">
        <v>214</v>
      </c>
      <c r="ET130" s="30"/>
      <c r="EU130" s="30"/>
      <c r="EV130" s="30" t="s">
        <v>214</v>
      </c>
      <c r="EW130" s="30"/>
      <c r="EX130" s="30"/>
      <c r="EY130" s="30"/>
      <c r="EZ130" s="30"/>
      <c r="FA130" s="30"/>
      <c r="FB130" s="30"/>
      <c r="FC130" s="30" t="s">
        <v>214</v>
      </c>
      <c r="FD130" s="30"/>
      <c r="FE130" s="30"/>
      <c r="FF130" s="30"/>
      <c r="FG130" s="30"/>
      <c r="FH130" s="30"/>
      <c r="FI130" s="30"/>
      <c r="FJ130" s="30"/>
      <c r="FK130" s="30"/>
      <c r="FL130" s="30" t="s">
        <v>214</v>
      </c>
      <c r="FM130" s="30"/>
      <c r="FN130" s="30"/>
      <c r="FO130" s="30"/>
      <c r="FP130" s="30"/>
      <c r="FQ130" s="30"/>
      <c r="FR130" s="30"/>
      <c r="FS130" s="30"/>
      <c r="FT130" s="30"/>
      <c r="FU130" s="30"/>
      <c r="FV130" s="30"/>
      <c r="FW130" s="30"/>
      <c r="FX130" s="30"/>
      <c r="FY130" s="30"/>
      <c r="FZ130" s="30"/>
      <c r="GA130" s="30"/>
      <c r="GB130" s="30"/>
      <c r="GC130" s="30"/>
      <c r="GD130" s="30"/>
      <c r="GE130" s="30"/>
      <c r="GF130" s="30"/>
      <c r="GG130" s="30"/>
      <c r="GH130" s="30"/>
      <c r="GI130" s="30"/>
      <c r="GJ130" s="30"/>
      <c r="GK130" s="30" t="n">
        <v>14000</v>
      </c>
      <c r="GL130" s="30"/>
      <c r="GM130" s="30"/>
      <c r="GN130" s="30"/>
      <c r="GO130" s="30"/>
      <c r="GP130" s="30" t="n">
        <v>66000</v>
      </c>
      <c r="GQ130" s="30"/>
      <c r="GR130" s="30"/>
      <c r="GS130" s="30"/>
      <c r="GT130" s="30" t="n">
        <v>66000</v>
      </c>
      <c r="GU130" s="30"/>
      <c r="GV130" s="30"/>
      <c r="GW130" s="30"/>
      <c r="GX130" s="30" t="n">
        <f aca="false">SUM(N130:GW130)</f>
        <v>146000</v>
      </c>
      <c r="GY130" s="36" t="n">
        <f aca="false">SUM(L130-GX130)</f>
        <v>250000</v>
      </c>
      <c r="GZ130" s="32" t="n">
        <f aca="false">SUM( H130/5)</f>
        <v>8.84848484848485</v>
      </c>
      <c r="HA130" s="32" t="n">
        <f aca="false">SUM( I130/5)</f>
        <v>15.1515151515152</v>
      </c>
      <c r="HB130" s="33" t="n">
        <f aca="false">SUM(GZ130/4)</f>
        <v>2.21212121212121</v>
      </c>
      <c r="HC130" s="33" t="n">
        <f aca="false">SUM(HA130/4)</f>
        <v>3.78787878787879</v>
      </c>
    </row>
    <row r="131" customFormat="false" ht="28.5" hidden="true" customHeight="true" outlineLevel="0" collapsed="false">
      <c r="A131" s="26" t="n">
        <v>3695</v>
      </c>
      <c r="B131" s="21" t="s">
        <v>430</v>
      </c>
      <c r="C131" s="21" t="s">
        <v>431</v>
      </c>
      <c r="D131" s="34"/>
      <c r="E131" s="25" t="n">
        <v>46103</v>
      </c>
      <c r="F131" s="25" t="n">
        <f aca="false">WORKDAY(E131,G131)</f>
        <v>46269</v>
      </c>
      <c r="G131" s="26" t="n">
        <v>120</v>
      </c>
      <c r="H131" s="27" t="n">
        <f aca="false">(GX131* 5)/M131</f>
        <v>40</v>
      </c>
      <c r="I131" s="27" t="n">
        <f aca="false">G131-H131</f>
        <v>80</v>
      </c>
      <c r="J131" s="65" t="s">
        <v>435</v>
      </c>
      <c r="K131" s="39" t="n">
        <v>300000</v>
      </c>
      <c r="L131" s="36" t="n">
        <v>792000</v>
      </c>
      <c r="M131" s="29" t="n">
        <f aca="false">(L131/G131)*5</f>
        <v>33000</v>
      </c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 t="s">
        <v>214</v>
      </c>
      <c r="EL131" s="30"/>
      <c r="EM131" s="30" t="s">
        <v>214</v>
      </c>
      <c r="EN131" s="30" t="s">
        <v>214</v>
      </c>
      <c r="EO131" s="30"/>
      <c r="EP131" s="30"/>
      <c r="EQ131" s="30"/>
      <c r="ER131" s="30"/>
      <c r="ES131" s="30" t="s">
        <v>214</v>
      </c>
      <c r="ET131" s="30"/>
      <c r="EU131" s="30"/>
      <c r="EV131" s="30" t="s">
        <v>214</v>
      </c>
      <c r="EW131" s="30"/>
      <c r="EX131" s="30"/>
      <c r="EY131" s="30"/>
      <c r="EZ131" s="30"/>
      <c r="FA131" s="30"/>
      <c r="FB131" s="30"/>
      <c r="FC131" s="30" t="s">
        <v>214</v>
      </c>
      <c r="FD131" s="30"/>
      <c r="FE131" s="30"/>
      <c r="FF131" s="30"/>
      <c r="FG131" s="30"/>
      <c r="FH131" s="30"/>
      <c r="FI131" s="30"/>
      <c r="FJ131" s="30"/>
      <c r="FK131" s="30"/>
      <c r="FL131" s="30" t="s">
        <v>214</v>
      </c>
      <c r="FM131" s="30"/>
      <c r="FN131" s="30"/>
      <c r="FO131" s="30"/>
      <c r="FP131" s="30"/>
      <c r="FQ131" s="30"/>
      <c r="FR131" s="30"/>
      <c r="FS131" s="30"/>
      <c r="FT131" s="30"/>
      <c r="FU131" s="30"/>
      <c r="FV131" s="30"/>
      <c r="FW131" s="30"/>
      <c r="FX131" s="30"/>
      <c r="FY131" s="30"/>
      <c r="FZ131" s="30"/>
      <c r="GA131" s="30"/>
      <c r="GB131" s="30"/>
      <c r="GC131" s="30"/>
      <c r="GD131" s="30"/>
      <c r="GE131" s="30"/>
      <c r="GF131" s="30"/>
      <c r="GG131" s="30"/>
      <c r="GH131" s="30"/>
      <c r="GI131" s="30"/>
      <c r="GJ131" s="30"/>
      <c r="GK131" s="30"/>
      <c r="GL131" s="30"/>
      <c r="GM131" s="30"/>
      <c r="GN131" s="30"/>
      <c r="GO131" s="30"/>
      <c r="GP131" s="30" t="n">
        <v>132000</v>
      </c>
      <c r="GQ131" s="30"/>
      <c r="GR131" s="30"/>
      <c r="GS131" s="30"/>
      <c r="GT131" s="30" t="n">
        <v>132000</v>
      </c>
      <c r="GU131" s="30"/>
      <c r="GV131" s="30"/>
      <c r="GW131" s="30"/>
      <c r="GX131" s="30" t="n">
        <f aca="false">SUM(N131:GW131)</f>
        <v>264000</v>
      </c>
      <c r="GY131" s="36" t="n">
        <f aca="false">SUM(L131-GX131)</f>
        <v>528000</v>
      </c>
      <c r="GZ131" s="32" t="n">
        <f aca="false">SUM( H131/5)</f>
        <v>8</v>
      </c>
      <c r="HA131" s="32" t="n">
        <f aca="false">SUM( I131/5)</f>
        <v>16</v>
      </c>
      <c r="HB131" s="33" t="n">
        <f aca="false">SUM(GZ131/4)</f>
        <v>2</v>
      </c>
      <c r="HC131" s="33" t="n">
        <f aca="false">SUM(HA131/4)</f>
        <v>4</v>
      </c>
    </row>
    <row r="132" customFormat="false" ht="28.5" hidden="true" customHeight="true" outlineLevel="0" collapsed="false">
      <c r="A132" s="26" t="n">
        <v>3726</v>
      </c>
      <c r="B132" s="21" t="s">
        <v>430</v>
      </c>
      <c r="C132" s="21" t="s">
        <v>431</v>
      </c>
      <c r="D132" s="34"/>
      <c r="E132" s="25" t="n">
        <v>46128</v>
      </c>
      <c r="F132" s="25" t="n">
        <f aca="false">WORKDAY(E132,G132)</f>
        <v>46296</v>
      </c>
      <c r="G132" s="26" t="n">
        <v>120</v>
      </c>
      <c r="H132" s="27" t="n">
        <f aca="false">(GX132* 5)/M132</f>
        <v>40</v>
      </c>
      <c r="I132" s="27" t="n">
        <f aca="false">G132-H132</f>
        <v>80</v>
      </c>
      <c r="J132" s="65" t="s">
        <v>434</v>
      </c>
      <c r="K132" s="31" t="n">
        <v>150000</v>
      </c>
      <c r="L132" s="31" t="n">
        <v>396000</v>
      </c>
      <c r="M132" s="37" t="n">
        <f aca="false">(L132/G132)*5</f>
        <v>16500</v>
      </c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 t="s">
        <v>214</v>
      </c>
      <c r="EL132" s="30"/>
      <c r="EM132" s="30" t="s">
        <v>214</v>
      </c>
      <c r="EN132" s="30" t="s">
        <v>214</v>
      </c>
      <c r="EO132" s="30"/>
      <c r="EP132" s="30"/>
      <c r="EQ132" s="30"/>
      <c r="ER132" s="30"/>
      <c r="ES132" s="30" t="s">
        <v>214</v>
      </c>
      <c r="ET132" s="30"/>
      <c r="EU132" s="30"/>
      <c r="EV132" s="30" t="s">
        <v>214</v>
      </c>
      <c r="EW132" s="30"/>
      <c r="EX132" s="30"/>
      <c r="EY132" s="30"/>
      <c r="EZ132" s="30"/>
      <c r="FA132" s="30"/>
      <c r="FB132" s="30"/>
      <c r="FC132" s="30" t="s">
        <v>214</v>
      </c>
      <c r="FD132" s="30"/>
      <c r="FE132" s="30"/>
      <c r="FF132" s="30"/>
      <c r="FG132" s="30"/>
      <c r="FH132" s="30"/>
      <c r="FI132" s="30"/>
      <c r="FJ132" s="30"/>
      <c r="FK132" s="30"/>
      <c r="FL132" s="30" t="s">
        <v>214</v>
      </c>
      <c r="FM132" s="30"/>
      <c r="FN132" s="30"/>
      <c r="FO132" s="30"/>
      <c r="FP132" s="30"/>
      <c r="FQ132" s="30"/>
      <c r="FR132" s="30"/>
      <c r="FS132" s="30"/>
      <c r="FT132" s="30"/>
      <c r="FU132" s="30"/>
      <c r="FV132" s="30"/>
      <c r="FW132" s="30"/>
      <c r="FX132" s="30"/>
      <c r="FY132" s="30"/>
      <c r="FZ132" s="30"/>
      <c r="GA132" s="30"/>
      <c r="GB132" s="30"/>
      <c r="GC132" s="30"/>
      <c r="GD132" s="30"/>
      <c r="GE132" s="30"/>
      <c r="GF132" s="30"/>
      <c r="GG132" s="30"/>
      <c r="GH132" s="30"/>
      <c r="GI132" s="30"/>
      <c r="GJ132" s="30"/>
      <c r="GK132" s="30"/>
      <c r="GL132" s="30"/>
      <c r="GM132" s="30"/>
      <c r="GN132" s="30"/>
      <c r="GO132" s="30"/>
      <c r="GP132" s="30" t="n">
        <v>10000</v>
      </c>
      <c r="GQ132" s="30" t="n">
        <v>56000</v>
      </c>
      <c r="GR132" s="30"/>
      <c r="GS132" s="30"/>
      <c r="GT132" s="30" t="n">
        <v>60000</v>
      </c>
      <c r="GU132" s="30"/>
      <c r="GV132" s="30"/>
      <c r="GW132" s="30" t="n">
        <v>6000</v>
      </c>
      <c r="GX132" s="30" t="n">
        <f aca="false">SUM(N132:GW132)</f>
        <v>132000</v>
      </c>
      <c r="GY132" s="36" t="n">
        <f aca="false">SUM(L132-GX132)</f>
        <v>264000</v>
      </c>
      <c r="GZ132" s="32" t="n">
        <f aca="false">SUM( H132/5)</f>
        <v>8</v>
      </c>
      <c r="HA132" s="32" t="n">
        <f aca="false">SUM( I132/5)</f>
        <v>16</v>
      </c>
      <c r="HB132" s="33" t="n">
        <f aca="false">SUM(GZ132/4)</f>
        <v>2</v>
      </c>
      <c r="HC132" s="33" t="n">
        <f aca="false">SUM(HA132/4)</f>
        <v>4</v>
      </c>
    </row>
    <row r="133" customFormat="false" ht="28.5" hidden="true" customHeight="true" outlineLevel="0" collapsed="false">
      <c r="A133" s="26" t="n">
        <v>3770</v>
      </c>
      <c r="B133" s="21" t="s">
        <v>430</v>
      </c>
      <c r="C133" s="21" t="s">
        <v>431</v>
      </c>
      <c r="D133" s="34"/>
      <c r="E133" s="25" t="n">
        <v>46161</v>
      </c>
      <c r="F133" s="25" t="n">
        <f aca="false">WORKDAY(E133,G133)</f>
        <v>46329</v>
      </c>
      <c r="G133" s="26" t="n">
        <v>120</v>
      </c>
      <c r="H133" s="27" t="n">
        <f aca="false">(GX133* 5)/M133</f>
        <v>7.27272727272727</v>
      </c>
      <c r="I133" s="27" t="n">
        <f aca="false">G133-H133</f>
        <v>112.727272727273</v>
      </c>
      <c r="J133" s="65" t="s">
        <v>434</v>
      </c>
      <c r="K133" s="39" t="n">
        <v>150000</v>
      </c>
      <c r="L133" s="36" t="n">
        <v>396000</v>
      </c>
      <c r="M133" s="29" t="n">
        <f aca="false">(L133/G133)*5</f>
        <v>16500</v>
      </c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 t="s">
        <v>214</v>
      </c>
      <c r="EL133" s="30"/>
      <c r="EM133" s="30" t="s">
        <v>214</v>
      </c>
      <c r="EN133" s="30" t="s">
        <v>214</v>
      </c>
      <c r="EO133" s="30"/>
      <c r="EP133" s="30"/>
      <c r="EQ133" s="30"/>
      <c r="ER133" s="30"/>
      <c r="ES133" s="30" t="s">
        <v>214</v>
      </c>
      <c r="ET133" s="30"/>
      <c r="EU133" s="30"/>
      <c r="EV133" s="30" t="s">
        <v>214</v>
      </c>
      <c r="EW133" s="30"/>
      <c r="EX133" s="30"/>
      <c r="EY133" s="30"/>
      <c r="EZ133" s="30"/>
      <c r="FA133" s="30"/>
      <c r="FB133" s="30"/>
      <c r="FC133" s="30" t="s">
        <v>214</v>
      </c>
      <c r="FD133" s="30"/>
      <c r="FE133" s="30"/>
      <c r="FF133" s="30"/>
      <c r="FG133" s="30"/>
      <c r="FH133" s="30"/>
      <c r="FI133" s="30"/>
      <c r="FJ133" s="30"/>
      <c r="FK133" s="30"/>
      <c r="FL133" s="30" t="s">
        <v>214</v>
      </c>
      <c r="FM133" s="30"/>
      <c r="FN133" s="30"/>
      <c r="FO133" s="30"/>
      <c r="FP133" s="30"/>
      <c r="FQ133" s="30"/>
      <c r="FR133" s="30"/>
      <c r="FS133" s="30"/>
      <c r="FT133" s="30"/>
      <c r="FU133" s="30"/>
      <c r="FV133" s="30"/>
      <c r="FW133" s="30"/>
      <c r="FX133" s="30"/>
      <c r="FY133" s="30"/>
      <c r="FZ133" s="30"/>
      <c r="GA133" s="30"/>
      <c r="GB133" s="30"/>
      <c r="GC133" s="30"/>
      <c r="GD133" s="30"/>
      <c r="GE133" s="30"/>
      <c r="GF133" s="30"/>
      <c r="GG133" s="30"/>
      <c r="GH133" s="30"/>
      <c r="GI133" s="30"/>
      <c r="GJ133" s="30"/>
      <c r="GK133" s="30"/>
      <c r="GL133" s="30"/>
      <c r="GM133" s="30"/>
      <c r="GN133" s="30"/>
      <c r="GO133" s="30"/>
      <c r="GP133" s="30"/>
      <c r="GQ133" s="30"/>
      <c r="GR133" s="30"/>
      <c r="GS133" s="30"/>
      <c r="GT133" s="30"/>
      <c r="GU133" s="30"/>
      <c r="GV133" s="30" t="s">
        <v>214</v>
      </c>
      <c r="GW133" s="30" t="n">
        <v>24000</v>
      </c>
      <c r="GX133" s="30" t="n">
        <f aca="false">SUM(N133:GW133)</f>
        <v>24000</v>
      </c>
      <c r="GY133" s="36" t="n">
        <f aca="false">SUM(L133-GX133)</f>
        <v>372000</v>
      </c>
      <c r="GZ133" s="32" t="n">
        <f aca="false">SUM( H133/5)</f>
        <v>1.45454545454545</v>
      </c>
      <c r="HA133" s="32" t="n">
        <f aca="false">SUM( I133/5)</f>
        <v>22.5454545454545</v>
      </c>
      <c r="HB133" s="33" t="n">
        <f aca="false">SUM(GZ133/4)</f>
        <v>0.363636363636364</v>
      </c>
      <c r="HC133" s="33" t="n">
        <f aca="false">SUM(HA133/4)</f>
        <v>5.63636363636364</v>
      </c>
    </row>
    <row r="134" customFormat="false" ht="28.5" hidden="true" customHeight="true" outlineLevel="0" collapsed="false">
      <c r="A134" s="26" t="n">
        <v>3783</v>
      </c>
      <c r="B134" s="21" t="s">
        <v>436</v>
      </c>
      <c r="C134" s="21" t="s">
        <v>437</v>
      </c>
      <c r="D134" s="34"/>
      <c r="E134" s="25" t="n">
        <v>46169</v>
      </c>
      <c r="F134" s="25" t="n">
        <f aca="false">WORKDAY(E134,G134)</f>
        <v>46269</v>
      </c>
      <c r="G134" s="26" t="n">
        <v>72</v>
      </c>
      <c r="H134" s="27" t="n">
        <f aca="false">(GX134* 5)/M134</f>
        <v>25</v>
      </c>
      <c r="I134" s="27" t="n">
        <f aca="false">G134-H134</f>
        <v>47</v>
      </c>
      <c r="J134" s="22" t="s">
        <v>244</v>
      </c>
      <c r="K134" s="31" t="n">
        <v>200000</v>
      </c>
      <c r="L134" s="31" t="n">
        <v>432000</v>
      </c>
      <c r="M134" s="37" t="n">
        <f aca="false">(L134/G134)*5</f>
        <v>30000</v>
      </c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 t="s">
        <v>214</v>
      </c>
      <c r="EL134" s="30"/>
      <c r="EM134" s="30" t="s">
        <v>214</v>
      </c>
      <c r="EN134" s="30" t="s">
        <v>214</v>
      </c>
      <c r="EO134" s="30"/>
      <c r="EP134" s="30"/>
      <c r="EQ134" s="30"/>
      <c r="ER134" s="30"/>
      <c r="ES134" s="30" t="s">
        <v>214</v>
      </c>
      <c r="ET134" s="30"/>
      <c r="EU134" s="30"/>
      <c r="EV134" s="30" t="s">
        <v>214</v>
      </c>
      <c r="EW134" s="30"/>
      <c r="EX134" s="30"/>
      <c r="EY134" s="30"/>
      <c r="EZ134" s="30"/>
      <c r="FA134" s="30"/>
      <c r="FB134" s="30"/>
      <c r="FC134" s="30" t="s">
        <v>214</v>
      </c>
      <c r="FD134" s="30"/>
      <c r="FE134" s="30"/>
      <c r="FF134" s="30"/>
      <c r="FG134" s="30"/>
      <c r="FH134" s="30"/>
      <c r="FI134" s="30"/>
      <c r="FJ134" s="30"/>
      <c r="FK134" s="30"/>
      <c r="FL134" s="30" t="s">
        <v>214</v>
      </c>
      <c r="FM134" s="30"/>
      <c r="FN134" s="30"/>
      <c r="FO134" s="30"/>
      <c r="FP134" s="30"/>
      <c r="FQ134" s="30"/>
      <c r="FR134" s="30"/>
      <c r="FS134" s="30"/>
      <c r="FT134" s="30"/>
      <c r="FU134" s="30"/>
      <c r="FV134" s="30"/>
      <c r="FW134" s="30"/>
      <c r="FX134" s="30"/>
      <c r="FY134" s="30"/>
      <c r="FZ134" s="30"/>
      <c r="GA134" s="30"/>
      <c r="GB134" s="30"/>
      <c r="GC134" s="30"/>
      <c r="GD134" s="30"/>
      <c r="GE134" s="30"/>
      <c r="GF134" s="30"/>
      <c r="GG134" s="30"/>
      <c r="GH134" s="30"/>
      <c r="GI134" s="30"/>
      <c r="GJ134" s="30"/>
      <c r="GK134" s="30"/>
      <c r="GL134" s="30"/>
      <c r="GM134" s="30"/>
      <c r="GN134" s="30"/>
      <c r="GO134" s="30"/>
      <c r="GP134" s="30"/>
      <c r="GQ134" s="30"/>
      <c r="GR134" s="30"/>
      <c r="GS134" s="30" t="n">
        <v>30000</v>
      </c>
      <c r="GT134" s="30" t="n">
        <v>30000</v>
      </c>
      <c r="GU134" s="30" t="n">
        <v>30000</v>
      </c>
      <c r="GV134" s="30" t="n">
        <v>30000</v>
      </c>
      <c r="GW134" s="30" t="n">
        <v>30000</v>
      </c>
      <c r="GX134" s="30" t="n">
        <f aca="false">SUM(N134:GW134)</f>
        <v>150000</v>
      </c>
      <c r="GY134" s="36" t="n">
        <f aca="false">SUM(L134-GX134)</f>
        <v>282000</v>
      </c>
      <c r="GZ134" s="32" t="n">
        <f aca="false">SUM( H134/5)</f>
        <v>5</v>
      </c>
      <c r="HA134" s="32" t="n">
        <f aca="false">SUM( I134/5)</f>
        <v>9.4</v>
      </c>
      <c r="HB134" s="33" t="n">
        <f aca="false">SUM(GZ134/4)</f>
        <v>1.25</v>
      </c>
      <c r="HC134" s="33" t="n">
        <f aca="false">SUM(HA134/4)</f>
        <v>2.35</v>
      </c>
    </row>
    <row r="135" customFormat="false" ht="28.5" hidden="true" customHeight="true" outlineLevel="0" collapsed="false">
      <c r="A135" s="26" t="n">
        <v>3681</v>
      </c>
      <c r="B135" s="21" t="s">
        <v>438</v>
      </c>
      <c r="C135" s="21" t="s">
        <v>439</v>
      </c>
      <c r="D135" s="34"/>
      <c r="E135" s="25" t="n">
        <v>46094</v>
      </c>
      <c r="F135" s="25" t="n">
        <v>45989</v>
      </c>
      <c r="G135" s="26" t="n">
        <v>72</v>
      </c>
      <c r="H135" s="27" t="n">
        <f aca="false">(GX135* 5)/M135</f>
        <v>60</v>
      </c>
      <c r="I135" s="27" t="n">
        <f aca="false">G135-H135</f>
        <v>12</v>
      </c>
      <c r="J135" s="22" t="s">
        <v>266</v>
      </c>
      <c r="K135" s="31" t="n">
        <v>100000</v>
      </c>
      <c r="L135" s="31" t="n">
        <v>216000</v>
      </c>
      <c r="M135" s="37" t="n">
        <f aca="false">(L135/G135)*5</f>
        <v>15000</v>
      </c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  <c r="DX135" s="30"/>
      <c r="DY135" s="30"/>
      <c r="DZ135" s="30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 t="s">
        <v>214</v>
      </c>
      <c r="EL135" s="30"/>
      <c r="EM135" s="30" t="s">
        <v>214</v>
      </c>
      <c r="EN135" s="30" t="s">
        <v>214</v>
      </c>
      <c r="EO135" s="30"/>
      <c r="EP135" s="30"/>
      <c r="EQ135" s="30"/>
      <c r="ER135" s="30"/>
      <c r="ES135" s="30" t="s">
        <v>214</v>
      </c>
      <c r="ET135" s="30"/>
      <c r="EU135" s="30"/>
      <c r="EV135" s="30" t="s">
        <v>214</v>
      </c>
      <c r="EW135" s="30"/>
      <c r="EX135" s="30"/>
      <c r="EY135" s="30"/>
      <c r="EZ135" s="30"/>
      <c r="FA135" s="30"/>
      <c r="FB135" s="30"/>
      <c r="FC135" s="30" t="s">
        <v>214</v>
      </c>
      <c r="FD135" s="30"/>
      <c r="FE135" s="30"/>
      <c r="FF135" s="30"/>
      <c r="FG135" s="30"/>
      <c r="FH135" s="30"/>
      <c r="FI135" s="30"/>
      <c r="FJ135" s="30"/>
      <c r="FK135" s="30"/>
      <c r="FL135" s="30" t="s">
        <v>214</v>
      </c>
      <c r="FM135" s="30"/>
      <c r="FN135" s="30"/>
      <c r="FO135" s="30"/>
      <c r="FP135" s="30"/>
      <c r="FQ135" s="30"/>
      <c r="FR135" s="30"/>
      <c r="FS135" s="30"/>
      <c r="FT135" s="30"/>
      <c r="FU135" s="30"/>
      <c r="FV135" s="30"/>
      <c r="FW135" s="30"/>
      <c r="FX135" s="30"/>
      <c r="FY135" s="30"/>
      <c r="FZ135" s="30"/>
      <c r="GA135" s="30"/>
      <c r="GB135" s="30"/>
      <c r="GC135" s="30"/>
      <c r="GD135" s="30"/>
      <c r="GE135" s="30"/>
      <c r="GF135" s="30"/>
      <c r="GG135" s="30"/>
      <c r="GH135" s="30" t="n">
        <v>15000</v>
      </c>
      <c r="GI135" s="30" t="n">
        <v>15000</v>
      </c>
      <c r="GJ135" s="30" t="n">
        <v>15000</v>
      </c>
      <c r="GK135" s="30" t="n">
        <v>15000</v>
      </c>
      <c r="GL135" s="30" t="n">
        <v>15000</v>
      </c>
      <c r="GM135" s="30" t="n">
        <v>15000</v>
      </c>
      <c r="GN135" s="30"/>
      <c r="GO135" s="30" t="n">
        <v>30000</v>
      </c>
      <c r="GP135" s="30"/>
      <c r="GQ135" s="30" t="n">
        <v>15000</v>
      </c>
      <c r="GR135" s="30"/>
      <c r="GS135" s="30" t="n">
        <v>15000</v>
      </c>
      <c r="GT135" s="30"/>
      <c r="GU135" s="30" t="n">
        <v>15000</v>
      </c>
      <c r="GV135" s="30"/>
      <c r="GW135" s="30" t="n">
        <v>15000</v>
      </c>
      <c r="GX135" s="30" t="n">
        <f aca="false">SUM(N135:GW135)</f>
        <v>180000</v>
      </c>
      <c r="GY135" s="36" t="n">
        <f aca="false">SUM(L135-GX135)</f>
        <v>36000</v>
      </c>
      <c r="GZ135" s="32" t="n">
        <f aca="false">SUM( H135/5)</f>
        <v>12</v>
      </c>
      <c r="HA135" s="32" t="n">
        <f aca="false">SUM( I135/5)</f>
        <v>2.4</v>
      </c>
      <c r="HB135" s="33" t="n">
        <f aca="false">SUM(GZ135/4)</f>
        <v>3</v>
      </c>
      <c r="HC135" s="33" t="n">
        <f aca="false">SUM(HA135/4)</f>
        <v>0.6</v>
      </c>
    </row>
    <row r="136" customFormat="false" ht="28.5" hidden="true" customHeight="true" outlineLevel="0" collapsed="false">
      <c r="A136" s="26" t="n">
        <v>3542</v>
      </c>
      <c r="B136" s="21" t="s">
        <v>440</v>
      </c>
      <c r="C136" s="21" t="s">
        <v>441</v>
      </c>
      <c r="D136" s="34"/>
      <c r="E136" s="25" t="n">
        <v>45852</v>
      </c>
      <c r="F136" s="25" t="n">
        <f aca="false">WORKDAY(E136,G136)</f>
        <v>46132</v>
      </c>
      <c r="G136" s="26" t="n">
        <v>200</v>
      </c>
      <c r="H136" s="27" t="n">
        <f aca="false">(GX136* 5)/M136</f>
        <v>200</v>
      </c>
      <c r="I136" s="27" t="n">
        <f aca="false">G136-H136</f>
        <v>0</v>
      </c>
      <c r="J136" s="35" t="s">
        <v>442</v>
      </c>
      <c r="K136" s="67" t="n">
        <v>500000</v>
      </c>
      <c r="L136" s="31" t="n">
        <v>1560000</v>
      </c>
      <c r="M136" s="37" t="n">
        <f aca="false">(L136/G136)*5</f>
        <v>39000</v>
      </c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 t="s">
        <v>214</v>
      </c>
      <c r="EL136" s="30"/>
      <c r="EM136" s="30" t="s">
        <v>214</v>
      </c>
      <c r="EN136" s="30" t="s">
        <v>214</v>
      </c>
      <c r="EO136" s="30"/>
      <c r="EP136" s="30"/>
      <c r="EQ136" s="30"/>
      <c r="ER136" s="30"/>
      <c r="ES136" s="30" t="s">
        <v>214</v>
      </c>
      <c r="ET136" s="30"/>
      <c r="EU136" s="30"/>
      <c r="EV136" s="30" t="s">
        <v>214</v>
      </c>
      <c r="EW136" s="30"/>
      <c r="EX136" s="30"/>
      <c r="EY136" s="30"/>
      <c r="EZ136" s="30"/>
      <c r="FA136" s="30"/>
      <c r="FB136" s="30" t="n">
        <v>170000</v>
      </c>
      <c r="FC136" s="30"/>
      <c r="FD136" s="30"/>
      <c r="FE136" s="30"/>
      <c r="FF136" s="30" t="n">
        <v>170000</v>
      </c>
      <c r="FG136" s="30"/>
      <c r="FH136" s="30"/>
      <c r="FI136" s="30"/>
      <c r="FJ136" s="30"/>
      <c r="FK136" s="30" t="n">
        <v>170000</v>
      </c>
      <c r="FL136" s="30"/>
      <c r="FM136" s="30"/>
      <c r="FN136" s="30"/>
      <c r="FO136" s="30"/>
      <c r="FP136" s="30" t="n">
        <v>170000</v>
      </c>
      <c r="FQ136" s="30" t="n">
        <v>170000</v>
      </c>
      <c r="FR136" s="30"/>
      <c r="FS136" s="30"/>
      <c r="FT136" s="30"/>
      <c r="FU136" s="30"/>
      <c r="FV136" s="30"/>
      <c r="FW136" s="30"/>
      <c r="FX136" s="30" t="n">
        <v>170000</v>
      </c>
      <c r="FY136" s="30"/>
      <c r="FZ136" s="30"/>
      <c r="GA136" s="30"/>
      <c r="GB136" s="30"/>
      <c r="GC136" s="30"/>
      <c r="GD136" s="30"/>
      <c r="GE136" s="30"/>
      <c r="GF136" s="30"/>
      <c r="GG136" s="30"/>
      <c r="GH136" s="30" t="n">
        <v>170000</v>
      </c>
      <c r="GI136" s="30"/>
      <c r="GJ136" s="30"/>
      <c r="GK136" s="30"/>
      <c r="GL136" s="30" t="n">
        <v>170000</v>
      </c>
      <c r="GM136" s="30"/>
      <c r="GN136" s="30"/>
      <c r="GO136" s="30"/>
      <c r="GP136" s="30"/>
      <c r="GQ136" s="30"/>
      <c r="GR136" s="30"/>
      <c r="GS136" s="30"/>
      <c r="GT136" s="30" t="n">
        <v>170000</v>
      </c>
      <c r="GU136" s="30"/>
      <c r="GV136" s="30" t="s">
        <v>214</v>
      </c>
      <c r="GW136" s="30" t="n">
        <v>30000</v>
      </c>
      <c r="GX136" s="30" t="n">
        <f aca="false">SUM(N136:GW136)</f>
        <v>1560000</v>
      </c>
      <c r="GY136" s="36" t="n">
        <f aca="false">SUM(L136-GX136)</f>
        <v>0</v>
      </c>
      <c r="GZ136" s="32" t="n">
        <f aca="false">SUM( H136/5)</f>
        <v>40</v>
      </c>
      <c r="HA136" s="32" t="n">
        <f aca="false">SUM( I136/5)</f>
        <v>0</v>
      </c>
      <c r="HB136" s="33" t="n">
        <f aca="false">SUM(GZ136/4)</f>
        <v>10</v>
      </c>
      <c r="HC136" s="33" t="n">
        <f aca="false">SUM(HA136/4)</f>
        <v>0</v>
      </c>
    </row>
    <row r="137" customFormat="false" ht="28.5" hidden="true" customHeight="true" outlineLevel="0" collapsed="false">
      <c r="A137" s="26" t="n">
        <v>3714</v>
      </c>
      <c r="B137" s="21" t="s">
        <v>440</v>
      </c>
      <c r="C137" s="21" t="s">
        <v>441</v>
      </c>
      <c r="D137" s="34"/>
      <c r="E137" s="25" t="n">
        <v>46121</v>
      </c>
      <c r="F137" s="25" t="n">
        <f aca="false">WORKDAY(E137,G137)</f>
        <v>46219</v>
      </c>
      <c r="G137" s="26" t="n">
        <v>70</v>
      </c>
      <c r="H137" s="27" t="n">
        <f aca="false">(GX137* 5)/M137</f>
        <v>50</v>
      </c>
      <c r="I137" s="27" t="n">
        <f aca="false">G137-H137</f>
        <v>20</v>
      </c>
      <c r="J137" s="35" t="s">
        <v>443</v>
      </c>
      <c r="K137" s="31" t="n">
        <v>200000</v>
      </c>
      <c r="L137" s="31" t="n">
        <v>448000</v>
      </c>
      <c r="M137" s="37" t="n">
        <f aca="false">(L137/G137)*5</f>
        <v>32000</v>
      </c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 t="s">
        <v>214</v>
      </c>
      <c r="EL137" s="30"/>
      <c r="EM137" s="30" t="s">
        <v>214</v>
      </c>
      <c r="EN137" s="30" t="s">
        <v>214</v>
      </c>
      <c r="EO137" s="30"/>
      <c r="EP137" s="30"/>
      <c r="EQ137" s="30"/>
      <c r="ER137" s="30"/>
      <c r="ES137" s="30" t="s">
        <v>214</v>
      </c>
      <c r="ET137" s="30"/>
      <c r="EU137" s="30"/>
      <c r="EV137" s="30" t="s">
        <v>214</v>
      </c>
      <c r="EW137" s="30"/>
      <c r="EX137" s="30"/>
      <c r="EY137" s="30"/>
      <c r="EZ137" s="30"/>
      <c r="FA137" s="30"/>
      <c r="FB137" s="30"/>
      <c r="FC137" s="30" t="s">
        <v>214</v>
      </c>
      <c r="FD137" s="30"/>
      <c r="FE137" s="30"/>
      <c r="FF137" s="30"/>
      <c r="FG137" s="30"/>
      <c r="FH137" s="30"/>
      <c r="FI137" s="30"/>
      <c r="FJ137" s="30"/>
      <c r="FK137" s="30"/>
      <c r="FL137" s="30" t="s">
        <v>214</v>
      </c>
      <c r="FM137" s="30"/>
      <c r="FN137" s="30"/>
      <c r="FO137" s="30"/>
      <c r="FP137" s="30"/>
      <c r="FQ137" s="30"/>
      <c r="FR137" s="30"/>
      <c r="FS137" s="30"/>
      <c r="FT137" s="30"/>
      <c r="FU137" s="30"/>
      <c r="FV137" s="30"/>
      <c r="FW137" s="30"/>
      <c r="FX137" s="30"/>
      <c r="FY137" s="30"/>
      <c r="FZ137" s="30"/>
      <c r="GA137" s="30"/>
      <c r="GB137" s="30"/>
      <c r="GC137" s="30"/>
      <c r="GD137" s="30"/>
      <c r="GE137" s="30"/>
      <c r="GF137" s="30"/>
      <c r="GG137" s="30"/>
      <c r="GH137" s="30"/>
      <c r="GI137" s="30"/>
      <c r="GJ137" s="30"/>
      <c r="GK137" s="30"/>
      <c r="GL137" s="30"/>
      <c r="GM137" s="30"/>
      <c r="GN137" s="30" t="n">
        <v>64000</v>
      </c>
      <c r="GO137" s="30" t="n">
        <v>64000</v>
      </c>
      <c r="GP137" s="30"/>
      <c r="GQ137" s="30"/>
      <c r="GR137" s="30" t="n">
        <v>64000</v>
      </c>
      <c r="GS137" s="30"/>
      <c r="GT137" s="30" t="n">
        <v>64000</v>
      </c>
      <c r="GU137" s="30"/>
      <c r="GV137" s="30" t="n">
        <v>64000</v>
      </c>
      <c r="GW137" s="30"/>
      <c r="GX137" s="30" t="n">
        <f aca="false">SUM(N137:GW137)</f>
        <v>320000</v>
      </c>
      <c r="GY137" s="36" t="n">
        <f aca="false">SUM(L137-GX137)</f>
        <v>128000</v>
      </c>
      <c r="GZ137" s="32" t="n">
        <f aca="false">SUM( H137/5)</f>
        <v>10</v>
      </c>
      <c r="HA137" s="32" t="n">
        <f aca="false">SUM( I137/5)</f>
        <v>4</v>
      </c>
      <c r="HB137" s="33" t="n">
        <f aca="false">SUM(GZ137/4)</f>
        <v>2.5</v>
      </c>
      <c r="HC137" s="33" t="n">
        <f aca="false">SUM(HA137/4)</f>
        <v>1</v>
      </c>
    </row>
    <row r="138" customFormat="false" ht="28.5" hidden="true" customHeight="true" outlineLevel="0" collapsed="false">
      <c r="A138" s="26" t="n">
        <v>3580</v>
      </c>
      <c r="B138" s="21" t="s">
        <v>444</v>
      </c>
      <c r="C138" s="21" t="s">
        <v>445</v>
      </c>
      <c r="D138" s="34"/>
      <c r="E138" s="25" t="n">
        <v>45849</v>
      </c>
      <c r="F138" s="25" t="n">
        <f aca="false">WORKDAY(E138,G138)</f>
        <v>46003</v>
      </c>
      <c r="G138" s="26" t="n">
        <v>110</v>
      </c>
      <c r="H138" s="27" t="n">
        <f aca="false">(GX138* 5)/M138</f>
        <v>80</v>
      </c>
      <c r="I138" s="27" t="n">
        <f aca="false">G138-H138</f>
        <v>30</v>
      </c>
      <c r="J138" s="22" t="s">
        <v>446</v>
      </c>
      <c r="K138" s="36" t="n">
        <v>300000</v>
      </c>
      <c r="L138" s="36" t="n">
        <v>792000</v>
      </c>
      <c r="M138" s="37" t="n">
        <f aca="false">(L138/G138)*5</f>
        <v>36000</v>
      </c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 t="s">
        <v>214</v>
      </c>
      <c r="EL138" s="30"/>
      <c r="EM138" s="30" t="s">
        <v>214</v>
      </c>
      <c r="EN138" s="30" t="s">
        <v>214</v>
      </c>
      <c r="EO138" s="30"/>
      <c r="EP138" s="30"/>
      <c r="EQ138" s="30"/>
      <c r="ER138" s="30"/>
      <c r="ES138" s="30" t="s">
        <v>214</v>
      </c>
      <c r="ET138" s="30"/>
      <c r="EU138" s="30"/>
      <c r="EV138" s="30" t="s">
        <v>214</v>
      </c>
      <c r="EW138" s="30"/>
      <c r="EX138" s="30"/>
      <c r="EY138" s="30" t="n">
        <v>36000</v>
      </c>
      <c r="EZ138" s="30" t="n">
        <v>36000</v>
      </c>
      <c r="FA138" s="30"/>
      <c r="FB138" s="30" t="n">
        <v>36000</v>
      </c>
      <c r="FC138" s="30"/>
      <c r="FD138" s="30"/>
      <c r="FE138" s="30"/>
      <c r="FF138" s="30" t="n">
        <v>36000</v>
      </c>
      <c r="FG138" s="30"/>
      <c r="FH138" s="30"/>
      <c r="FI138" s="30"/>
      <c r="FJ138" s="30"/>
      <c r="FK138" s="30" t="n">
        <v>36000</v>
      </c>
      <c r="FL138" s="30"/>
      <c r="FM138" s="30" t="n">
        <v>36000</v>
      </c>
      <c r="FN138" s="30"/>
      <c r="FO138" s="30" t="n">
        <v>36000</v>
      </c>
      <c r="FP138" s="30"/>
      <c r="FQ138" s="30"/>
      <c r="FR138" s="30"/>
      <c r="FS138" s="30" t="n">
        <v>72000</v>
      </c>
      <c r="FT138" s="30"/>
      <c r="FU138" s="30" t="n">
        <v>36000</v>
      </c>
      <c r="FV138" s="30"/>
      <c r="FW138" s="30"/>
      <c r="FX138" s="30" t="n">
        <v>36000</v>
      </c>
      <c r="FY138" s="30"/>
      <c r="FZ138" s="30" t="n">
        <v>36000</v>
      </c>
      <c r="GA138" s="30"/>
      <c r="GB138" s="30" t="n">
        <v>36000</v>
      </c>
      <c r="GC138" s="30"/>
      <c r="GD138" s="30"/>
      <c r="GE138" s="30"/>
      <c r="GF138" s="30" t="n">
        <v>36000</v>
      </c>
      <c r="GG138" s="30"/>
      <c r="GH138" s="30"/>
      <c r="GI138" s="30"/>
      <c r="GJ138" s="30"/>
      <c r="GK138" s="30"/>
      <c r="GL138" s="30"/>
      <c r="GM138" s="30"/>
      <c r="GN138" s="30"/>
      <c r="GO138" s="30"/>
      <c r="GP138" s="30"/>
      <c r="GQ138" s="30" t="n">
        <v>36000</v>
      </c>
      <c r="GR138" s="30"/>
      <c r="GS138" s="30" t="n">
        <v>36000</v>
      </c>
      <c r="GT138" s="30"/>
      <c r="GU138" s="30"/>
      <c r="GV138" s="30"/>
      <c r="GW138" s="30"/>
      <c r="GX138" s="30" t="n">
        <f aca="false">SUM(N138:GW138)</f>
        <v>576000</v>
      </c>
      <c r="GY138" s="36" t="n">
        <f aca="false">SUM(L138-GX138)</f>
        <v>216000</v>
      </c>
      <c r="GZ138" s="32" t="n">
        <f aca="false">SUM( H138/5)</f>
        <v>16</v>
      </c>
      <c r="HA138" s="32" t="n">
        <f aca="false">SUM( I138/5)</f>
        <v>6</v>
      </c>
      <c r="HB138" s="33" t="n">
        <f aca="false">SUM(GZ138/4)</f>
        <v>4</v>
      </c>
      <c r="HC138" s="33" t="n">
        <f aca="false">SUM(HA138/4)</f>
        <v>1.5</v>
      </c>
    </row>
    <row r="139" customFormat="false" ht="28.5" hidden="true" customHeight="true" outlineLevel="0" collapsed="false">
      <c r="A139" s="26" t="n">
        <v>3712</v>
      </c>
      <c r="B139" s="21" t="s">
        <v>447</v>
      </c>
      <c r="C139" s="21" t="s">
        <v>448</v>
      </c>
      <c r="D139" s="34"/>
      <c r="E139" s="25" t="n">
        <v>46119</v>
      </c>
      <c r="F139" s="25" t="n">
        <v>46086</v>
      </c>
      <c r="G139" s="26" t="n">
        <v>160</v>
      </c>
      <c r="H139" s="27" t="n">
        <f aca="false">(GX139* 5)/M139</f>
        <v>60</v>
      </c>
      <c r="I139" s="27" t="n">
        <f aca="false">G139-H139</f>
        <v>100</v>
      </c>
      <c r="J139" s="35" t="s">
        <v>449</v>
      </c>
      <c r="K139" s="39" t="n">
        <v>600000</v>
      </c>
      <c r="L139" s="36" t="n">
        <v>1728000</v>
      </c>
      <c r="M139" s="37" t="n">
        <f aca="false">(L139/G139)*5</f>
        <v>54000</v>
      </c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30"/>
      <c r="DO139" s="30"/>
      <c r="DP139" s="30"/>
      <c r="DQ139" s="30"/>
      <c r="DR139" s="30"/>
      <c r="DS139" s="30"/>
      <c r="DT139" s="30"/>
      <c r="DU139" s="30"/>
      <c r="DV139" s="30"/>
      <c r="DW139" s="30"/>
      <c r="DX139" s="30"/>
      <c r="DY139" s="30"/>
      <c r="DZ139" s="30"/>
      <c r="EA139" s="30"/>
      <c r="EB139" s="30"/>
      <c r="EC139" s="30"/>
      <c r="ED139" s="30"/>
      <c r="EE139" s="30"/>
      <c r="EF139" s="30"/>
      <c r="EG139" s="30"/>
      <c r="EH139" s="30"/>
      <c r="EI139" s="30"/>
      <c r="EJ139" s="30"/>
      <c r="EK139" s="30" t="s">
        <v>214</v>
      </c>
      <c r="EL139" s="30"/>
      <c r="EM139" s="30" t="s">
        <v>214</v>
      </c>
      <c r="EN139" s="30" t="s">
        <v>214</v>
      </c>
      <c r="EO139" s="30"/>
      <c r="EP139" s="30"/>
      <c r="EQ139" s="30"/>
      <c r="ER139" s="30"/>
      <c r="ES139" s="30" t="s">
        <v>214</v>
      </c>
      <c r="ET139" s="30"/>
      <c r="EU139" s="30"/>
      <c r="EV139" s="30" t="s">
        <v>214</v>
      </c>
      <c r="EW139" s="30"/>
      <c r="EX139" s="30"/>
      <c r="EY139" s="30"/>
      <c r="EZ139" s="30"/>
      <c r="FA139" s="30"/>
      <c r="FB139" s="30"/>
      <c r="FC139" s="30" t="s">
        <v>214</v>
      </c>
      <c r="FD139" s="30"/>
      <c r="FE139" s="30"/>
      <c r="FF139" s="30"/>
      <c r="FG139" s="30"/>
      <c r="FH139" s="30"/>
      <c r="FI139" s="30"/>
      <c r="FJ139" s="30"/>
      <c r="FK139" s="30"/>
      <c r="FL139" s="30" t="s">
        <v>214</v>
      </c>
      <c r="FM139" s="30"/>
      <c r="FN139" s="30"/>
      <c r="FO139" s="30"/>
      <c r="FP139" s="30"/>
      <c r="FQ139" s="30"/>
      <c r="FR139" s="30"/>
      <c r="FS139" s="30"/>
      <c r="FT139" s="30"/>
      <c r="FU139" s="30"/>
      <c r="FV139" s="30"/>
      <c r="FW139" s="30"/>
      <c r="FX139" s="30"/>
      <c r="FY139" s="30"/>
      <c r="FZ139" s="30"/>
      <c r="GA139" s="30"/>
      <c r="GB139" s="30"/>
      <c r="GC139" s="30"/>
      <c r="GD139" s="30"/>
      <c r="GE139" s="30"/>
      <c r="GF139" s="30"/>
      <c r="GG139" s="30"/>
      <c r="GH139" s="30"/>
      <c r="GI139" s="30"/>
      <c r="GJ139" s="30"/>
      <c r="GK139" s="30"/>
      <c r="GL139" s="30"/>
      <c r="GM139" s="30"/>
      <c r="GN139" s="30"/>
      <c r="GO139" s="30" t="n">
        <v>216000</v>
      </c>
      <c r="GP139" s="30"/>
      <c r="GQ139" s="30"/>
      <c r="GR139" s="30"/>
      <c r="GS139" s="30"/>
      <c r="GT139" s="30"/>
      <c r="GU139" s="30"/>
      <c r="GV139" s="30"/>
      <c r="GW139" s="30" t="n">
        <v>432000</v>
      </c>
      <c r="GX139" s="30" t="n">
        <f aca="false">SUM(N139:GW139)</f>
        <v>648000</v>
      </c>
      <c r="GY139" s="36" t="n">
        <f aca="false">SUM(L139-GX139)</f>
        <v>1080000</v>
      </c>
      <c r="GZ139" s="32" t="n">
        <f aca="false">SUM( H139/5)</f>
        <v>12</v>
      </c>
      <c r="HA139" s="32" t="n">
        <f aca="false">SUM( I139/5)</f>
        <v>20</v>
      </c>
      <c r="HB139" s="33" t="n">
        <f aca="false">SUM(GZ139/4)</f>
        <v>3</v>
      </c>
      <c r="HC139" s="33" t="n">
        <f aca="false">SUM(HA139/4)</f>
        <v>5</v>
      </c>
    </row>
    <row r="140" customFormat="false" ht="28.5" hidden="false" customHeight="true" outlineLevel="0" collapsed="false">
      <c r="A140" s="26" t="n">
        <v>3683</v>
      </c>
      <c r="B140" s="21" t="s">
        <v>450</v>
      </c>
      <c r="C140" s="21" t="s">
        <v>451</v>
      </c>
      <c r="D140" s="34"/>
      <c r="E140" s="25" t="n">
        <v>46098</v>
      </c>
      <c r="F140" s="25" t="n">
        <f aca="false">WORKDAY(E140,G140)</f>
        <v>46198</v>
      </c>
      <c r="G140" s="26" t="n">
        <v>72</v>
      </c>
      <c r="H140" s="27" t="n">
        <f aca="false">(GX140* 5)/M140</f>
        <v>40</v>
      </c>
      <c r="I140" s="27" t="n">
        <f aca="false">G140-H140</f>
        <v>32</v>
      </c>
      <c r="J140" s="22" t="s">
        <v>452</v>
      </c>
      <c r="K140" s="39" t="n">
        <v>30000</v>
      </c>
      <c r="L140" s="36" t="n">
        <v>64800</v>
      </c>
      <c r="M140" s="37" t="n">
        <f aca="false">(L140/G140)*5</f>
        <v>4500</v>
      </c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  <c r="DX140" s="30"/>
      <c r="DY140" s="30"/>
      <c r="DZ140" s="30"/>
      <c r="EA140" s="30"/>
      <c r="EB140" s="30"/>
      <c r="EC140" s="30"/>
      <c r="ED140" s="30"/>
      <c r="EE140" s="30"/>
      <c r="EF140" s="30"/>
      <c r="EG140" s="30"/>
      <c r="EH140" s="30"/>
      <c r="EI140" s="30"/>
      <c r="EJ140" s="30"/>
      <c r="EK140" s="30" t="s">
        <v>214</v>
      </c>
      <c r="EL140" s="30"/>
      <c r="EM140" s="30" t="s">
        <v>214</v>
      </c>
      <c r="EN140" s="30" t="s">
        <v>214</v>
      </c>
      <c r="EO140" s="30"/>
      <c r="EP140" s="30"/>
      <c r="EQ140" s="30"/>
      <c r="ER140" s="30"/>
      <c r="ES140" s="30" t="s">
        <v>214</v>
      </c>
      <c r="ET140" s="30"/>
      <c r="EU140" s="30"/>
      <c r="EV140" s="30" t="s">
        <v>214</v>
      </c>
      <c r="EW140" s="30"/>
      <c r="EX140" s="30"/>
      <c r="EY140" s="30"/>
      <c r="EZ140" s="30"/>
      <c r="FA140" s="30"/>
      <c r="FB140" s="30"/>
      <c r="FC140" s="30" t="s">
        <v>214</v>
      </c>
      <c r="FD140" s="30"/>
      <c r="FE140" s="30"/>
      <c r="FF140" s="30"/>
      <c r="FG140" s="30"/>
      <c r="FH140" s="30"/>
      <c r="FI140" s="30"/>
      <c r="FJ140" s="30"/>
      <c r="FK140" s="30"/>
      <c r="FL140" s="30" t="s">
        <v>214</v>
      </c>
      <c r="FM140" s="30"/>
      <c r="FN140" s="30"/>
      <c r="FO140" s="30"/>
      <c r="FP140" s="30"/>
      <c r="FQ140" s="30"/>
      <c r="FR140" s="30"/>
      <c r="FS140" s="30"/>
      <c r="FT140" s="30"/>
      <c r="FU140" s="30"/>
      <c r="FV140" s="30"/>
      <c r="FW140" s="30"/>
      <c r="FX140" s="30"/>
      <c r="FY140" s="30"/>
      <c r="FZ140" s="30"/>
      <c r="GA140" s="30"/>
      <c r="GB140" s="30"/>
      <c r="GC140" s="30"/>
      <c r="GD140" s="30"/>
      <c r="GE140" s="30"/>
      <c r="GF140" s="30"/>
      <c r="GG140" s="30"/>
      <c r="GH140" s="30"/>
      <c r="GI140" s="30"/>
      <c r="GJ140" s="30"/>
      <c r="GK140" s="30" t="n">
        <v>4500</v>
      </c>
      <c r="GL140" s="30"/>
      <c r="GM140" s="30"/>
      <c r="GN140" s="30"/>
      <c r="GO140" s="30" t="n">
        <v>4500</v>
      </c>
      <c r="GP140" s="30"/>
      <c r="GQ140" s="30" t="n">
        <v>4500</v>
      </c>
      <c r="GR140" s="30" t="n">
        <v>9000</v>
      </c>
      <c r="GS140" s="30" t="n">
        <v>4500</v>
      </c>
      <c r="GT140" s="30"/>
      <c r="GU140" s="30" t="n">
        <v>4500</v>
      </c>
      <c r="GV140" s="30"/>
      <c r="GW140" s="30" t="n">
        <v>4500</v>
      </c>
      <c r="GX140" s="30" t="n">
        <f aca="false">SUM(N140:GW140)</f>
        <v>36000</v>
      </c>
      <c r="GY140" s="36" t="n">
        <f aca="false">SUM(L140-GX140)</f>
        <v>28800</v>
      </c>
      <c r="GZ140" s="32" t="n">
        <f aca="false">SUM( H140/5)</f>
        <v>8</v>
      </c>
      <c r="HA140" s="32" t="n">
        <f aca="false">SUM( I140/5)</f>
        <v>6.4</v>
      </c>
      <c r="HB140" s="33" t="n">
        <f aca="false">SUM(GZ140/4)</f>
        <v>2</v>
      </c>
      <c r="HC140" s="33" t="n">
        <f aca="false">SUM(HA140/4)</f>
        <v>1.6</v>
      </c>
    </row>
    <row r="141" customFormat="false" ht="28.5" hidden="false" customHeight="true" outlineLevel="0" collapsed="false">
      <c r="A141" s="26" t="n">
        <v>3743</v>
      </c>
      <c r="B141" s="21" t="s">
        <v>450</v>
      </c>
      <c r="C141" s="21" t="s">
        <v>451</v>
      </c>
      <c r="D141" s="34"/>
      <c r="E141" s="25" t="n">
        <v>46137</v>
      </c>
      <c r="F141" s="25" t="n">
        <f aca="false">WORKDAY(E141,G141)</f>
        <v>46238</v>
      </c>
      <c r="G141" s="26" t="n">
        <v>72</v>
      </c>
      <c r="H141" s="27" t="n">
        <f aca="false">(GX141* 5)/M141</f>
        <v>35</v>
      </c>
      <c r="I141" s="27" t="n">
        <f aca="false">G141-H141</f>
        <v>37</v>
      </c>
      <c r="J141" s="22" t="s">
        <v>266</v>
      </c>
      <c r="K141" s="46" t="n">
        <v>20000</v>
      </c>
      <c r="L141" s="36" t="n">
        <v>43200</v>
      </c>
      <c r="M141" s="29" t="n">
        <f aca="false">(L141/G141)*5</f>
        <v>3000</v>
      </c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  <c r="DX141" s="30"/>
      <c r="DY141" s="30"/>
      <c r="DZ141" s="30"/>
      <c r="EA141" s="30"/>
      <c r="EB141" s="30"/>
      <c r="EC141" s="30"/>
      <c r="ED141" s="30"/>
      <c r="EE141" s="30"/>
      <c r="EF141" s="30"/>
      <c r="EG141" s="30"/>
      <c r="EH141" s="30"/>
      <c r="EI141" s="30"/>
      <c r="EJ141" s="30"/>
      <c r="EK141" s="30" t="s">
        <v>214</v>
      </c>
      <c r="EL141" s="30"/>
      <c r="EM141" s="30" t="s">
        <v>214</v>
      </c>
      <c r="EN141" s="30" t="s">
        <v>214</v>
      </c>
      <c r="EO141" s="30"/>
      <c r="EP141" s="30"/>
      <c r="EQ141" s="30"/>
      <c r="ER141" s="30"/>
      <c r="ES141" s="30" t="s">
        <v>214</v>
      </c>
      <c r="ET141" s="30"/>
      <c r="EU141" s="30"/>
      <c r="EV141" s="30" t="s">
        <v>214</v>
      </c>
      <c r="EW141" s="30"/>
      <c r="EX141" s="30"/>
      <c r="EY141" s="30"/>
      <c r="EZ141" s="30"/>
      <c r="FA141" s="30"/>
      <c r="FB141" s="30"/>
      <c r="FC141" s="30" t="s">
        <v>214</v>
      </c>
      <c r="FD141" s="30"/>
      <c r="FE141" s="30"/>
      <c r="FF141" s="30"/>
      <c r="FG141" s="30"/>
      <c r="FH141" s="30"/>
      <c r="FI141" s="30"/>
      <c r="FJ141" s="30"/>
      <c r="FK141" s="30"/>
      <c r="FL141" s="30" t="s">
        <v>214</v>
      </c>
      <c r="FM141" s="30"/>
      <c r="FN141" s="30"/>
      <c r="FO141" s="30"/>
      <c r="FP141" s="30"/>
      <c r="FQ141" s="30"/>
      <c r="FR141" s="30"/>
      <c r="FS141" s="30"/>
      <c r="FT141" s="30"/>
      <c r="FU141" s="30"/>
      <c r="FV141" s="30"/>
      <c r="FW141" s="30"/>
      <c r="FX141" s="30"/>
      <c r="FY141" s="30"/>
      <c r="FZ141" s="30"/>
      <c r="GA141" s="30"/>
      <c r="GB141" s="30"/>
      <c r="GC141" s="30"/>
      <c r="GD141" s="30"/>
      <c r="GE141" s="30"/>
      <c r="GF141" s="30"/>
      <c r="GG141" s="30"/>
      <c r="GH141" s="30"/>
      <c r="GI141" s="30"/>
      <c r="GJ141" s="30"/>
      <c r="GK141" s="30"/>
      <c r="GL141" s="30"/>
      <c r="GM141" s="30"/>
      <c r="GN141" s="30"/>
      <c r="GO141" s="30" t="n">
        <v>3000</v>
      </c>
      <c r="GP141" s="30"/>
      <c r="GQ141" s="30" t="n">
        <v>3000</v>
      </c>
      <c r="GR141" s="30" t="n">
        <v>6000</v>
      </c>
      <c r="GS141" s="30" t="n">
        <v>3000</v>
      </c>
      <c r="GT141" s="30"/>
      <c r="GU141" s="30" t="n">
        <v>3000</v>
      </c>
      <c r="GV141" s="30"/>
      <c r="GW141" s="30" t="n">
        <v>3000</v>
      </c>
      <c r="GX141" s="30" t="n">
        <f aca="false">SUM(N141:GW141)</f>
        <v>21000</v>
      </c>
      <c r="GY141" s="36" t="n">
        <f aca="false">SUM(L141-GX141)</f>
        <v>22200</v>
      </c>
      <c r="GZ141" s="32" t="n">
        <f aca="false">SUM( H141/5)</f>
        <v>7</v>
      </c>
      <c r="HA141" s="32" t="n">
        <f aca="false">SUM( I141/5)</f>
        <v>7.4</v>
      </c>
      <c r="HB141" s="33" t="n">
        <f aca="false">SUM(GZ141/4)</f>
        <v>1.75</v>
      </c>
      <c r="HC141" s="33" t="n">
        <f aca="false">SUM(HA141/4)</f>
        <v>1.85</v>
      </c>
    </row>
    <row r="142" customFormat="false" ht="28.5" hidden="false" customHeight="true" outlineLevel="0" collapsed="false">
      <c r="A142" s="26" t="n">
        <v>3791</v>
      </c>
      <c r="B142" s="21" t="s">
        <v>450</v>
      </c>
      <c r="C142" s="21" t="s">
        <v>451</v>
      </c>
      <c r="D142" s="34"/>
      <c r="E142" s="25" t="n">
        <v>46176</v>
      </c>
      <c r="F142" s="25" t="n">
        <f aca="false">WORKDAY(E142,G142)</f>
        <v>46276</v>
      </c>
      <c r="G142" s="26" t="n">
        <v>72</v>
      </c>
      <c r="H142" s="27" t="n">
        <f aca="false">(GX142* 5)/M142</f>
        <v>10</v>
      </c>
      <c r="I142" s="27" t="n">
        <f aca="false">G142-H142</f>
        <v>62</v>
      </c>
      <c r="J142" s="22" t="s">
        <v>266</v>
      </c>
      <c r="K142" s="45" t="n">
        <v>20000</v>
      </c>
      <c r="L142" s="31" t="n">
        <v>43200</v>
      </c>
      <c r="M142" s="29" t="n">
        <f aca="false">(L142/G142)*5</f>
        <v>3000</v>
      </c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  <c r="DU142" s="30"/>
      <c r="DV142" s="30"/>
      <c r="DW142" s="30"/>
      <c r="DX142" s="30"/>
      <c r="DY142" s="30"/>
      <c r="DZ142" s="30"/>
      <c r="EA142" s="30"/>
      <c r="EB142" s="30"/>
      <c r="EC142" s="30"/>
      <c r="ED142" s="30"/>
      <c r="EE142" s="30"/>
      <c r="EF142" s="30"/>
      <c r="EG142" s="30"/>
      <c r="EH142" s="30"/>
      <c r="EI142" s="30"/>
      <c r="EJ142" s="30"/>
      <c r="EK142" s="30" t="s">
        <v>214</v>
      </c>
      <c r="EL142" s="30"/>
      <c r="EM142" s="30" t="s">
        <v>214</v>
      </c>
      <c r="EN142" s="30" t="s">
        <v>214</v>
      </c>
      <c r="EO142" s="30"/>
      <c r="EP142" s="30"/>
      <c r="EQ142" s="30"/>
      <c r="ER142" s="30"/>
      <c r="ES142" s="30" t="s">
        <v>214</v>
      </c>
      <c r="ET142" s="30"/>
      <c r="EU142" s="30"/>
      <c r="EV142" s="30" t="s">
        <v>214</v>
      </c>
      <c r="EW142" s="30"/>
      <c r="EX142" s="30"/>
      <c r="EY142" s="30"/>
      <c r="EZ142" s="30"/>
      <c r="FA142" s="30"/>
      <c r="FB142" s="30"/>
      <c r="FC142" s="30" t="s">
        <v>214</v>
      </c>
      <c r="FD142" s="30"/>
      <c r="FE142" s="30"/>
      <c r="FF142" s="30"/>
      <c r="FG142" s="30"/>
      <c r="FH142" s="30"/>
      <c r="FI142" s="30"/>
      <c r="FJ142" s="30"/>
      <c r="FK142" s="30"/>
      <c r="FL142" s="30" t="s">
        <v>214</v>
      </c>
      <c r="FM142" s="30"/>
      <c r="FN142" s="30"/>
      <c r="FO142" s="30"/>
      <c r="FP142" s="30"/>
      <c r="FQ142" s="30"/>
      <c r="FR142" s="30"/>
      <c r="FS142" s="30"/>
      <c r="FT142" s="30"/>
      <c r="FU142" s="30"/>
      <c r="FV142" s="30"/>
      <c r="FW142" s="30"/>
      <c r="FX142" s="30"/>
      <c r="FY142" s="30"/>
      <c r="FZ142" s="30"/>
      <c r="GA142" s="30"/>
      <c r="GB142" s="30"/>
      <c r="GC142" s="30"/>
      <c r="GD142" s="30"/>
      <c r="GE142" s="30"/>
      <c r="GF142" s="30"/>
      <c r="GG142" s="30"/>
      <c r="GH142" s="30"/>
      <c r="GI142" s="30"/>
      <c r="GJ142" s="30"/>
      <c r="GK142" s="30"/>
      <c r="GL142" s="30"/>
      <c r="GM142" s="30"/>
      <c r="GN142" s="30"/>
      <c r="GO142" s="30"/>
      <c r="GP142" s="30"/>
      <c r="GQ142" s="30"/>
      <c r="GR142" s="30"/>
      <c r="GS142" s="30"/>
      <c r="GT142" s="30"/>
      <c r="GU142" s="30" t="n">
        <v>3000</v>
      </c>
      <c r="GV142" s="30"/>
      <c r="GW142" s="30" t="n">
        <v>3000</v>
      </c>
      <c r="GX142" s="30" t="n">
        <f aca="false">SUM(N142:GW142)</f>
        <v>6000</v>
      </c>
      <c r="GY142" s="36" t="n">
        <f aca="false">SUM(L142-GX142)</f>
        <v>37200</v>
      </c>
      <c r="GZ142" s="32" t="n">
        <f aca="false">SUM( H142/5)</f>
        <v>2</v>
      </c>
      <c r="HA142" s="32" t="n">
        <f aca="false">SUM( I142/5)</f>
        <v>12.4</v>
      </c>
      <c r="HB142" s="33" t="n">
        <f aca="false">SUM(GZ142/4)</f>
        <v>0.5</v>
      </c>
      <c r="HC142" s="33" t="n">
        <f aca="false">SUM(HA142/4)</f>
        <v>3.1</v>
      </c>
    </row>
    <row r="143" customFormat="false" ht="28.5" hidden="false" customHeight="true" outlineLevel="0" collapsed="false">
      <c r="A143" s="26" t="n">
        <v>3815</v>
      </c>
      <c r="B143" s="21" t="s">
        <v>453</v>
      </c>
      <c r="C143" s="21" t="s">
        <v>451</v>
      </c>
      <c r="D143" s="34"/>
      <c r="E143" s="24" t="n">
        <v>46195</v>
      </c>
      <c r="F143" s="25" t="n">
        <v>46027</v>
      </c>
      <c r="G143" s="26" t="n">
        <v>72</v>
      </c>
      <c r="H143" s="27" t="n">
        <f aca="false">(GX143* 5)/M143</f>
        <v>5</v>
      </c>
      <c r="I143" s="27" t="n">
        <f aca="false">G143-H143</f>
        <v>67</v>
      </c>
      <c r="J143" s="22" t="s">
        <v>381</v>
      </c>
      <c r="K143" s="46" t="n">
        <v>50000</v>
      </c>
      <c r="L143" s="36" t="n">
        <v>108000</v>
      </c>
      <c r="M143" s="37" t="n">
        <f aca="false">(L143/G143)*5</f>
        <v>7500</v>
      </c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  <c r="DU143" s="30"/>
      <c r="DV143" s="30"/>
      <c r="DW143" s="30"/>
      <c r="DX143" s="30"/>
      <c r="DY143" s="30"/>
      <c r="DZ143" s="30"/>
      <c r="EA143" s="30"/>
      <c r="EB143" s="30"/>
      <c r="EC143" s="30"/>
      <c r="ED143" s="30"/>
      <c r="EE143" s="30"/>
      <c r="EF143" s="30"/>
      <c r="EG143" s="30"/>
      <c r="EH143" s="30"/>
      <c r="EI143" s="30"/>
      <c r="EJ143" s="30"/>
      <c r="EK143" s="30" t="s">
        <v>214</v>
      </c>
      <c r="EL143" s="30"/>
      <c r="EM143" s="30" t="s">
        <v>214</v>
      </c>
      <c r="EN143" s="30" t="s">
        <v>214</v>
      </c>
      <c r="EO143" s="30"/>
      <c r="EP143" s="30"/>
      <c r="EQ143" s="30"/>
      <c r="ER143" s="30"/>
      <c r="ES143" s="30" t="s">
        <v>214</v>
      </c>
      <c r="ET143" s="30"/>
      <c r="EU143" s="30"/>
      <c r="EV143" s="30" t="s">
        <v>214</v>
      </c>
      <c r="EW143" s="30"/>
      <c r="EX143" s="30"/>
      <c r="EY143" s="30"/>
      <c r="EZ143" s="30"/>
      <c r="FA143" s="30"/>
      <c r="FB143" s="30"/>
      <c r="FC143" s="30" t="s">
        <v>214</v>
      </c>
      <c r="FD143" s="30"/>
      <c r="FE143" s="30"/>
      <c r="FF143" s="30"/>
      <c r="FG143" s="30"/>
      <c r="FH143" s="30"/>
      <c r="FI143" s="30"/>
      <c r="FJ143" s="30"/>
      <c r="FK143" s="30"/>
      <c r="FL143" s="30" t="s">
        <v>214</v>
      </c>
      <c r="FM143" s="30"/>
      <c r="FN143" s="30"/>
      <c r="FO143" s="30"/>
      <c r="FP143" s="30"/>
      <c r="FQ143" s="30"/>
      <c r="FR143" s="30"/>
      <c r="FS143" s="30"/>
      <c r="FT143" s="30"/>
      <c r="FU143" s="30"/>
      <c r="FV143" s="30"/>
      <c r="FW143" s="30"/>
      <c r="FX143" s="30"/>
      <c r="FY143" s="30"/>
      <c r="FZ143" s="30"/>
      <c r="GA143" s="30"/>
      <c r="GB143" s="30"/>
      <c r="GC143" s="30"/>
      <c r="GD143" s="30"/>
      <c r="GE143" s="30"/>
      <c r="GF143" s="30"/>
      <c r="GG143" s="30"/>
      <c r="GH143" s="30"/>
      <c r="GI143" s="30"/>
      <c r="GJ143" s="30"/>
      <c r="GK143" s="30"/>
      <c r="GL143" s="30"/>
      <c r="GM143" s="30"/>
      <c r="GN143" s="30"/>
      <c r="GO143" s="30"/>
      <c r="GP143" s="30"/>
      <c r="GQ143" s="30"/>
      <c r="GR143" s="30"/>
      <c r="GS143" s="30"/>
      <c r="GT143" s="30"/>
      <c r="GU143" s="30"/>
      <c r="GV143" s="30"/>
      <c r="GW143" s="30" t="n">
        <v>7500</v>
      </c>
      <c r="GX143" s="30" t="n">
        <f aca="false">SUM(N143:GW143)</f>
        <v>7500</v>
      </c>
      <c r="GY143" s="36" t="n">
        <f aca="false">SUM(L143-GX143)</f>
        <v>100500</v>
      </c>
      <c r="GZ143" s="32" t="n">
        <f aca="false">SUM( H143/5)</f>
        <v>1</v>
      </c>
      <c r="HA143" s="32" t="n">
        <f aca="false">SUM( I143/5)</f>
        <v>13.4</v>
      </c>
      <c r="HB143" s="33" t="n">
        <f aca="false">SUM(GZ143/4)</f>
        <v>0.25</v>
      </c>
      <c r="HC143" s="33" t="n">
        <f aca="false">SUM(HA143/4)</f>
        <v>3.35</v>
      </c>
    </row>
    <row r="144" customFormat="false" ht="28.5" hidden="false" customHeight="true" outlineLevel="0" collapsed="false">
      <c r="A144" s="26" t="n">
        <v>3697</v>
      </c>
      <c r="B144" s="21" t="s">
        <v>454</v>
      </c>
      <c r="C144" s="21" t="s">
        <v>451</v>
      </c>
      <c r="D144" s="34"/>
      <c r="E144" s="24" t="n">
        <v>46105</v>
      </c>
      <c r="F144" s="25" t="n">
        <v>46027</v>
      </c>
      <c r="G144" s="26" t="n">
        <v>72</v>
      </c>
      <c r="H144" s="27" t="n">
        <f aca="false">(GX144* 5)/M144</f>
        <v>72</v>
      </c>
      <c r="I144" s="27" t="n">
        <f aca="false">G144-H144</f>
        <v>0</v>
      </c>
      <c r="J144" s="22" t="s">
        <v>381</v>
      </c>
      <c r="K144" s="46" t="n">
        <v>50000</v>
      </c>
      <c r="L144" s="36" t="n">
        <v>108000</v>
      </c>
      <c r="M144" s="29" t="n">
        <f aca="false">(L144/G144)*5</f>
        <v>7500</v>
      </c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  <c r="DU144" s="30"/>
      <c r="DV144" s="30"/>
      <c r="DW144" s="30"/>
      <c r="DX144" s="30"/>
      <c r="DY144" s="30"/>
      <c r="DZ144" s="30"/>
      <c r="EA144" s="30"/>
      <c r="EB144" s="30"/>
      <c r="EC144" s="30"/>
      <c r="ED144" s="30"/>
      <c r="EE144" s="30"/>
      <c r="EF144" s="30"/>
      <c r="EG144" s="30"/>
      <c r="EH144" s="30"/>
      <c r="EI144" s="30"/>
      <c r="EJ144" s="30"/>
      <c r="EK144" s="30" t="s">
        <v>214</v>
      </c>
      <c r="EL144" s="30"/>
      <c r="EM144" s="30" t="s">
        <v>214</v>
      </c>
      <c r="EN144" s="30" t="s">
        <v>214</v>
      </c>
      <c r="EO144" s="30"/>
      <c r="EP144" s="30"/>
      <c r="EQ144" s="30"/>
      <c r="ER144" s="30"/>
      <c r="ES144" s="30" t="s">
        <v>214</v>
      </c>
      <c r="ET144" s="30"/>
      <c r="EU144" s="30"/>
      <c r="EV144" s="30" t="s">
        <v>214</v>
      </c>
      <c r="EW144" s="30"/>
      <c r="EX144" s="30"/>
      <c r="EY144" s="30"/>
      <c r="EZ144" s="30"/>
      <c r="FA144" s="30"/>
      <c r="FB144" s="30"/>
      <c r="FC144" s="30" t="s">
        <v>214</v>
      </c>
      <c r="FD144" s="30"/>
      <c r="FE144" s="30"/>
      <c r="FF144" s="30"/>
      <c r="FG144" s="30"/>
      <c r="FH144" s="30"/>
      <c r="FI144" s="30"/>
      <c r="FJ144" s="30"/>
      <c r="FK144" s="30"/>
      <c r="FL144" s="30" t="s">
        <v>214</v>
      </c>
      <c r="FM144" s="30"/>
      <c r="FN144" s="30"/>
      <c r="FO144" s="30"/>
      <c r="FP144" s="30"/>
      <c r="FQ144" s="30"/>
      <c r="FR144" s="30"/>
      <c r="FS144" s="30"/>
      <c r="FT144" s="30"/>
      <c r="FU144" s="30"/>
      <c r="FV144" s="30"/>
      <c r="FW144" s="30"/>
      <c r="FX144" s="30"/>
      <c r="FY144" s="30"/>
      <c r="FZ144" s="30"/>
      <c r="GA144" s="30"/>
      <c r="GB144" s="30"/>
      <c r="GC144" s="30"/>
      <c r="GD144" s="30"/>
      <c r="GE144" s="30"/>
      <c r="GF144" s="30"/>
      <c r="GG144" s="30"/>
      <c r="GH144" s="30"/>
      <c r="GI144" s="30" t="n">
        <v>7500</v>
      </c>
      <c r="GJ144" s="30" t="n">
        <v>7500</v>
      </c>
      <c r="GK144" s="30" t="n">
        <v>7500</v>
      </c>
      <c r="GL144" s="30"/>
      <c r="GM144" s="30" t="n">
        <v>7500</v>
      </c>
      <c r="GN144" s="30" t="n">
        <v>7500</v>
      </c>
      <c r="GO144" s="30" t="n">
        <v>15000</v>
      </c>
      <c r="GP144" s="30"/>
      <c r="GQ144" s="30" t="n">
        <v>15000</v>
      </c>
      <c r="GR144" s="30" t="n">
        <v>7500</v>
      </c>
      <c r="GS144" s="30" t="n">
        <v>7500</v>
      </c>
      <c r="GT144" s="30" t="n">
        <v>7500</v>
      </c>
      <c r="GU144" s="30"/>
      <c r="GV144" s="30" t="n">
        <v>15000</v>
      </c>
      <c r="GW144" s="30" t="n">
        <v>3000</v>
      </c>
      <c r="GX144" s="30" t="n">
        <f aca="false">SUM(N144:GW144)</f>
        <v>108000</v>
      </c>
      <c r="GY144" s="36" t="n">
        <f aca="false">SUM(L144-GX144)</f>
        <v>0</v>
      </c>
      <c r="GZ144" s="32" t="n">
        <f aca="false">SUM( H144/5)</f>
        <v>14.4</v>
      </c>
      <c r="HA144" s="32" t="n">
        <f aca="false">SUM( I144/5)</f>
        <v>0</v>
      </c>
      <c r="HB144" s="33" t="n">
        <f aca="false">SUM(GZ144/4)</f>
        <v>3.6</v>
      </c>
      <c r="HC144" s="33" t="n">
        <f aca="false">SUM(HA144/4)</f>
        <v>0</v>
      </c>
    </row>
    <row r="145" customFormat="false" ht="28.5" hidden="false" customHeight="true" outlineLevel="0" collapsed="false">
      <c r="A145" s="26" t="n">
        <v>3788</v>
      </c>
      <c r="B145" s="21" t="s">
        <v>454</v>
      </c>
      <c r="C145" s="21" t="s">
        <v>451</v>
      </c>
      <c r="D145" s="34"/>
      <c r="E145" s="25" t="n">
        <v>46174</v>
      </c>
      <c r="F145" s="25" t="n">
        <v>46027</v>
      </c>
      <c r="G145" s="26" t="n">
        <v>72</v>
      </c>
      <c r="H145" s="27" t="n">
        <f aca="false">(GX145* 5)/M145</f>
        <v>20</v>
      </c>
      <c r="I145" s="27" t="n">
        <f aca="false">G145-H145</f>
        <v>52</v>
      </c>
      <c r="J145" s="22" t="s">
        <v>381</v>
      </c>
      <c r="K145" s="46" t="n">
        <v>50000</v>
      </c>
      <c r="L145" s="36" t="n">
        <v>108000</v>
      </c>
      <c r="M145" s="29" t="n">
        <f aca="false">(L145/G145)*5</f>
        <v>7500</v>
      </c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  <c r="DU145" s="30"/>
      <c r="DV145" s="30"/>
      <c r="DW145" s="30"/>
      <c r="DX145" s="30"/>
      <c r="DY145" s="30"/>
      <c r="DZ145" s="30"/>
      <c r="EA145" s="30"/>
      <c r="EB145" s="30"/>
      <c r="EC145" s="30"/>
      <c r="ED145" s="30"/>
      <c r="EE145" s="30"/>
      <c r="EF145" s="30"/>
      <c r="EG145" s="30"/>
      <c r="EH145" s="30"/>
      <c r="EI145" s="30"/>
      <c r="EJ145" s="30"/>
      <c r="EK145" s="30" t="s">
        <v>214</v>
      </c>
      <c r="EL145" s="30"/>
      <c r="EM145" s="30" t="s">
        <v>214</v>
      </c>
      <c r="EN145" s="30" t="s">
        <v>214</v>
      </c>
      <c r="EO145" s="30"/>
      <c r="EP145" s="30"/>
      <c r="EQ145" s="30"/>
      <c r="ER145" s="30"/>
      <c r="ES145" s="30" t="s">
        <v>214</v>
      </c>
      <c r="ET145" s="30"/>
      <c r="EU145" s="30"/>
      <c r="EV145" s="30" t="s">
        <v>214</v>
      </c>
      <c r="EW145" s="30"/>
      <c r="EX145" s="30"/>
      <c r="EY145" s="30"/>
      <c r="EZ145" s="30"/>
      <c r="FA145" s="30"/>
      <c r="FB145" s="30"/>
      <c r="FC145" s="30" t="s">
        <v>214</v>
      </c>
      <c r="FD145" s="30"/>
      <c r="FE145" s="30"/>
      <c r="FF145" s="30"/>
      <c r="FG145" s="30"/>
      <c r="FH145" s="30"/>
      <c r="FI145" s="30"/>
      <c r="FJ145" s="30"/>
      <c r="FK145" s="30"/>
      <c r="FL145" s="30" t="s">
        <v>214</v>
      </c>
      <c r="FM145" s="30"/>
      <c r="FN145" s="30"/>
      <c r="FO145" s="30"/>
      <c r="FP145" s="30"/>
      <c r="FQ145" s="30"/>
      <c r="FR145" s="30"/>
      <c r="FS145" s="30"/>
      <c r="FT145" s="30"/>
      <c r="FU145" s="30"/>
      <c r="FV145" s="30"/>
      <c r="FW145" s="30"/>
      <c r="FX145" s="30"/>
      <c r="FY145" s="30"/>
      <c r="FZ145" s="30"/>
      <c r="GA145" s="30"/>
      <c r="GB145" s="30"/>
      <c r="GC145" s="30"/>
      <c r="GD145" s="30"/>
      <c r="GE145" s="30"/>
      <c r="GF145" s="30"/>
      <c r="GG145" s="30"/>
      <c r="GH145" s="30"/>
      <c r="GI145" s="30"/>
      <c r="GJ145" s="30"/>
      <c r="GK145" s="30"/>
      <c r="GL145" s="30"/>
      <c r="GM145" s="30"/>
      <c r="GN145" s="30"/>
      <c r="GO145" s="30"/>
      <c r="GP145" s="30"/>
      <c r="GQ145" s="30"/>
      <c r="GR145" s="30"/>
      <c r="GS145" s="30"/>
      <c r="GT145" s="30" t="n">
        <v>7500</v>
      </c>
      <c r="GU145" s="30"/>
      <c r="GV145" s="30" t="n">
        <v>15000</v>
      </c>
      <c r="GW145" s="30" t="n">
        <v>7500</v>
      </c>
      <c r="GX145" s="30" t="n">
        <f aca="false">SUM(N145:GW145)</f>
        <v>30000</v>
      </c>
      <c r="GY145" s="36" t="n">
        <f aca="false">SUM(L145-GX145)</f>
        <v>78000</v>
      </c>
      <c r="GZ145" s="32" t="n">
        <f aca="false">SUM( H145/5)</f>
        <v>4</v>
      </c>
      <c r="HA145" s="32" t="n">
        <f aca="false">SUM( I145/5)</f>
        <v>10.4</v>
      </c>
      <c r="HB145" s="33" t="n">
        <f aca="false">SUM(GZ145/4)</f>
        <v>1</v>
      </c>
      <c r="HC145" s="33" t="n">
        <f aca="false">SUM(HA145/4)</f>
        <v>2.6</v>
      </c>
    </row>
    <row r="146" customFormat="false" ht="28.5" hidden="false" customHeight="true" outlineLevel="0" collapsed="false">
      <c r="A146" s="26" t="n">
        <v>3782</v>
      </c>
      <c r="B146" s="21" t="s">
        <v>455</v>
      </c>
      <c r="C146" s="21" t="s">
        <v>451</v>
      </c>
      <c r="D146" s="34"/>
      <c r="E146" s="25" t="n">
        <v>46169</v>
      </c>
      <c r="F146" s="25" t="n">
        <f aca="false">WORKDAY(E146,G146)</f>
        <v>46269</v>
      </c>
      <c r="G146" s="26" t="n">
        <v>72</v>
      </c>
      <c r="H146" s="27" t="n">
        <f aca="false">(GX146* 5)/M146</f>
        <v>15</v>
      </c>
      <c r="I146" s="27" t="n">
        <f aca="false">G146-H146</f>
        <v>57</v>
      </c>
      <c r="J146" s="22" t="s">
        <v>266</v>
      </c>
      <c r="K146" s="46" t="n">
        <v>100000</v>
      </c>
      <c r="L146" s="36" t="n">
        <v>216000</v>
      </c>
      <c r="M146" s="37" t="n">
        <f aca="false">(L146/G146)*5</f>
        <v>15000</v>
      </c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30"/>
      <c r="DO146" s="30"/>
      <c r="DP146" s="30"/>
      <c r="DQ146" s="30"/>
      <c r="DR146" s="30"/>
      <c r="DS146" s="30"/>
      <c r="DT146" s="30"/>
      <c r="DU146" s="30"/>
      <c r="DV146" s="30"/>
      <c r="DW146" s="30"/>
      <c r="DX146" s="30"/>
      <c r="DY146" s="30"/>
      <c r="DZ146" s="30"/>
      <c r="EA146" s="30"/>
      <c r="EB146" s="30"/>
      <c r="EC146" s="30"/>
      <c r="ED146" s="30"/>
      <c r="EE146" s="30"/>
      <c r="EF146" s="30"/>
      <c r="EG146" s="30"/>
      <c r="EH146" s="30"/>
      <c r="EI146" s="30"/>
      <c r="EJ146" s="30"/>
      <c r="EK146" s="30" t="s">
        <v>214</v>
      </c>
      <c r="EL146" s="30"/>
      <c r="EM146" s="30" t="s">
        <v>214</v>
      </c>
      <c r="EN146" s="30" t="s">
        <v>214</v>
      </c>
      <c r="EO146" s="30"/>
      <c r="EP146" s="30"/>
      <c r="EQ146" s="30"/>
      <c r="ER146" s="30"/>
      <c r="ES146" s="30" t="s">
        <v>214</v>
      </c>
      <c r="ET146" s="30"/>
      <c r="EU146" s="30"/>
      <c r="EV146" s="30" t="s">
        <v>214</v>
      </c>
      <c r="EW146" s="30"/>
      <c r="EX146" s="30"/>
      <c r="EY146" s="30"/>
      <c r="EZ146" s="30"/>
      <c r="FA146" s="30"/>
      <c r="FB146" s="30"/>
      <c r="FC146" s="30" t="s">
        <v>214</v>
      </c>
      <c r="FD146" s="30"/>
      <c r="FE146" s="30"/>
      <c r="FF146" s="30"/>
      <c r="FG146" s="30"/>
      <c r="FH146" s="30"/>
      <c r="FI146" s="30"/>
      <c r="FJ146" s="30"/>
      <c r="FK146" s="30"/>
      <c r="FL146" s="30" t="s">
        <v>214</v>
      </c>
      <c r="FM146" s="30"/>
      <c r="FN146" s="30"/>
      <c r="FO146" s="30"/>
      <c r="FP146" s="30"/>
      <c r="FQ146" s="30"/>
      <c r="FR146" s="30"/>
      <c r="FS146" s="30"/>
      <c r="FT146" s="30"/>
      <c r="FU146" s="30"/>
      <c r="FV146" s="30"/>
      <c r="FW146" s="30"/>
      <c r="FX146" s="30"/>
      <c r="FY146" s="30"/>
      <c r="FZ146" s="30"/>
      <c r="GA146" s="30"/>
      <c r="GB146" s="30"/>
      <c r="GC146" s="30"/>
      <c r="GD146" s="30"/>
      <c r="GE146" s="30"/>
      <c r="GF146" s="30"/>
      <c r="GG146" s="30"/>
      <c r="GH146" s="30"/>
      <c r="GI146" s="30"/>
      <c r="GJ146" s="30"/>
      <c r="GK146" s="30"/>
      <c r="GL146" s="30"/>
      <c r="GM146" s="30"/>
      <c r="GN146" s="30"/>
      <c r="GO146" s="30"/>
      <c r="GP146" s="30"/>
      <c r="GQ146" s="30"/>
      <c r="GR146" s="30"/>
      <c r="GS146" s="30" t="n">
        <v>15000</v>
      </c>
      <c r="GT146" s="30"/>
      <c r="GU146" s="30" t="n">
        <v>15000</v>
      </c>
      <c r="GV146" s="30" t="n">
        <v>15000</v>
      </c>
      <c r="GW146" s="30" t="s">
        <v>214</v>
      </c>
      <c r="GX146" s="30" t="n">
        <f aca="false">SUM(N146:GW146)</f>
        <v>45000</v>
      </c>
      <c r="GY146" s="36" t="n">
        <f aca="false">SUM(L146-GX146)</f>
        <v>171000</v>
      </c>
      <c r="GZ146" s="32" t="n">
        <f aca="false">SUM( H146/5)</f>
        <v>3</v>
      </c>
      <c r="HA146" s="32" t="n">
        <f aca="false">SUM( I146/5)</f>
        <v>11.4</v>
      </c>
      <c r="HB146" s="33" t="n">
        <f aca="false">SUM(GZ146/4)</f>
        <v>0.75</v>
      </c>
      <c r="HC146" s="33" t="n">
        <f aca="false">SUM(HA146/4)</f>
        <v>2.85</v>
      </c>
    </row>
    <row r="147" customFormat="false" ht="28.5" hidden="true" customHeight="true" outlineLevel="0" collapsed="false">
      <c r="A147" s="26" t="n">
        <v>3616</v>
      </c>
      <c r="B147" s="21" t="s">
        <v>456</v>
      </c>
      <c r="C147" s="21" t="s">
        <v>457</v>
      </c>
      <c r="D147" s="34"/>
      <c r="E147" s="25" t="n">
        <v>46045</v>
      </c>
      <c r="F147" s="25" t="n">
        <f aca="false">WORKDAY(E147,G147)</f>
        <v>46157</v>
      </c>
      <c r="G147" s="26" t="n">
        <v>80</v>
      </c>
      <c r="H147" s="27" t="n">
        <f aca="false">(GX147* 5)/M147</f>
        <v>20</v>
      </c>
      <c r="I147" s="27" t="n">
        <f aca="false">G147-H147</f>
        <v>60</v>
      </c>
      <c r="J147" s="35" t="s">
        <v>458</v>
      </c>
      <c r="K147" s="36" t="n">
        <v>700000</v>
      </c>
      <c r="L147" s="36" t="n">
        <v>1512000</v>
      </c>
      <c r="M147" s="37" t="n">
        <f aca="false">(L147/G147)*5</f>
        <v>94500</v>
      </c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30"/>
      <c r="DO147" s="30"/>
      <c r="DP147" s="30"/>
      <c r="DQ147" s="30"/>
      <c r="DR147" s="30"/>
      <c r="DS147" s="30"/>
      <c r="DT147" s="30"/>
      <c r="DU147" s="30"/>
      <c r="DV147" s="30"/>
      <c r="DW147" s="30"/>
      <c r="DX147" s="30"/>
      <c r="DY147" s="30"/>
      <c r="DZ147" s="30"/>
      <c r="EA147" s="30"/>
      <c r="EB147" s="30"/>
      <c r="EC147" s="30"/>
      <c r="ED147" s="30"/>
      <c r="EE147" s="30"/>
      <c r="EF147" s="30"/>
      <c r="EG147" s="30"/>
      <c r="EH147" s="30"/>
      <c r="EI147" s="30"/>
      <c r="EJ147" s="30"/>
      <c r="EK147" s="30" t="s">
        <v>214</v>
      </c>
      <c r="EL147" s="30"/>
      <c r="EM147" s="30" t="s">
        <v>214</v>
      </c>
      <c r="EN147" s="30" t="s">
        <v>214</v>
      </c>
      <c r="EO147" s="30"/>
      <c r="EP147" s="30"/>
      <c r="EQ147" s="30"/>
      <c r="ER147" s="30"/>
      <c r="ES147" s="30" t="s">
        <v>214</v>
      </c>
      <c r="ET147" s="30"/>
      <c r="EU147" s="30"/>
      <c r="EV147" s="30" t="s">
        <v>214</v>
      </c>
      <c r="EW147" s="30"/>
      <c r="EX147" s="30"/>
      <c r="EY147" s="30"/>
      <c r="EZ147" s="30"/>
      <c r="FA147" s="30"/>
      <c r="FB147" s="30"/>
      <c r="FC147" s="30" t="s">
        <v>214</v>
      </c>
      <c r="FD147" s="30"/>
      <c r="FE147" s="30"/>
      <c r="FF147" s="30"/>
      <c r="FG147" s="30"/>
      <c r="FH147" s="30"/>
      <c r="FI147" s="30"/>
      <c r="FJ147" s="30"/>
      <c r="FK147" s="30"/>
      <c r="FL147" s="30" t="s">
        <v>214</v>
      </c>
      <c r="FM147" s="30"/>
      <c r="FN147" s="30"/>
      <c r="FO147" s="30"/>
      <c r="FP147" s="30"/>
      <c r="FQ147" s="30"/>
      <c r="FR147" s="30"/>
      <c r="FS147" s="30"/>
      <c r="FT147" s="30"/>
      <c r="FU147" s="30"/>
      <c r="FV147" s="30"/>
      <c r="FW147" s="30"/>
      <c r="FX147" s="30"/>
      <c r="FY147" s="30"/>
      <c r="FZ147" s="30"/>
      <c r="GA147" s="30"/>
      <c r="GB147" s="30"/>
      <c r="GC147" s="30"/>
      <c r="GD147" s="30" t="n">
        <v>278000</v>
      </c>
      <c r="GE147" s="30"/>
      <c r="GF147" s="30" t="n">
        <v>100000</v>
      </c>
      <c r="GG147" s="30"/>
      <c r="GH147" s="30"/>
      <c r="GI147" s="30"/>
      <c r="GJ147" s="30"/>
      <c r="GK147" s="30"/>
      <c r="GL147" s="30"/>
      <c r="GM147" s="30"/>
      <c r="GN147" s="30"/>
      <c r="GO147" s="30"/>
      <c r="GP147" s="30"/>
      <c r="GQ147" s="30"/>
      <c r="GR147" s="30"/>
      <c r="GS147" s="30"/>
      <c r="GT147" s="30"/>
      <c r="GU147" s="30"/>
      <c r="GV147" s="30"/>
      <c r="GW147" s="30"/>
      <c r="GX147" s="30" t="n">
        <f aca="false">SUM(N147:GW147)</f>
        <v>378000</v>
      </c>
      <c r="GY147" s="36" t="n">
        <f aca="false">SUM(L147-GX147)</f>
        <v>1134000</v>
      </c>
      <c r="GZ147" s="32" t="n">
        <f aca="false">SUM( H147/5)</f>
        <v>4</v>
      </c>
      <c r="HA147" s="32" t="n">
        <f aca="false">SUM( I147/5)</f>
        <v>12</v>
      </c>
      <c r="HB147" s="33" t="n">
        <f aca="false">SUM(GZ147/4)</f>
        <v>1</v>
      </c>
      <c r="HC147" s="33" t="n">
        <f aca="false">SUM(HA147/4)</f>
        <v>3</v>
      </c>
    </row>
    <row r="148" customFormat="false" ht="28.5" hidden="true" customHeight="true" outlineLevel="0" collapsed="false">
      <c r="A148" s="26" t="n">
        <v>3682</v>
      </c>
      <c r="B148" s="21" t="s">
        <v>459</v>
      </c>
      <c r="C148" s="21" t="s">
        <v>460</v>
      </c>
      <c r="D148" s="34"/>
      <c r="E148" s="25" t="n">
        <v>46094</v>
      </c>
      <c r="F148" s="25" t="n">
        <v>45915</v>
      </c>
      <c r="G148" s="26" t="n">
        <v>120</v>
      </c>
      <c r="H148" s="27" t="n">
        <f aca="false">(GX148* 5)/M148</f>
        <v>60</v>
      </c>
      <c r="I148" s="27" t="n">
        <f aca="false">G148-H148</f>
        <v>60</v>
      </c>
      <c r="J148" s="35" t="s">
        <v>418</v>
      </c>
      <c r="K148" s="36" t="n">
        <v>100000</v>
      </c>
      <c r="L148" s="36" t="n">
        <v>264000</v>
      </c>
      <c r="M148" s="29" t="n">
        <f aca="false">(L148/G148)*5</f>
        <v>11000</v>
      </c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  <c r="DX148" s="30"/>
      <c r="DY148" s="30"/>
      <c r="DZ148" s="30"/>
      <c r="EA148" s="30"/>
      <c r="EB148" s="30"/>
      <c r="EC148" s="30"/>
      <c r="ED148" s="30"/>
      <c r="EE148" s="30"/>
      <c r="EF148" s="30"/>
      <c r="EG148" s="30"/>
      <c r="EH148" s="30"/>
      <c r="EI148" s="30"/>
      <c r="EJ148" s="30"/>
      <c r="EK148" s="30" t="s">
        <v>214</v>
      </c>
      <c r="EL148" s="30"/>
      <c r="EM148" s="30" t="s">
        <v>214</v>
      </c>
      <c r="EN148" s="30" t="s">
        <v>214</v>
      </c>
      <c r="EO148" s="30"/>
      <c r="EP148" s="30"/>
      <c r="EQ148" s="30"/>
      <c r="ER148" s="30"/>
      <c r="ES148" s="30" t="s">
        <v>214</v>
      </c>
      <c r="ET148" s="30"/>
      <c r="EU148" s="30"/>
      <c r="EV148" s="30" t="s">
        <v>214</v>
      </c>
      <c r="EW148" s="30"/>
      <c r="EX148" s="30"/>
      <c r="EY148" s="30"/>
      <c r="EZ148" s="30"/>
      <c r="FA148" s="30"/>
      <c r="FB148" s="30"/>
      <c r="FC148" s="30" t="s">
        <v>214</v>
      </c>
      <c r="FD148" s="30"/>
      <c r="FE148" s="30"/>
      <c r="FF148" s="30"/>
      <c r="FG148" s="30"/>
      <c r="FH148" s="30"/>
      <c r="FI148" s="30"/>
      <c r="FJ148" s="30"/>
      <c r="FK148" s="30"/>
      <c r="FL148" s="30" t="s">
        <v>214</v>
      </c>
      <c r="FM148" s="30"/>
      <c r="FN148" s="30"/>
      <c r="FO148" s="30"/>
      <c r="FP148" s="30"/>
      <c r="FQ148" s="30"/>
      <c r="FR148" s="30"/>
      <c r="FS148" s="30"/>
      <c r="FT148" s="30"/>
      <c r="FU148" s="30"/>
      <c r="FV148" s="30"/>
      <c r="FW148" s="30"/>
      <c r="FX148" s="30"/>
      <c r="FY148" s="30"/>
      <c r="FZ148" s="30"/>
      <c r="GA148" s="30"/>
      <c r="GB148" s="30"/>
      <c r="GC148" s="30"/>
      <c r="GD148" s="30"/>
      <c r="GE148" s="30"/>
      <c r="GF148" s="30"/>
      <c r="GG148" s="30"/>
      <c r="GH148" s="30"/>
      <c r="GI148" s="30"/>
      <c r="GJ148" s="30"/>
      <c r="GK148" s="30"/>
      <c r="GL148" s="30" t="n">
        <v>44000</v>
      </c>
      <c r="GM148" s="30"/>
      <c r="GN148" s="30"/>
      <c r="GO148" s="30"/>
      <c r="GP148" s="30" t="n">
        <v>44000</v>
      </c>
      <c r="GQ148" s="30"/>
      <c r="GR148" s="30"/>
      <c r="GS148" s="30"/>
      <c r="GT148" s="30"/>
      <c r="GU148" s="30"/>
      <c r="GV148" s="30" t="n">
        <v>44000</v>
      </c>
      <c r="GW148" s="30"/>
      <c r="GX148" s="30" t="n">
        <f aca="false">SUM(N148:GW148)</f>
        <v>132000</v>
      </c>
      <c r="GY148" s="36" t="n">
        <f aca="false">SUM(L148-GX148)</f>
        <v>132000</v>
      </c>
      <c r="GZ148" s="32" t="n">
        <f aca="false">SUM( H148/5)</f>
        <v>12</v>
      </c>
      <c r="HA148" s="32" t="n">
        <f aca="false">SUM( I148/5)</f>
        <v>12</v>
      </c>
      <c r="HB148" s="33" t="n">
        <f aca="false">SUM(GZ148/4)</f>
        <v>3</v>
      </c>
      <c r="HC148" s="33" t="n">
        <f aca="false">SUM(HA148/4)</f>
        <v>3</v>
      </c>
    </row>
    <row r="149" customFormat="false" ht="28.5" hidden="true" customHeight="true" outlineLevel="0" collapsed="false">
      <c r="A149" s="26" t="n">
        <v>3794</v>
      </c>
      <c r="B149" s="21" t="s">
        <v>459</v>
      </c>
      <c r="C149" s="21" t="s">
        <v>460</v>
      </c>
      <c r="D149" s="34"/>
      <c r="E149" s="25" t="n">
        <v>46177</v>
      </c>
      <c r="F149" s="25" t="n">
        <v>45915</v>
      </c>
      <c r="G149" s="26" t="n">
        <v>200</v>
      </c>
      <c r="H149" s="27" t="n">
        <f aca="false">(GX149* 5)/M149</f>
        <v>0</v>
      </c>
      <c r="I149" s="27" t="n">
        <f aca="false">G149-H149</f>
        <v>200</v>
      </c>
      <c r="J149" s="38" t="s">
        <v>275</v>
      </c>
      <c r="K149" s="36" t="n">
        <v>500000</v>
      </c>
      <c r="L149" s="36" t="n">
        <v>1560000</v>
      </c>
      <c r="M149" s="29" t="n">
        <f aca="false">(L149/G149)*5</f>
        <v>39000</v>
      </c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30"/>
      <c r="DO149" s="30"/>
      <c r="DP149" s="30"/>
      <c r="DQ149" s="30"/>
      <c r="DR149" s="30"/>
      <c r="DS149" s="30"/>
      <c r="DT149" s="30"/>
      <c r="DU149" s="30"/>
      <c r="DV149" s="30"/>
      <c r="DW149" s="30"/>
      <c r="DX149" s="30"/>
      <c r="DY149" s="30"/>
      <c r="DZ149" s="30"/>
      <c r="EA149" s="30"/>
      <c r="EB149" s="30"/>
      <c r="EC149" s="30"/>
      <c r="ED149" s="30"/>
      <c r="EE149" s="30"/>
      <c r="EF149" s="30"/>
      <c r="EG149" s="30"/>
      <c r="EH149" s="30"/>
      <c r="EI149" s="30"/>
      <c r="EJ149" s="30"/>
      <c r="EK149" s="30" t="s">
        <v>214</v>
      </c>
      <c r="EL149" s="30"/>
      <c r="EM149" s="30" t="s">
        <v>214</v>
      </c>
      <c r="EN149" s="30" t="s">
        <v>214</v>
      </c>
      <c r="EO149" s="30"/>
      <c r="EP149" s="30"/>
      <c r="EQ149" s="30"/>
      <c r="ER149" s="30"/>
      <c r="ES149" s="30" t="s">
        <v>214</v>
      </c>
      <c r="ET149" s="30"/>
      <c r="EU149" s="30"/>
      <c r="EV149" s="30" t="s">
        <v>214</v>
      </c>
      <c r="EW149" s="30"/>
      <c r="EX149" s="30"/>
      <c r="EY149" s="30"/>
      <c r="EZ149" s="30"/>
      <c r="FA149" s="30"/>
      <c r="FB149" s="30"/>
      <c r="FC149" s="30" t="s">
        <v>214</v>
      </c>
      <c r="FD149" s="30"/>
      <c r="FE149" s="30"/>
      <c r="FF149" s="30"/>
      <c r="FG149" s="30"/>
      <c r="FH149" s="30"/>
      <c r="FI149" s="30"/>
      <c r="FJ149" s="30"/>
      <c r="FK149" s="30"/>
      <c r="FL149" s="30" t="s">
        <v>214</v>
      </c>
      <c r="FM149" s="30"/>
      <c r="FN149" s="30"/>
      <c r="FO149" s="30"/>
      <c r="FP149" s="30"/>
      <c r="FQ149" s="30"/>
      <c r="FR149" s="30"/>
      <c r="FS149" s="30"/>
      <c r="FT149" s="30"/>
      <c r="FU149" s="30"/>
      <c r="FV149" s="30"/>
      <c r="FW149" s="30"/>
      <c r="FX149" s="30"/>
      <c r="FY149" s="30"/>
      <c r="FZ149" s="30"/>
      <c r="GA149" s="30"/>
      <c r="GB149" s="30"/>
      <c r="GC149" s="30"/>
      <c r="GD149" s="30"/>
      <c r="GE149" s="30"/>
      <c r="GF149" s="30"/>
      <c r="GG149" s="30"/>
      <c r="GH149" s="30"/>
      <c r="GI149" s="30"/>
      <c r="GJ149" s="30"/>
      <c r="GK149" s="30"/>
      <c r="GL149" s="30"/>
      <c r="GM149" s="30"/>
      <c r="GN149" s="30"/>
      <c r="GO149" s="30"/>
      <c r="GP149" s="30"/>
      <c r="GQ149" s="30"/>
      <c r="GR149" s="30"/>
      <c r="GS149" s="30"/>
      <c r="GT149" s="30"/>
      <c r="GU149" s="30"/>
      <c r="GV149" s="30"/>
      <c r="GW149" s="30"/>
      <c r="GX149" s="30" t="n">
        <f aca="false">SUM(N149:GW149)</f>
        <v>0</v>
      </c>
      <c r="GY149" s="36" t="n">
        <f aca="false">SUM(L149-GX149)</f>
        <v>1560000</v>
      </c>
      <c r="GZ149" s="32" t="n">
        <f aca="false">SUM( H149/5)</f>
        <v>0</v>
      </c>
      <c r="HA149" s="32" t="n">
        <f aca="false">SUM( I149/5)</f>
        <v>40</v>
      </c>
      <c r="HB149" s="33" t="n">
        <f aca="false">SUM(GZ149/4)</f>
        <v>0</v>
      </c>
      <c r="HC149" s="33" t="n">
        <f aca="false">SUM(HA149/4)</f>
        <v>10</v>
      </c>
    </row>
    <row r="150" customFormat="false" ht="28.5" hidden="true" customHeight="true" outlineLevel="0" collapsed="false">
      <c r="A150" s="26" t="n">
        <v>2792</v>
      </c>
      <c r="B150" s="21" t="s">
        <v>461</v>
      </c>
      <c r="C150" s="21"/>
      <c r="D150" s="34"/>
      <c r="E150" s="25" t="n">
        <v>46008</v>
      </c>
      <c r="F150" s="25" t="n">
        <v>45756</v>
      </c>
      <c r="G150" s="26" t="n">
        <v>70</v>
      </c>
      <c r="H150" s="27" t="n">
        <f aca="false">(GX150* 5)/M150</f>
        <v>10.3643724696356</v>
      </c>
      <c r="I150" s="27" t="n">
        <f aca="false">G150-H150</f>
        <v>59.6356275303644</v>
      </c>
      <c r="J150" s="68" t="s">
        <v>462</v>
      </c>
      <c r="K150" s="28" t="n">
        <v>100000</v>
      </c>
      <c r="L150" s="28" t="n">
        <v>216125</v>
      </c>
      <c r="M150" s="29" t="n">
        <f aca="false">(L150/G150)*5</f>
        <v>15437.5</v>
      </c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30"/>
      <c r="DR150" s="30"/>
      <c r="DS150" s="30"/>
      <c r="DT150" s="30"/>
      <c r="DU150" s="30"/>
      <c r="DV150" s="30"/>
      <c r="DW150" s="30"/>
      <c r="DX150" s="30"/>
      <c r="DY150" s="30"/>
      <c r="DZ150" s="30"/>
      <c r="EA150" s="30"/>
      <c r="EB150" s="30"/>
      <c r="EC150" s="30"/>
      <c r="ED150" s="30"/>
      <c r="EE150" s="30"/>
      <c r="EF150" s="30"/>
      <c r="EG150" s="30"/>
      <c r="EH150" s="30"/>
      <c r="EI150" s="30"/>
      <c r="EJ150" s="30"/>
      <c r="EK150" s="30" t="s">
        <v>214</v>
      </c>
      <c r="EL150" s="30"/>
      <c r="EM150" s="30" t="s">
        <v>214</v>
      </c>
      <c r="EN150" s="30" t="s">
        <v>214</v>
      </c>
      <c r="EO150" s="30"/>
      <c r="EP150" s="30"/>
      <c r="EQ150" s="30"/>
      <c r="ER150" s="30"/>
      <c r="ES150" s="30" t="s">
        <v>214</v>
      </c>
      <c r="ET150" s="30"/>
      <c r="EU150" s="30"/>
      <c r="EV150" s="30" t="s">
        <v>214</v>
      </c>
      <c r="EW150" s="30"/>
      <c r="EX150" s="30"/>
      <c r="EY150" s="30"/>
      <c r="EZ150" s="30"/>
      <c r="FA150" s="30"/>
      <c r="FB150" s="30"/>
      <c r="FC150" s="30" t="s">
        <v>214</v>
      </c>
      <c r="FD150" s="30"/>
      <c r="FE150" s="30"/>
      <c r="FF150" s="30"/>
      <c r="FG150" s="30"/>
      <c r="FH150" s="30"/>
      <c r="FI150" s="30"/>
      <c r="FJ150" s="30"/>
      <c r="FK150" s="30"/>
      <c r="FL150" s="30" t="s">
        <v>214</v>
      </c>
      <c r="FM150" s="30"/>
      <c r="FN150" s="30"/>
      <c r="FO150" s="30"/>
      <c r="FP150" s="30"/>
      <c r="FQ150" s="30"/>
      <c r="FR150" s="30"/>
      <c r="FS150" s="30"/>
      <c r="FT150" s="30"/>
      <c r="FU150" s="30"/>
      <c r="FV150" s="30"/>
      <c r="FW150" s="30"/>
      <c r="FX150" s="30"/>
      <c r="FY150" s="30" t="n">
        <v>32000</v>
      </c>
      <c r="FZ150" s="30"/>
      <c r="GA150" s="30"/>
      <c r="GB150" s="30"/>
      <c r="GC150" s="30"/>
      <c r="GD150" s="30"/>
      <c r="GE150" s="30"/>
      <c r="GF150" s="30"/>
      <c r="GG150" s="30"/>
      <c r="GH150" s="30"/>
      <c r="GI150" s="30"/>
      <c r="GJ150" s="30"/>
      <c r="GK150" s="30"/>
      <c r="GL150" s="30"/>
      <c r="GM150" s="30"/>
      <c r="GN150" s="30"/>
      <c r="GO150" s="30"/>
      <c r="GP150" s="30"/>
      <c r="GQ150" s="30"/>
      <c r="GR150" s="30"/>
      <c r="GS150" s="30"/>
      <c r="GT150" s="30"/>
      <c r="GU150" s="30"/>
      <c r="GV150" s="30"/>
      <c r="GW150" s="30"/>
      <c r="GX150" s="30" t="n">
        <f aca="false">SUM(N150:GW150)</f>
        <v>32000</v>
      </c>
      <c r="GY150" s="36" t="n">
        <f aca="false">SUM(L150-GX150)</f>
        <v>184125</v>
      </c>
      <c r="GZ150" s="32" t="n">
        <f aca="false">SUM( H150/5)</f>
        <v>2.07287449392713</v>
      </c>
      <c r="HA150" s="32" t="n">
        <f aca="false">SUM( I150/5)</f>
        <v>11.9271255060729</v>
      </c>
      <c r="HB150" s="33" t="n">
        <f aca="false">SUM(GZ150/4)</f>
        <v>0.518218623481781</v>
      </c>
      <c r="HC150" s="33" t="n">
        <f aca="false">SUM(HA150/4)</f>
        <v>2.98178137651822</v>
      </c>
    </row>
    <row r="151" customFormat="false" ht="28.5" hidden="true" customHeight="true" outlineLevel="0" collapsed="false">
      <c r="A151" s="26" t="n">
        <v>2906</v>
      </c>
      <c r="B151" s="21" t="s">
        <v>463</v>
      </c>
      <c r="C151" s="21" t="s">
        <v>464</v>
      </c>
      <c r="D151" s="34"/>
      <c r="E151" s="25" t="n">
        <v>45733</v>
      </c>
      <c r="F151" s="25" t="n">
        <f aca="false">WORKDAY(E151,G151)</f>
        <v>46069</v>
      </c>
      <c r="G151" s="26" t="n">
        <v>240</v>
      </c>
      <c r="H151" s="27" t="n">
        <f aca="false">(GX151* 5)/M151</f>
        <v>138.467318982387</v>
      </c>
      <c r="I151" s="27" t="n">
        <f aca="false">G151-H151</f>
        <v>101.532681017613</v>
      </c>
      <c r="J151" s="35" t="s">
        <v>465</v>
      </c>
      <c r="K151" s="46" t="n">
        <v>1500000</v>
      </c>
      <c r="L151" s="36" t="n">
        <v>5110000</v>
      </c>
      <c r="M151" s="37" t="n">
        <f aca="false">(L151/G151)*5</f>
        <v>106458.333333333</v>
      </c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0"/>
      <c r="DO151" s="30"/>
      <c r="DP151" s="30"/>
      <c r="DQ151" s="30"/>
      <c r="DR151" s="30"/>
      <c r="DS151" s="30"/>
      <c r="DT151" s="30"/>
      <c r="DU151" s="30"/>
      <c r="DV151" s="30"/>
      <c r="DW151" s="30"/>
      <c r="DX151" s="30"/>
      <c r="DY151" s="30"/>
      <c r="DZ151" s="30"/>
      <c r="EA151" s="30"/>
      <c r="EB151" s="30"/>
      <c r="EC151" s="30"/>
      <c r="ED151" s="30"/>
      <c r="EE151" s="30"/>
      <c r="EF151" s="30"/>
      <c r="EG151" s="30"/>
      <c r="EH151" s="30"/>
      <c r="EI151" s="30"/>
      <c r="EJ151" s="30"/>
      <c r="EK151" s="30"/>
      <c r="EL151" s="30"/>
      <c r="EM151" s="30"/>
      <c r="EN151" s="30"/>
      <c r="EO151" s="30" t="n">
        <v>324000</v>
      </c>
      <c r="EP151" s="30" t="n">
        <v>105000</v>
      </c>
      <c r="EQ151" s="30"/>
      <c r="ER151" s="30"/>
      <c r="ES151" s="30" t="n">
        <v>425000</v>
      </c>
      <c r="ET151" s="30"/>
      <c r="EU151" s="30"/>
      <c r="EV151" s="30"/>
      <c r="EW151" s="30"/>
      <c r="EX151" s="30" t="n">
        <v>350000</v>
      </c>
      <c r="EY151" s="30"/>
      <c r="EZ151" s="30"/>
      <c r="FA151" s="30"/>
      <c r="FB151" s="30"/>
      <c r="FC151" s="30"/>
      <c r="FD151" s="30"/>
      <c r="FE151" s="30"/>
      <c r="FF151" s="30" t="n">
        <v>300000</v>
      </c>
      <c r="FG151" s="30" t="n">
        <v>125000</v>
      </c>
      <c r="FH151" s="30"/>
      <c r="FI151" s="30"/>
      <c r="FJ151" s="30"/>
      <c r="FK151" s="30" t="n">
        <v>200000</v>
      </c>
      <c r="FL151" s="30"/>
      <c r="FM151" s="30"/>
      <c r="FN151" s="30"/>
      <c r="FO151" s="30"/>
      <c r="FP151" s="30" t="n">
        <v>95000</v>
      </c>
      <c r="FQ151" s="30"/>
      <c r="FR151" s="30"/>
      <c r="FS151" s="30"/>
      <c r="FT151" s="30"/>
      <c r="FU151" s="30"/>
      <c r="FV151" s="30" t="n">
        <v>80000</v>
      </c>
      <c r="FW151" s="30"/>
      <c r="FX151" s="30" t="n">
        <v>150000</v>
      </c>
      <c r="FY151" s="30" t="n">
        <v>44200</v>
      </c>
      <c r="FZ151" s="30"/>
      <c r="GA151" s="30"/>
      <c r="GB151" s="30" t="n">
        <v>150000</v>
      </c>
      <c r="GC151" s="30"/>
      <c r="GD151" s="30"/>
      <c r="GE151" s="30"/>
      <c r="GF151" s="30" t="n">
        <v>150000</v>
      </c>
      <c r="GG151" s="30"/>
      <c r="GH151" s="30"/>
      <c r="GI151" s="30"/>
      <c r="GJ151" s="30"/>
      <c r="GK151" s="30" t="n">
        <v>150000</v>
      </c>
      <c r="GL151" s="30"/>
      <c r="GM151" s="30"/>
      <c r="GN151" s="30"/>
      <c r="GO151" s="30" t="n">
        <v>150000</v>
      </c>
      <c r="GP151" s="30"/>
      <c r="GQ151" s="30"/>
      <c r="GR151" s="30"/>
      <c r="GS151" s="30" t="n">
        <v>150000</v>
      </c>
      <c r="GT151" s="30"/>
      <c r="GU151" s="30"/>
      <c r="GV151" s="30"/>
      <c r="GW151" s="30"/>
      <c r="GX151" s="30" t="n">
        <f aca="false">SUM(N151:GW151)</f>
        <v>2948200</v>
      </c>
      <c r="GY151" s="36" t="n">
        <f aca="false">SUM(L151-GX151)</f>
        <v>2161800</v>
      </c>
      <c r="GZ151" s="32" t="n">
        <f aca="false">SUM( H151/5)</f>
        <v>27.6934637964775</v>
      </c>
      <c r="HA151" s="32" t="n">
        <f aca="false">SUM( I151/5)</f>
        <v>20.3065362035225</v>
      </c>
      <c r="HB151" s="33" t="n">
        <f aca="false">SUM(GZ151/4)</f>
        <v>6.92336594911937</v>
      </c>
      <c r="HC151" s="33" t="n">
        <f aca="false">SUM(HA151/4)</f>
        <v>5.07663405088063</v>
      </c>
    </row>
    <row r="152" customFormat="false" ht="28.5" hidden="true" customHeight="true" outlineLevel="0" collapsed="false">
      <c r="A152" s="26" t="n">
        <v>2949</v>
      </c>
      <c r="B152" s="21" t="s">
        <v>466</v>
      </c>
      <c r="C152" s="21" t="s">
        <v>467</v>
      </c>
      <c r="D152" s="34" t="n">
        <v>27249921551</v>
      </c>
      <c r="E152" s="25" t="n">
        <v>45941</v>
      </c>
      <c r="F152" s="25" t="n">
        <f aca="false">WORKDAY(E152,G152)</f>
        <v>46108</v>
      </c>
      <c r="G152" s="26" t="n">
        <v>120</v>
      </c>
      <c r="H152" s="27" t="n">
        <f aca="false">(GX152* 5)/M152</f>
        <v>63.0454545454546</v>
      </c>
      <c r="I152" s="27" t="n">
        <f aca="false">G152-H152</f>
        <v>56.9545454545455</v>
      </c>
      <c r="J152" s="35" t="s">
        <v>340</v>
      </c>
      <c r="K152" s="36" t="n">
        <v>100000</v>
      </c>
      <c r="L152" s="36" t="n">
        <v>264000</v>
      </c>
      <c r="M152" s="37" t="n">
        <f aca="false">(L152/G152)*5</f>
        <v>11000</v>
      </c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30"/>
      <c r="DR152" s="30"/>
      <c r="DS152" s="30"/>
      <c r="DT152" s="30"/>
      <c r="DU152" s="30"/>
      <c r="DV152" s="30"/>
      <c r="DW152" s="30"/>
      <c r="DX152" s="30"/>
      <c r="DY152" s="30"/>
      <c r="DZ152" s="30"/>
      <c r="EA152" s="30"/>
      <c r="EB152" s="30"/>
      <c r="EC152" s="30"/>
      <c r="ED152" s="30"/>
      <c r="EE152" s="30"/>
      <c r="EF152" s="30"/>
      <c r="EG152" s="30"/>
      <c r="EH152" s="30"/>
      <c r="EI152" s="30"/>
      <c r="EJ152" s="30"/>
      <c r="EK152" s="30" t="s">
        <v>214</v>
      </c>
      <c r="EL152" s="30"/>
      <c r="EM152" s="30" t="s">
        <v>214</v>
      </c>
      <c r="EN152" s="30" t="s">
        <v>214</v>
      </c>
      <c r="EO152" s="30"/>
      <c r="EP152" s="30"/>
      <c r="EQ152" s="30"/>
      <c r="ER152" s="30"/>
      <c r="ES152" s="30" t="s">
        <v>214</v>
      </c>
      <c r="ET152" s="30"/>
      <c r="EU152" s="30"/>
      <c r="EV152" s="30" t="s">
        <v>214</v>
      </c>
      <c r="EW152" s="30"/>
      <c r="EX152" s="30"/>
      <c r="EY152" s="30"/>
      <c r="EZ152" s="30"/>
      <c r="FA152" s="30"/>
      <c r="FB152" s="30"/>
      <c r="FC152" s="30" t="s">
        <v>214</v>
      </c>
      <c r="FD152" s="30"/>
      <c r="FE152" s="30"/>
      <c r="FF152" s="30"/>
      <c r="FG152" s="30"/>
      <c r="FH152" s="30"/>
      <c r="FI152" s="30"/>
      <c r="FJ152" s="30"/>
      <c r="FK152" s="30"/>
      <c r="FL152" s="30"/>
      <c r="FM152" s="30"/>
      <c r="FN152" s="30"/>
      <c r="FO152" s="30"/>
      <c r="FP152" s="30" t="n">
        <v>44000</v>
      </c>
      <c r="FQ152" s="30"/>
      <c r="FR152" s="30"/>
      <c r="FS152" s="30"/>
      <c r="FT152" s="30" t="n">
        <v>44000</v>
      </c>
      <c r="FU152" s="30"/>
      <c r="FV152" s="30"/>
      <c r="FW152" s="30"/>
      <c r="FX152" s="30"/>
      <c r="FY152" s="30" t="n">
        <v>6700</v>
      </c>
      <c r="FZ152" s="30"/>
      <c r="GA152" s="30"/>
      <c r="GB152" s="30"/>
      <c r="GC152" s="30" t="n">
        <v>44000</v>
      </c>
      <c r="GD152" s="30"/>
      <c r="GE152" s="30"/>
      <c r="GF152" s="30"/>
      <c r="GG152" s="30"/>
      <c r="GH152" s="30"/>
      <c r="GI152" s="30"/>
      <c r="GJ152" s="30"/>
      <c r="GK152" s="30"/>
      <c r="GL152" s="30"/>
      <c r="GM152" s="30"/>
      <c r="GN152" s="30"/>
      <c r="GO152" s="30"/>
      <c r="GP152" s="30"/>
      <c r="GQ152" s="30"/>
      <c r="GR152" s="30"/>
      <c r="GS152" s="30"/>
      <c r="GT152" s="30"/>
      <c r="GU152" s="30"/>
      <c r="GV152" s="30"/>
      <c r="GW152" s="30"/>
      <c r="GX152" s="30" t="n">
        <f aca="false">SUM(N152:GW152)</f>
        <v>138700</v>
      </c>
      <c r="GY152" s="36" t="n">
        <f aca="false">SUM(L152-GX152)</f>
        <v>125300</v>
      </c>
      <c r="GZ152" s="32" t="n">
        <f aca="false">SUM( H152/5)</f>
        <v>12.6090909090909</v>
      </c>
      <c r="HA152" s="32" t="n">
        <f aca="false">SUM( I152/5)</f>
        <v>11.3909090909091</v>
      </c>
      <c r="HB152" s="33" t="n">
        <f aca="false">SUM(GZ152/4)</f>
        <v>3.15227272727273</v>
      </c>
      <c r="HC152" s="33" t="n">
        <f aca="false">SUM(HA152/4)</f>
        <v>2.84772727272727</v>
      </c>
    </row>
    <row r="153" customFormat="false" ht="28.5" hidden="true" customHeight="true" outlineLevel="0" collapsed="false">
      <c r="A153" s="26" t="n">
        <v>3297</v>
      </c>
      <c r="B153" s="21" t="s">
        <v>466</v>
      </c>
      <c r="C153" s="21" t="s">
        <v>467</v>
      </c>
      <c r="D153" s="34" t="n">
        <v>27249921551</v>
      </c>
      <c r="E153" s="25" t="n">
        <v>45971</v>
      </c>
      <c r="F153" s="25" t="n">
        <f aca="false">WORKDAY(E153,G153)</f>
        <v>46125</v>
      </c>
      <c r="G153" s="26" t="n">
        <v>110</v>
      </c>
      <c r="H153" s="27" t="n">
        <f aca="false">(GX153* 5)/M153</f>
        <v>70</v>
      </c>
      <c r="I153" s="27" t="n">
        <f aca="false">G153-H153</f>
        <v>40</v>
      </c>
      <c r="J153" s="49" t="s">
        <v>468</v>
      </c>
      <c r="K153" s="46" t="n">
        <v>200000</v>
      </c>
      <c r="L153" s="36" t="n">
        <v>528000</v>
      </c>
      <c r="M153" s="29" t="n">
        <f aca="false">(L153/G153)*5</f>
        <v>24000</v>
      </c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  <c r="DU153" s="30"/>
      <c r="DV153" s="30"/>
      <c r="DW153" s="30"/>
      <c r="DX153" s="30"/>
      <c r="DY153" s="30"/>
      <c r="DZ153" s="30"/>
      <c r="EA153" s="30"/>
      <c r="EB153" s="30"/>
      <c r="EC153" s="30"/>
      <c r="ED153" s="30"/>
      <c r="EE153" s="30"/>
      <c r="EF153" s="30"/>
      <c r="EG153" s="30"/>
      <c r="EH153" s="30"/>
      <c r="EI153" s="30"/>
      <c r="EJ153" s="30"/>
      <c r="EK153" s="30" t="s">
        <v>214</v>
      </c>
      <c r="EL153" s="30"/>
      <c r="EM153" s="30" t="s">
        <v>214</v>
      </c>
      <c r="EN153" s="30" t="s">
        <v>214</v>
      </c>
      <c r="EO153" s="30"/>
      <c r="EP153" s="30"/>
      <c r="EQ153" s="30"/>
      <c r="ER153" s="30"/>
      <c r="ES153" s="30" t="s">
        <v>214</v>
      </c>
      <c r="ET153" s="30"/>
      <c r="EU153" s="30"/>
      <c r="EV153" s="30" t="s">
        <v>214</v>
      </c>
      <c r="EW153" s="30"/>
      <c r="EX153" s="30"/>
      <c r="EY153" s="30"/>
      <c r="EZ153" s="30"/>
      <c r="FA153" s="30"/>
      <c r="FB153" s="30"/>
      <c r="FC153" s="30" t="s">
        <v>214</v>
      </c>
      <c r="FD153" s="30"/>
      <c r="FE153" s="30"/>
      <c r="FF153" s="30"/>
      <c r="FG153" s="30"/>
      <c r="FH153" s="30"/>
      <c r="FI153" s="30"/>
      <c r="FJ153" s="30"/>
      <c r="FK153" s="30"/>
      <c r="FL153" s="30" t="s">
        <v>214</v>
      </c>
      <c r="FM153" s="30"/>
      <c r="FN153" s="30"/>
      <c r="FO153" s="30"/>
      <c r="FP153" s="30"/>
      <c r="FQ153" s="30"/>
      <c r="FR153" s="30" t="n">
        <v>48000</v>
      </c>
      <c r="FS153" s="30"/>
      <c r="FT153" s="30" t="n">
        <v>48000</v>
      </c>
      <c r="FU153" s="30"/>
      <c r="FV153" s="30" t="n">
        <v>48000</v>
      </c>
      <c r="FW153" s="30"/>
      <c r="FX153" s="30"/>
      <c r="FY153" s="30" t="n">
        <v>48000</v>
      </c>
      <c r="FZ153" s="30"/>
      <c r="GA153" s="30" t="n">
        <v>48000</v>
      </c>
      <c r="GB153" s="30"/>
      <c r="GC153" s="30" t="n">
        <v>48000</v>
      </c>
      <c r="GD153" s="30" t="n">
        <v>48000</v>
      </c>
      <c r="GE153" s="30"/>
      <c r="GF153" s="30"/>
      <c r="GG153" s="30"/>
      <c r="GH153" s="30"/>
      <c r="GI153" s="30"/>
      <c r="GJ153" s="30"/>
      <c r="GK153" s="30"/>
      <c r="GL153" s="30"/>
      <c r="GM153" s="30"/>
      <c r="GN153" s="30"/>
      <c r="GO153" s="30"/>
      <c r="GP153" s="30"/>
      <c r="GQ153" s="30"/>
      <c r="GR153" s="30"/>
      <c r="GS153" s="30"/>
      <c r="GT153" s="30"/>
      <c r="GU153" s="30"/>
      <c r="GV153" s="30"/>
      <c r="GW153" s="30"/>
      <c r="GX153" s="30" t="n">
        <f aca="false">SUM(N153:GW153)</f>
        <v>336000</v>
      </c>
      <c r="GY153" s="36" t="n">
        <f aca="false">SUM(L153-GX153)</f>
        <v>192000</v>
      </c>
      <c r="GZ153" s="32" t="n">
        <f aca="false">SUM( H153/5)</f>
        <v>14</v>
      </c>
      <c r="HA153" s="32" t="n">
        <f aca="false">SUM( I153/5)</f>
        <v>8</v>
      </c>
      <c r="HB153" s="33" t="n">
        <f aca="false">SUM(GZ153/4)</f>
        <v>3.5</v>
      </c>
      <c r="HC153" s="33" t="n">
        <f aca="false">SUM(HA153/4)</f>
        <v>2</v>
      </c>
    </row>
    <row r="154" customFormat="false" ht="28.5" hidden="true" customHeight="true" outlineLevel="0" collapsed="false">
      <c r="A154" s="26" t="n">
        <v>3413</v>
      </c>
      <c r="B154" s="21" t="s">
        <v>466</v>
      </c>
      <c r="C154" s="21" t="s">
        <v>467</v>
      </c>
      <c r="D154" s="34" t="n">
        <v>27249921551</v>
      </c>
      <c r="E154" s="25" t="n">
        <v>46001</v>
      </c>
      <c r="F154" s="25" t="n">
        <f aca="false">WORKDAY(E154,G154)</f>
        <v>46099</v>
      </c>
      <c r="G154" s="26" t="n">
        <v>70</v>
      </c>
      <c r="H154" s="27" t="n">
        <f aca="false">(GX154* 5)/M154</f>
        <v>50</v>
      </c>
      <c r="I154" s="27" t="n">
        <f aca="false">G154-H154</f>
        <v>20</v>
      </c>
      <c r="J154" s="49" t="s">
        <v>469</v>
      </c>
      <c r="K154" s="46" t="n">
        <v>150000</v>
      </c>
      <c r="L154" s="36" t="n">
        <v>324100</v>
      </c>
      <c r="M154" s="37" t="n">
        <f aca="false">(L154/G154)*5</f>
        <v>23150</v>
      </c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  <c r="DU154" s="30"/>
      <c r="DV154" s="30"/>
      <c r="DW154" s="30"/>
      <c r="DX154" s="30"/>
      <c r="DY154" s="30"/>
      <c r="DZ154" s="30"/>
      <c r="EA154" s="30"/>
      <c r="EB154" s="30"/>
      <c r="EC154" s="30"/>
      <c r="ED154" s="30"/>
      <c r="EE154" s="30"/>
      <c r="EF154" s="30"/>
      <c r="EG154" s="30"/>
      <c r="EH154" s="30"/>
      <c r="EI154" s="30"/>
      <c r="EJ154" s="30"/>
      <c r="EK154" s="30" t="s">
        <v>214</v>
      </c>
      <c r="EL154" s="30"/>
      <c r="EM154" s="30" t="s">
        <v>214</v>
      </c>
      <c r="EN154" s="30" t="s">
        <v>214</v>
      </c>
      <c r="EO154" s="30"/>
      <c r="EP154" s="30"/>
      <c r="EQ154" s="30"/>
      <c r="ER154" s="30"/>
      <c r="ES154" s="30" t="s">
        <v>214</v>
      </c>
      <c r="ET154" s="30"/>
      <c r="EU154" s="30"/>
      <c r="EV154" s="30" t="s">
        <v>214</v>
      </c>
      <c r="EW154" s="30"/>
      <c r="EX154" s="30"/>
      <c r="EY154" s="30"/>
      <c r="EZ154" s="30"/>
      <c r="FA154" s="30"/>
      <c r="FB154" s="30"/>
      <c r="FC154" s="30" t="s">
        <v>214</v>
      </c>
      <c r="FD154" s="30"/>
      <c r="FE154" s="30"/>
      <c r="FF154" s="30"/>
      <c r="FG154" s="30"/>
      <c r="FH154" s="30"/>
      <c r="FI154" s="30"/>
      <c r="FJ154" s="30"/>
      <c r="FK154" s="30"/>
      <c r="FL154" s="30" t="s">
        <v>214</v>
      </c>
      <c r="FM154" s="30"/>
      <c r="FN154" s="30"/>
      <c r="FO154" s="30"/>
      <c r="FP154" s="30"/>
      <c r="FQ154" s="30"/>
      <c r="FR154" s="30"/>
      <c r="FS154" s="30"/>
      <c r="FT154" s="30"/>
      <c r="FU154" s="30"/>
      <c r="FV154" s="30" t="n">
        <v>46300</v>
      </c>
      <c r="FW154" s="30"/>
      <c r="FX154" s="30"/>
      <c r="FY154" s="30" t="n">
        <v>46300</v>
      </c>
      <c r="FZ154" s="30"/>
      <c r="GA154" s="30" t="n">
        <v>46300</v>
      </c>
      <c r="GB154" s="30"/>
      <c r="GC154" s="30" t="n">
        <v>46300</v>
      </c>
      <c r="GD154" s="30" t="n">
        <v>46300</v>
      </c>
      <c r="GE154" s="30"/>
      <c r="GF154" s="30"/>
      <c r="GG154" s="30"/>
      <c r="GH154" s="30"/>
      <c r="GI154" s="30"/>
      <c r="GJ154" s="30"/>
      <c r="GK154" s="30"/>
      <c r="GL154" s="30"/>
      <c r="GM154" s="30"/>
      <c r="GN154" s="30"/>
      <c r="GO154" s="30"/>
      <c r="GP154" s="30"/>
      <c r="GQ154" s="30"/>
      <c r="GR154" s="30"/>
      <c r="GS154" s="30"/>
      <c r="GT154" s="30"/>
      <c r="GU154" s="30"/>
      <c r="GV154" s="30"/>
      <c r="GW154" s="30"/>
      <c r="GX154" s="30" t="n">
        <f aca="false">SUM(N154:GW154)</f>
        <v>231500</v>
      </c>
      <c r="GY154" s="36" t="n">
        <f aca="false">SUM(L154-GX154)</f>
        <v>92600</v>
      </c>
      <c r="GZ154" s="32" t="n">
        <f aca="false">SUM( H154/5)</f>
        <v>10</v>
      </c>
      <c r="HA154" s="32" t="n">
        <f aca="false">SUM( I154/5)</f>
        <v>4</v>
      </c>
      <c r="HB154" s="33" t="n">
        <f aca="false">SUM(GZ154/4)</f>
        <v>2.5</v>
      </c>
      <c r="HC154" s="33" t="n">
        <f aca="false">SUM(HA154/4)</f>
        <v>1</v>
      </c>
    </row>
    <row r="155" customFormat="false" ht="28.5" hidden="true" customHeight="true" outlineLevel="0" collapsed="false">
      <c r="A155" s="26" t="n">
        <v>3615</v>
      </c>
      <c r="B155" s="21" t="s">
        <v>466</v>
      </c>
      <c r="C155" s="21" t="s">
        <v>467</v>
      </c>
      <c r="D155" s="34" t="n">
        <v>27249921551</v>
      </c>
      <c r="E155" s="25" t="n">
        <v>46045</v>
      </c>
      <c r="F155" s="25" t="n">
        <f aca="false">WORKDAY(E155,G155)</f>
        <v>46157</v>
      </c>
      <c r="G155" s="26" t="n">
        <v>80</v>
      </c>
      <c r="H155" s="27" t="n">
        <f aca="false">(GX155* 5)/M155</f>
        <v>20</v>
      </c>
      <c r="I155" s="27" t="n">
        <f aca="false">G155-H155</f>
        <v>60</v>
      </c>
      <c r="J155" s="35" t="s">
        <v>470</v>
      </c>
      <c r="K155" s="36" t="n">
        <v>50000</v>
      </c>
      <c r="L155" s="36" t="n">
        <v>108000</v>
      </c>
      <c r="M155" s="29" t="n">
        <f aca="false">(L155/G155)*5</f>
        <v>6750</v>
      </c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30"/>
      <c r="DR155" s="30"/>
      <c r="DS155" s="30"/>
      <c r="DT155" s="30"/>
      <c r="DU155" s="30"/>
      <c r="DV155" s="30"/>
      <c r="DW155" s="30"/>
      <c r="DX155" s="30"/>
      <c r="DY155" s="30"/>
      <c r="DZ155" s="30"/>
      <c r="EA155" s="30"/>
      <c r="EB155" s="30"/>
      <c r="EC155" s="30"/>
      <c r="ED155" s="30"/>
      <c r="EE155" s="30"/>
      <c r="EF155" s="30"/>
      <c r="EG155" s="30"/>
      <c r="EH155" s="30"/>
      <c r="EI155" s="30"/>
      <c r="EJ155" s="30"/>
      <c r="EK155" s="30" t="s">
        <v>214</v>
      </c>
      <c r="EL155" s="30"/>
      <c r="EM155" s="30" t="s">
        <v>214</v>
      </c>
      <c r="EN155" s="30" t="s">
        <v>214</v>
      </c>
      <c r="EO155" s="30"/>
      <c r="EP155" s="30"/>
      <c r="EQ155" s="30"/>
      <c r="ER155" s="30"/>
      <c r="ES155" s="30" t="s">
        <v>214</v>
      </c>
      <c r="ET155" s="30"/>
      <c r="EU155" s="30"/>
      <c r="EV155" s="30" t="s">
        <v>214</v>
      </c>
      <c r="EW155" s="30"/>
      <c r="EX155" s="30"/>
      <c r="EY155" s="30"/>
      <c r="EZ155" s="30"/>
      <c r="FA155" s="30"/>
      <c r="FB155" s="30"/>
      <c r="FC155" s="30" t="s">
        <v>214</v>
      </c>
      <c r="FD155" s="30"/>
      <c r="FE155" s="30"/>
      <c r="FF155" s="30"/>
      <c r="FG155" s="30"/>
      <c r="FH155" s="30"/>
      <c r="FI155" s="30"/>
      <c r="FJ155" s="30"/>
      <c r="FK155" s="30"/>
      <c r="FL155" s="30" t="s">
        <v>214</v>
      </c>
      <c r="FM155" s="30"/>
      <c r="FN155" s="30"/>
      <c r="FO155" s="30"/>
      <c r="FP155" s="30"/>
      <c r="FQ155" s="30"/>
      <c r="FR155" s="30"/>
      <c r="FS155" s="30"/>
      <c r="FT155" s="30"/>
      <c r="FU155" s="30"/>
      <c r="FV155" s="30"/>
      <c r="FW155" s="30"/>
      <c r="FX155" s="30"/>
      <c r="FY155" s="30"/>
      <c r="FZ155" s="30"/>
      <c r="GA155" s="30"/>
      <c r="GB155" s="30"/>
      <c r="GC155" s="30" t="n">
        <v>27000</v>
      </c>
      <c r="GD155" s="30"/>
      <c r="GE155" s="30"/>
      <c r="GF155" s="30"/>
      <c r="GG155" s="30"/>
      <c r="GH155" s="30"/>
      <c r="GI155" s="30"/>
      <c r="GJ155" s="30"/>
      <c r="GK155" s="30"/>
      <c r="GL155" s="30"/>
      <c r="GM155" s="30"/>
      <c r="GN155" s="30"/>
      <c r="GO155" s="30"/>
      <c r="GP155" s="30"/>
      <c r="GQ155" s="30"/>
      <c r="GR155" s="30"/>
      <c r="GS155" s="30"/>
      <c r="GT155" s="30"/>
      <c r="GU155" s="30"/>
      <c r="GV155" s="30"/>
      <c r="GW155" s="30"/>
      <c r="GX155" s="30" t="n">
        <f aca="false">SUM(N155:GW155)</f>
        <v>27000</v>
      </c>
      <c r="GY155" s="36" t="n">
        <f aca="false">SUM(L155-GX155)</f>
        <v>81000</v>
      </c>
      <c r="GZ155" s="32" t="n">
        <f aca="false">SUM( H155/5)</f>
        <v>4</v>
      </c>
      <c r="HA155" s="32" t="n">
        <f aca="false">SUM( I155/5)</f>
        <v>12</v>
      </c>
      <c r="HB155" s="33" t="n">
        <f aca="false">SUM(GZ155/4)</f>
        <v>1</v>
      </c>
      <c r="HC155" s="33" t="n">
        <f aca="false">SUM(HA155/4)</f>
        <v>3</v>
      </c>
    </row>
    <row r="156" customFormat="false" ht="28.5" hidden="true" customHeight="true" outlineLevel="0" collapsed="false">
      <c r="A156" s="26" t="n">
        <v>3648</v>
      </c>
      <c r="B156" s="21" t="s">
        <v>466</v>
      </c>
      <c r="C156" s="21" t="s">
        <v>467</v>
      </c>
      <c r="D156" s="34" t="n">
        <v>27249921551</v>
      </c>
      <c r="E156" s="25" t="n">
        <v>46073</v>
      </c>
      <c r="F156" s="25" t="n">
        <f aca="false">WORKDAY(E156,G156)</f>
        <v>46171</v>
      </c>
      <c r="G156" s="26" t="n">
        <v>70</v>
      </c>
      <c r="H156" s="27" t="n">
        <f aca="false">(GX156* 5)/M156</f>
        <v>0</v>
      </c>
      <c r="I156" s="27" t="n">
        <f aca="false">G156-H156</f>
        <v>70</v>
      </c>
      <c r="J156" s="49" t="s">
        <v>471</v>
      </c>
      <c r="K156" s="45" t="n">
        <v>50000</v>
      </c>
      <c r="L156" s="31" t="n">
        <v>108000</v>
      </c>
      <c r="M156" s="29" t="n">
        <f aca="false">(L156/G156)*5</f>
        <v>7714.28571428572</v>
      </c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30"/>
      <c r="DR156" s="30"/>
      <c r="DS156" s="30"/>
      <c r="DT156" s="30"/>
      <c r="DU156" s="30"/>
      <c r="DV156" s="30"/>
      <c r="DW156" s="30"/>
      <c r="DX156" s="30"/>
      <c r="DY156" s="30"/>
      <c r="DZ156" s="30"/>
      <c r="EA156" s="30"/>
      <c r="EB156" s="30"/>
      <c r="EC156" s="30"/>
      <c r="ED156" s="30"/>
      <c r="EE156" s="30"/>
      <c r="EF156" s="30"/>
      <c r="EG156" s="30"/>
      <c r="EH156" s="30"/>
      <c r="EI156" s="30"/>
      <c r="EJ156" s="30"/>
      <c r="EK156" s="30" t="s">
        <v>214</v>
      </c>
      <c r="EL156" s="30"/>
      <c r="EM156" s="30" t="s">
        <v>214</v>
      </c>
      <c r="EN156" s="30" t="s">
        <v>214</v>
      </c>
      <c r="EO156" s="30"/>
      <c r="EP156" s="30"/>
      <c r="EQ156" s="30"/>
      <c r="ER156" s="30"/>
      <c r="ES156" s="30" t="s">
        <v>214</v>
      </c>
      <c r="ET156" s="30"/>
      <c r="EU156" s="30"/>
      <c r="EV156" s="30" t="s">
        <v>214</v>
      </c>
      <c r="EW156" s="30"/>
      <c r="EX156" s="30"/>
      <c r="EY156" s="30"/>
      <c r="EZ156" s="30"/>
      <c r="FA156" s="30"/>
      <c r="FB156" s="30"/>
      <c r="FC156" s="30" t="s">
        <v>214</v>
      </c>
      <c r="FD156" s="30"/>
      <c r="FE156" s="30"/>
      <c r="FF156" s="30"/>
      <c r="FG156" s="30"/>
      <c r="FH156" s="30"/>
      <c r="FI156" s="30"/>
      <c r="FJ156" s="30"/>
      <c r="FK156" s="30"/>
      <c r="FL156" s="30" t="s">
        <v>214</v>
      </c>
      <c r="FM156" s="30"/>
      <c r="FN156" s="30"/>
      <c r="FO156" s="30"/>
      <c r="FP156" s="30"/>
      <c r="FQ156" s="30"/>
      <c r="FR156" s="30"/>
      <c r="FS156" s="30"/>
      <c r="FT156" s="30"/>
      <c r="FU156" s="30"/>
      <c r="FV156" s="30"/>
      <c r="FW156" s="30"/>
      <c r="FX156" s="30"/>
      <c r="FY156" s="30"/>
      <c r="FZ156" s="30"/>
      <c r="GA156" s="30"/>
      <c r="GB156" s="30"/>
      <c r="GC156" s="30"/>
      <c r="GD156" s="30"/>
      <c r="GE156" s="30"/>
      <c r="GF156" s="30"/>
      <c r="GG156" s="30"/>
      <c r="GH156" s="30"/>
      <c r="GI156" s="30"/>
      <c r="GJ156" s="30"/>
      <c r="GK156" s="30"/>
      <c r="GL156" s="30"/>
      <c r="GM156" s="30"/>
      <c r="GN156" s="30"/>
      <c r="GO156" s="30"/>
      <c r="GP156" s="30"/>
      <c r="GQ156" s="30"/>
      <c r="GR156" s="30"/>
      <c r="GS156" s="30"/>
      <c r="GT156" s="30"/>
      <c r="GU156" s="30"/>
      <c r="GV156" s="30"/>
      <c r="GW156" s="30"/>
      <c r="GX156" s="30" t="n">
        <f aca="false">SUM(N156:GW156)</f>
        <v>0</v>
      </c>
      <c r="GY156" s="36" t="n">
        <f aca="false">SUM(L156-GX156)</f>
        <v>108000</v>
      </c>
      <c r="GZ156" s="32" t="n">
        <f aca="false">SUM( H156/5)</f>
        <v>0</v>
      </c>
      <c r="HA156" s="32" t="n">
        <f aca="false">SUM( I156/5)</f>
        <v>14</v>
      </c>
      <c r="HB156" s="33" t="n">
        <f aca="false">SUM(GZ156/4)</f>
        <v>0</v>
      </c>
      <c r="HC156" s="33" t="n">
        <f aca="false">SUM(HA156/4)</f>
        <v>3.5</v>
      </c>
    </row>
    <row r="157" customFormat="false" ht="28.5" hidden="true" customHeight="true" outlineLevel="0" collapsed="false">
      <c r="A157" s="26" t="n">
        <v>3291</v>
      </c>
      <c r="B157" s="21" t="s">
        <v>472</v>
      </c>
      <c r="C157" s="69" t="s">
        <v>473</v>
      </c>
      <c r="D157" s="34" t="n">
        <v>30659921</v>
      </c>
      <c r="E157" s="25" t="n">
        <v>45985</v>
      </c>
      <c r="F157" s="25" t="n">
        <f aca="false">WORKDAY(E157,G157)</f>
        <v>46139</v>
      </c>
      <c r="G157" s="26" t="n">
        <v>110</v>
      </c>
      <c r="H157" s="27" t="n">
        <f aca="false">(GX157* 5)/M157</f>
        <v>60</v>
      </c>
      <c r="I157" s="27" t="n">
        <f aca="false">G157-H157</f>
        <v>50</v>
      </c>
      <c r="J157" s="22" t="s">
        <v>474</v>
      </c>
      <c r="K157" s="36" t="n">
        <v>100000</v>
      </c>
      <c r="L157" s="36" t="n">
        <v>264000</v>
      </c>
      <c r="M157" s="29" t="n">
        <f aca="false">(L157/G157)*5</f>
        <v>12000</v>
      </c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30"/>
      <c r="DR157" s="30"/>
      <c r="DS157" s="30"/>
      <c r="DT157" s="30"/>
      <c r="DU157" s="30"/>
      <c r="DV157" s="30"/>
      <c r="DW157" s="30"/>
      <c r="DX157" s="30"/>
      <c r="DY157" s="30"/>
      <c r="DZ157" s="30"/>
      <c r="EA157" s="30"/>
      <c r="EB157" s="30"/>
      <c r="EC157" s="30"/>
      <c r="ED157" s="30"/>
      <c r="EE157" s="30"/>
      <c r="EF157" s="30"/>
      <c r="EG157" s="30"/>
      <c r="EH157" s="30"/>
      <c r="EI157" s="30"/>
      <c r="EJ157" s="30"/>
      <c r="EK157" s="30" t="s">
        <v>214</v>
      </c>
      <c r="EL157" s="30"/>
      <c r="EM157" s="30" t="s">
        <v>214</v>
      </c>
      <c r="EN157" s="30" t="s">
        <v>214</v>
      </c>
      <c r="EO157" s="30"/>
      <c r="EP157" s="30"/>
      <c r="EQ157" s="30"/>
      <c r="ER157" s="30"/>
      <c r="ES157" s="30" t="s">
        <v>214</v>
      </c>
      <c r="ET157" s="30"/>
      <c r="EU157" s="30"/>
      <c r="EV157" s="30" t="s">
        <v>214</v>
      </c>
      <c r="EW157" s="30"/>
      <c r="EX157" s="30"/>
      <c r="EY157" s="30"/>
      <c r="EZ157" s="30"/>
      <c r="FA157" s="30"/>
      <c r="FB157" s="30"/>
      <c r="FC157" s="30" t="s">
        <v>214</v>
      </c>
      <c r="FD157" s="30"/>
      <c r="FE157" s="30"/>
      <c r="FF157" s="30"/>
      <c r="FG157" s="30"/>
      <c r="FH157" s="30"/>
      <c r="FI157" s="30"/>
      <c r="FJ157" s="30"/>
      <c r="FK157" s="30"/>
      <c r="FL157" s="30" t="s">
        <v>214</v>
      </c>
      <c r="FM157" s="30"/>
      <c r="FN157" s="30"/>
      <c r="FO157" s="30"/>
      <c r="FP157" s="30"/>
      <c r="FQ157" s="30"/>
      <c r="FR157" s="30"/>
      <c r="FS157" s="30"/>
      <c r="FT157" s="30"/>
      <c r="FU157" s="30" t="n">
        <v>24000</v>
      </c>
      <c r="FV157" s="30"/>
      <c r="FW157" s="30" t="n">
        <v>24000</v>
      </c>
      <c r="FX157" s="30"/>
      <c r="FY157" s="30"/>
      <c r="FZ157" s="30" t="n">
        <v>24000</v>
      </c>
      <c r="GA157" s="30"/>
      <c r="GB157" s="30"/>
      <c r="GC157" s="30" t="n">
        <v>24000</v>
      </c>
      <c r="GD157" s="30"/>
      <c r="GE157" s="30"/>
      <c r="GF157" s="30"/>
      <c r="GG157" s="30"/>
      <c r="GH157" s="30"/>
      <c r="GI157" s="30"/>
      <c r="GJ157" s="30"/>
      <c r="GK157" s="30"/>
      <c r="GL157" s="30"/>
      <c r="GM157" s="30"/>
      <c r="GN157" s="30"/>
      <c r="GO157" s="30" t="n">
        <v>24000</v>
      </c>
      <c r="GP157" s="30"/>
      <c r="GQ157" s="30"/>
      <c r="GR157" s="30"/>
      <c r="GS157" s="30"/>
      <c r="GT157" s="30" t="n">
        <v>24000</v>
      </c>
      <c r="GU157" s="30"/>
      <c r="GV157" s="30"/>
      <c r="GW157" s="30"/>
      <c r="GX157" s="30" t="n">
        <f aca="false">SUM(N157:GW157)</f>
        <v>144000</v>
      </c>
      <c r="GY157" s="36" t="n">
        <f aca="false">SUM(L157-GX157)</f>
        <v>120000</v>
      </c>
      <c r="GZ157" s="32" t="n">
        <f aca="false">SUM( H157/5)</f>
        <v>12</v>
      </c>
      <c r="HA157" s="32" t="n">
        <f aca="false">SUM( I157/5)</f>
        <v>10</v>
      </c>
      <c r="HB157" s="33" t="n">
        <f aca="false">SUM(GZ157/4)</f>
        <v>3</v>
      </c>
      <c r="HC157" s="33" t="n">
        <f aca="false">SUM(HA157/4)</f>
        <v>2.5</v>
      </c>
    </row>
    <row r="158" customFormat="false" ht="28.5" hidden="true" customHeight="true" outlineLevel="0" collapsed="false">
      <c r="A158" s="26" t="n">
        <v>3494</v>
      </c>
      <c r="B158" s="21" t="s">
        <v>475</v>
      </c>
      <c r="C158" s="21" t="s">
        <v>216</v>
      </c>
      <c r="D158" s="34"/>
      <c r="E158" s="25" t="n">
        <v>45610</v>
      </c>
      <c r="F158" s="25" t="n">
        <f aca="false">WORKDAY(E158,G158)</f>
        <v>45712</v>
      </c>
      <c r="G158" s="26" t="n">
        <v>72</v>
      </c>
      <c r="H158" s="27" t="n">
        <f aca="false">(GX158* 5)/M158</f>
        <v>35</v>
      </c>
      <c r="I158" s="27" t="n">
        <f aca="false">G158-H158</f>
        <v>37</v>
      </c>
      <c r="J158" s="22" t="s">
        <v>266</v>
      </c>
      <c r="K158" s="31" t="n">
        <v>100000</v>
      </c>
      <c r="L158" s="31" t="n">
        <v>216000</v>
      </c>
      <c r="M158" s="37" t="n">
        <f aca="false">(L158/G158)*5</f>
        <v>15000</v>
      </c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30"/>
      <c r="DO158" s="30"/>
      <c r="DP158" s="30"/>
      <c r="DQ158" s="30" t="n">
        <v>15000</v>
      </c>
      <c r="DR158" s="30" t="n">
        <v>15000</v>
      </c>
      <c r="DS158" s="30" t="n">
        <v>15000</v>
      </c>
      <c r="DT158" s="30"/>
      <c r="DU158" s="30"/>
      <c r="DV158" s="30" t="n">
        <v>15000</v>
      </c>
      <c r="DW158" s="30" t="n">
        <v>30000</v>
      </c>
      <c r="DX158" s="30"/>
      <c r="DY158" s="30"/>
      <c r="DZ158" s="30"/>
      <c r="EA158" s="30" t="n">
        <v>15000</v>
      </c>
      <c r="EB158" s="30"/>
      <c r="EC158" s="30"/>
      <c r="ED158" s="30"/>
      <c r="EE158" s="30"/>
      <c r="EF158" s="30"/>
      <c r="EG158" s="30"/>
      <c r="EH158" s="30"/>
      <c r="EI158" s="30"/>
      <c r="EJ158" s="30"/>
      <c r="EK158" s="30"/>
      <c r="EL158" s="30"/>
      <c r="EM158" s="30"/>
      <c r="EN158" s="30"/>
      <c r="EO158" s="30"/>
      <c r="EP158" s="30"/>
      <c r="EQ158" s="30"/>
      <c r="ER158" s="30"/>
      <c r="ES158" s="30"/>
      <c r="ET158" s="30"/>
      <c r="EU158" s="30"/>
      <c r="EV158" s="30"/>
      <c r="EW158" s="30"/>
      <c r="EX158" s="30"/>
      <c r="EY158" s="30"/>
      <c r="EZ158" s="30"/>
      <c r="FA158" s="30"/>
      <c r="FB158" s="30"/>
      <c r="FC158" s="30"/>
      <c r="FD158" s="30"/>
      <c r="FE158" s="30"/>
      <c r="FF158" s="30"/>
      <c r="FG158" s="30"/>
      <c r="FH158" s="30"/>
      <c r="FI158" s="30"/>
      <c r="FJ158" s="30"/>
      <c r="FK158" s="30"/>
      <c r="FL158" s="30"/>
      <c r="FM158" s="30"/>
      <c r="FN158" s="30"/>
      <c r="FO158" s="30" t="s">
        <v>214</v>
      </c>
      <c r="FP158" s="30"/>
      <c r="FQ158" s="30"/>
      <c r="FR158" s="30"/>
      <c r="FS158" s="30"/>
      <c r="FT158" s="30"/>
      <c r="FU158" s="30"/>
      <c r="FV158" s="30"/>
      <c r="FW158" s="30"/>
      <c r="FX158" s="30"/>
      <c r="FY158" s="30"/>
      <c r="FZ158" s="30"/>
      <c r="GA158" s="30"/>
      <c r="GB158" s="30"/>
      <c r="GC158" s="30"/>
      <c r="GD158" s="30"/>
      <c r="GE158" s="30"/>
      <c r="GF158" s="30"/>
      <c r="GG158" s="30"/>
      <c r="GH158" s="30"/>
      <c r="GI158" s="30"/>
      <c r="GJ158" s="30"/>
      <c r="GK158" s="30"/>
      <c r="GL158" s="30"/>
      <c r="GM158" s="30"/>
      <c r="GN158" s="30"/>
      <c r="GO158" s="30"/>
      <c r="GP158" s="30"/>
      <c r="GQ158" s="30"/>
      <c r="GR158" s="30"/>
      <c r="GS158" s="30"/>
      <c r="GT158" s="30"/>
      <c r="GU158" s="30"/>
      <c r="GV158" s="30"/>
      <c r="GW158" s="30"/>
      <c r="GX158" s="30" t="n">
        <f aca="false">SUM(N158:GW158)</f>
        <v>105000</v>
      </c>
      <c r="GY158" s="36" t="n">
        <f aca="false">SUM(L158-GX158)</f>
        <v>111000</v>
      </c>
      <c r="GZ158" s="32" t="n">
        <f aca="false">SUM( H158/5)</f>
        <v>7</v>
      </c>
      <c r="HA158" s="32" t="n">
        <f aca="false">SUM( I158/5)</f>
        <v>7.4</v>
      </c>
      <c r="HB158" s="33" t="n">
        <f aca="false">SUM(GZ158/4)</f>
        <v>1.75</v>
      </c>
      <c r="HC158" s="33" t="n">
        <f aca="false">SUM(HA158/4)</f>
        <v>1.85</v>
      </c>
    </row>
    <row r="159" customFormat="false" ht="28.5" hidden="true" customHeight="true" outlineLevel="0" collapsed="false">
      <c r="A159" s="26" t="n">
        <v>3276</v>
      </c>
      <c r="B159" s="21" t="s">
        <v>476</v>
      </c>
      <c r="C159" s="21" t="s">
        <v>477</v>
      </c>
      <c r="D159" s="34"/>
      <c r="E159" s="25" t="n">
        <v>45607</v>
      </c>
      <c r="F159" s="25" t="n">
        <f aca="false">WORKDAY(E159,G159)</f>
        <v>45817</v>
      </c>
      <c r="G159" s="26" t="n">
        <v>150</v>
      </c>
      <c r="H159" s="27" t="n">
        <f aca="false">(GX159* 5)/M159</f>
        <v>142.506439393939</v>
      </c>
      <c r="I159" s="27" t="n">
        <f aca="false">G159-H159</f>
        <v>7.49356060606061</v>
      </c>
      <c r="J159" s="49" t="s">
        <v>478</v>
      </c>
      <c r="K159" s="31" t="n">
        <v>300000</v>
      </c>
      <c r="L159" s="31" t="n">
        <v>792000</v>
      </c>
      <c r="M159" s="37" t="n">
        <f aca="false">(L159/G159)*5</f>
        <v>26400</v>
      </c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 t="n">
        <v>52800</v>
      </c>
      <c r="DT159" s="30"/>
      <c r="DU159" s="30"/>
      <c r="DV159" s="30" t="n">
        <v>52800</v>
      </c>
      <c r="DW159" s="30"/>
      <c r="DX159" s="30" t="n">
        <v>52800</v>
      </c>
      <c r="DY159" s="30"/>
      <c r="DZ159" s="30" t="n">
        <v>52800</v>
      </c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30"/>
      <c r="EQ159" s="30"/>
      <c r="ER159" s="30"/>
      <c r="ES159" s="30"/>
      <c r="ET159" s="30"/>
      <c r="EU159" s="30"/>
      <c r="EV159" s="30"/>
      <c r="EW159" s="30"/>
      <c r="EX159" s="30" t="n">
        <v>17500</v>
      </c>
      <c r="EY159" s="30"/>
      <c r="EZ159" s="30"/>
      <c r="FA159" s="30"/>
      <c r="FB159" s="30" t="n">
        <v>33333</v>
      </c>
      <c r="FC159" s="30"/>
      <c r="FD159" s="30"/>
      <c r="FE159" s="30"/>
      <c r="FF159" s="30" t="n">
        <v>33333</v>
      </c>
      <c r="FG159" s="30"/>
      <c r="FH159" s="30"/>
      <c r="FI159" s="30"/>
      <c r="FJ159" s="30"/>
      <c r="FK159" s="30" t="n">
        <v>33333</v>
      </c>
      <c r="FL159" s="30"/>
      <c r="FM159" s="30"/>
      <c r="FN159" s="30"/>
      <c r="FO159" s="30" t="n">
        <v>33334</v>
      </c>
      <c r="FP159" s="30"/>
      <c r="FQ159" s="30"/>
      <c r="FR159" s="30"/>
      <c r="FS159" s="30"/>
      <c r="FT159" s="30"/>
      <c r="FU159" s="30"/>
      <c r="FV159" s="30"/>
      <c r="FW159" s="30"/>
      <c r="FX159" s="30"/>
      <c r="FY159" s="30"/>
      <c r="FZ159" s="30"/>
      <c r="GA159" s="30"/>
      <c r="GB159" s="30"/>
      <c r="GC159" s="30" t="n">
        <v>52800</v>
      </c>
      <c r="GD159" s="30"/>
      <c r="GE159" s="30"/>
      <c r="GF159" s="30"/>
      <c r="GG159" s="30" t="n">
        <v>52800</v>
      </c>
      <c r="GH159" s="30"/>
      <c r="GI159" s="30"/>
      <c r="GJ159" s="30"/>
      <c r="GK159" s="30" t="n">
        <v>150000</v>
      </c>
      <c r="GL159" s="30"/>
      <c r="GM159" s="30"/>
      <c r="GN159" s="30"/>
      <c r="GO159" s="30" t="n">
        <v>134801</v>
      </c>
      <c r="GP159" s="30"/>
      <c r="GQ159" s="30"/>
      <c r="GR159" s="30"/>
      <c r="GS159" s="30"/>
      <c r="GT159" s="30"/>
      <c r="GU159" s="30"/>
      <c r="GV159" s="30"/>
      <c r="GW159" s="30"/>
      <c r="GX159" s="30" t="n">
        <f aca="false">SUM(N159:GW159)</f>
        <v>752434</v>
      </c>
      <c r="GY159" s="36" t="n">
        <f aca="false">SUM(L159-GX159)</f>
        <v>39566</v>
      </c>
      <c r="GZ159" s="32" t="n">
        <f aca="false">SUM( H159/5)</f>
        <v>28.5012878787879</v>
      </c>
      <c r="HA159" s="32" t="n">
        <f aca="false">SUM( I159/5)</f>
        <v>1.49871212121212</v>
      </c>
      <c r="HB159" s="33" t="n">
        <f aca="false">SUM(GZ159/4)</f>
        <v>7.12532196969697</v>
      </c>
      <c r="HC159" s="33" t="n">
        <f aca="false">SUM(HA159/4)</f>
        <v>0.374678030303031</v>
      </c>
    </row>
    <row r="160" customFormat="false" ht="28.5" hidden="true" customHeight="true" outlineLevel="0" collapsed="false">
      <c r="A160" s="26" t="n">
        <v>3430</v>
      </c>
      <c r="B160" s="21" t="s">
        <v>476</v>
      </c>
      <c r="C160" s="21" t="s">
        <v>477</v>
      </c>
      <c r="D160" s="34"/>
      <c r="E160" s="25" t="n">
        <v>45633</v>
      </c>
      <c r="F160" s="25" t="n">
        <f aca="false">WORKDAY(E160,G160)</f>
        <v>45786</v>
      </c>
      <c r="G160" s="26" t="n">
        <v>110</v>
      </c>
      <c r="H160" s="27" t="n">
        <f aca="false">(GX160* 5)/M160</f>
        <v>90.1179166666667</v>
      </c>
      <c r="I160" s="27" t="n">
        <f aca="false">G160-H160</f>
        <v>19.8820833333333</v>
      </c>
      <c r="J160" s="49" t="s">
        <v>348</v>
      </c>
      <c r="K160" s="31" t="n">
        <v>200000</v>
      </c>
      <c r="L160" s="31" t="n">
        <v>528000</v>
      </c>
      <c r="M160" s="37" t="n">
        <f aca="false">(L160/G160)*5</f>
        <v>24000</v>
      </c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30"/>
      <c r="DO160" s="30"/>
      <c r="DP160" s="30"/>
      <c r="DQ160" s="30"/>
      <c r="DR160" s="30"/>
      <c r="DS160" s="30"/>
      <c r="DT160" s="30"/>
      <c r="DU160" s="30" t="n">
        <v>48000</v>
      </c>
      <c r="DV160" s="30"/>
      <c r="DW160" s="30"/>
      <c r="DX160" s="30" t="n">
        <v>48000</v>
      </c>
      <c r="DY160" s="30"/>
      <c r="DZ160" s="30" t="n">
        <v>48000</v>
      </c>
      <c r="EA160" s="30"/>
      <c r="EB160" s="30"/>
      <c r="EC160" s="30"/>
      <c r="ED160" s="30"/>
      <c r="EE160" s="30"/>
      <c r="EF160" s="30"/>
      <c r="EG160" s="30"/>
      <c r="EH160" s="30"/>
      <c r="EI160" s="30"/>
      <c r="EJ160" s="30"/>
      <c r="EK160" s="30"/>
      <c r="EL160" s="30" t="n">
        <v>15000</v>
      </c>
      <c r="EM160" s="30"/>
      <c r="EN160" s="30"/>
      <c r="EO160" s="30" t="n">
        <v>20000</v>
      </c>
      <c r="EP160" s="30"/>
      <c r="EQ160" s="30"/>
      <c r="ER160" s="30"/>
      <c r="ES160" s="30"/>
      <c r="ET160" s="30"/>
      <c r="EU160" s="30"/>
      <c r="EV160" s="30"/>
      <c r="EW160" s="30"/>
      <c r="EX160" s="30" t="n">
        <v>48000</v>
      </c>
      <c r="EY160" s="30"/>
      <c r="EZ160" s="30"/>
      <c r="FA160" s="30"/>
      <c r="FB160" s="30" t="n">
        <v>33334</v>
      </c>
      <c r="FC160" s="30"/>
      <c r="FD160" s="30"/>
      <c r="FE160" s="30"/>
      <c r="FF160" s="30" t="n">
        <v>33333</v>
      </c>
      <c r="FG160" s="30"/>
      <c r="FH160" s="30"/>
      <c r="FI160" s="30"/>
      <c r="FJ160" s="30"/>
      <c r="FK160" s="30" t="n">
        <v>33334</v>
      </c>
      <c r="FL160" s="30"/>
      <c r="FM160" s="30"/>
      <c r="FN160" s="30"/>
      <c r="FO160" s="30" t="n">
        <v>33333</v>
      </c>
      <c r="FP160" s="30"/>
      <c r="FQ160" s="30"/>
      <c r="FR160" s="30"/>
      <c r="FS160" s="30"/>
      <c r="FT160" s="30"/>
      <c r="FU160" s="30"/>
      <c r="FV160" s="30"/>
      <c r="FW160" s="30"/>
      <c r="FX160" s="30"/>
      <c r="FY160" s="30"/>
      <c r="FZ160" s="30"/>
      <c r="GA160" s="30"/>
      <c r="GB160" s="30"/>
      <c r="GC160" s="30" t="n">
        <v>25032</v>
      </c>
      <c r="GD160" s="30"/>
      <c r="GE160" s="30"/>
      <c r="GF160" s="30"/>
      <c r="GG160" s="30" t="n">
        <v>47200</v>
      </c>
      <c r="GH160" s="30"/>
      <c r="GI160" s="30"/>
      <c r="GJ160" s="30"/>
      <c r="GK160" s="30"/>
      <c r="GL160" s="30"/>
      <c r="GM160" s="30"/>
      <c r="GN160" s="30"/>
      <c r="GO160" s="30"/>
      <c r="GP160" s="30"/>
      <c r="GQ160" s="30"/>
      <c r="GR160" s="30"/>
      <c r="GS160" s="30"/>
      <c r="GT160" s="30"/>
      <c r="GU160" s="30"/>
      <c r="GV160" s="30"/>
      <c r="GW160" s="30"/>
      <c r="GX160" s="30" t="n">
        <f aca="false">SUM(N160:GW160)</f>
        <v>432566</v>
      </c>
      <c r="GY160" s="36" t="n">
        <f aca="false">SUM(L160-GX160)</f>
        <v>95434</v>
      </c>
      <c r="GZ160" s="32" t="n">
        <f aca="false">SUM( H160/5)</f>
        <v>18.0235833333333</v>
      </c>
      <c r="HA160" s="32" t="n">
        <f aca="false">SUM( I160/5)</f>
        <v>3.97641666666667</v>
      </c>
      <c r="HB160" s="33" t="n">
        <f aca="false">SUM(GZ160/4)</f>
        <v>4.50589583333333</v>
      </c>
      <c r="HC160" s="33" t="n">
        <f aca="false">SUM(HA160/4)</f>
        <v>0.994104166666666</v>
      </c>
    </row>
    <row r="161" customFormat="false" ht="28.5" hidden="true" customHeight="true" outlineLevel="0" collapsed="false">
      <c r="A161" s="26" t="n">
        <v>3693</v>
      </c>
      <c r="B161" s="21" t="s">
        <v>476</v>
      </c>
      <c r="C161" s="21" t="s">
        <v>477</v>
      </c>
      <c r="D161" s="34"/>
      <c r="E161" s="25" t="n">
        <v>46102</v>
      </c>
      <c r="F161" s="25" t="n">
        <f aca="false">WORKDAY(E161,G161)</f>
        <v>46185</v>
      </c>
      <c r="G161" s="26" t="n">
        <v>60</v>
      </c>
      <c r="H161" s="27" t="n">
        <f aca="false">(GX161* 5)/M161</f>
        <v>20</v>
      </c>
      <c r="I161" s="27" t="n">
        <f aca="false">G161-H161</f>
        <v>40</v>
      </c>
      <c r="J161" s="49" t="s">
        <v>479</v>
      </c>
      <c r="K161" s="31" t="n">
        <v>200000</v>
      </c>
      <c r="L161" s="31" t="n">
        <v>384000</v>
      </c>
      <c r="M161" s="37" t="n">
        <f aca="false">(L161/G161)*5</f>
        <v>32000</v>
      </c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  <c r="DU161" s="30"/>
      <c r="DV161" s="30"/>
      <c r="DW161" s="30"/>
      <c r="DX161" s="30"/>
      <c r="DY161" s="30"/>
      <c r="DZ161" s="30"/>
      <c r="EA161" s="30"/>
      <c r="EB161" s="30"/>
      <c r="EC161" s="30"/>
      <c r="ED161" s="30"/>
      <c r="EE161" s="30"/>
      <c r="EF161" s="30"/>
      <c r="EG161" s="30"/>
      <c r="EH161" s="30"/>
      <c r="EI161" s="30"/>
      <c r="EJ161" s="30"/>
      <c r="EK161" s="30" t="s">
        <v>214</v>
      </c>
      <c r="EL161" s="30"/>
      <c r="EM161" s="30" t="s">
        <v>214</v>
      </c>
      <c r="EN161" s="30" t="s">
        <v>214</v>
      </c>
      <c r="EO161" s="30"/>
      <c r="EP161" s="30"/>
      <c r="EQ161" s="30"/>
      <c r="ER161" s="30"/>
      <c r="ES161" s="30" t="s">
        <v>214</v>
      </c>
      <c r="ET161" s="30"/>
      <c r="EU161" s="30"/>
      <c r="EV161" s="30" t="s">
        <v>214</v>
      </c>
      <c r="EW161" s="30"/>
      <c r="EX161" s="30"/>
      <c r="EY161" s="30"/>
      <c r="EZ161" s="30"/>
      <c r="FA161" s="30"/>
      <c r="FB161" s="30"/>
      <c r="FC161" s="30" t="s">
        <v>214</v>
      </c>
      <c r="FD161" s="30"/>
      <c r="FE161" s="30"/>
      <c r="FF161" s="30"/>
      <c r="FG161" s="30"/>
      <c r="FH161" s="30"/>
      <c r="FI161" s="30"/>
      <c r="FJ161" s="30"/>
      <c r="FK161" s="30"/>
      <c r="FL161" s="30" t="s">
        <v>214</v>
      </c>
      <c r="FM161" s="30"/>
      <c r="FN161" s="30"/>
      <c r="FO161" s="30"/>
      <c r="FP161" s="30"/>
      <c r="FQ161" s="30"/>
      <c r="FR161" s="30"/>
      <c r="FS161" s="30"/>
      <c r="FT161" s="30"/>
      <c r="FU161" s="30"/>
      <c r="FV161" s="30"/>
      <c r="FW161" s="30"/>
      <c r="FX161" s="30"/>
      <c r="FY161" s="30"/>
      <c r="FZ161" s="30"/>
      <c r="GA161" s="30"/>
      <c r="GB161" s="30"/>
      <c r="GC161" s="30"/>
      <c r="GD161" s="30"/>
      <c r="GE161" s="30"/>
      <c r="GF161" s="30"/>
      <c r="GG161" s="30"/>
      <c r="GH161" s="30"/>
      <c r="GI161" s="30"/>
      <c r="GJ161" s="30"/>
      <c r="GK161" s="30"/>
      <c r="GL161" s="30"/>
      <c r="GM161" s="30"/>
      <c r="GN161" s="30"/>
      <c r="GO161" s="30" t="n">
        <v>128000</v>
      </c>
      <c r="GP161" s="30"/>
      <c r="GQ161" s="30"/>
      <c r="GR161" s="30"/>
      <c r="GS161" s="30"/>
      <c r="GT161" s="30"/>
      <c r="GU161" s="30"/>
      <c r="GV161" s="30"/>
      <c r="GW161" s="30"/>
      <c r="GX161" s="30" t="n">
        <f aca="false">SUM(N161:GW161)</f>
        <v>128000</v>
      </c>
      <c r="GY161" s="36" t="n">
        <f aca="false">SUM(L161-GX161)</f>
        <v>256000</v>
      </c>
      <c r="GZ161" s="32" t="n">
        <f aca="false">SUM( H161/5)</f>
        <v>4</v>
      </c>
      <c r="HA161" s="32" t="n">
        <f aca="false">SUM( I161/5)</f>
        <v>8</v>
      </c>
      <c r="HB161" s="33" t="n">
        <f aca="false">SUM(GZ161/4)</f>
        <v>1</v>
      </c>
      <c r="HC161" s="33" t="n">
        <f aca="false">SUM(HA161/4)</f>
        <v>2</v>
      </c>
    </row>
    <row r="162" customFormat="false" ht="28.5" hidden="true" customHeight="true" outlineLevel="0" collapsed="false">
      <c r="A162" s="26" t="n">
        <v>3810</v>
      </c>
      <c r="B162" s="34" t="s">
        <v>480</v>
      </c>
      <c r="C162" s="34" t="s">
        <v>481</v>
      </c>
      <c r="D162" s="34" t="n">
        <v>29201110</v>
      </c>
      <c r="E162" s="25" t="n">
        <v>46190</v>
      </c>
      <c r="F162" s="25" t="n">
        <f aca="false">WORKDAY(E162,G162)</f>
        <v>46302</v>
      </c>
      <c r="G162" s="26" t="n">
        <v>80</v>
      </c>
      <c r="H162" s="27" t="n">
        <f aca="false">(GX162* 5)/M162</f>
        <v>0</v>
      </c>
      <c r="I162" s="27" t="n">
        <f aca="false">G162-H162</f>
        <v>80</v>
      </c>
      <c r="J162" s="38" t="s">
        <v>482</v>
      </c>
      <c r="K162" s="36" t="n">
        <v>80000</v>
      </c>
      <c r="L162" s="36" t="n">
        <v>172800</v>
      </c>
      <c r="M162" s="37" t="n">
        <f aca="false">(L162/G162)*5</f>
        <v>10800</v>
      </c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30"/>
      <c r="DR162" s="30"/>
      <c r="DS162" s="30"/>
      <c r="DT162" s="30"/>
      <c r="DU162" s="30"/>
      <c r="DV162" s="30"/>
      <c r="DW162" s="30"/>
      <c r="DX162" s="30"/>
      <c r="DY162" s="30"/>
      <c r="DZ162" s="30"/>
      <c r="EA162" s="30"/>
      <c r="EB162" s="30"/>
      <c r="EC162" s="30"/>
      <c r="ED162" s="30"/>
      <c r="EE162" s="30"/>
      <c r="EF162" s="30"/>
      <c r="EG162" s="30"/>
      <c r="EH162" s="30"/>
      <c r="EI162" s="30"/>
      <c r="EJ162" s="30"/>
      <c r="EK162" s="30" t="s">
        <v>214</v>
      </c>
      <c r="EL162" s="30"/>
      <c r="EM162" s="30" t="s">
        <v>214</v>
      </c>
      <c r="EN162" s="30" t="s">
        <v>214</v>
      </c>
      <c r="EO162" s="30"/>
      <c r="EP162" s="30"/>
      <c r="EQ162" s="30"/>
      <c r="ER162" s="30"/>
      <c r="ES162" s="30" t="s">
        <v>214</v>
      </c>
      <c r="ET162" s="30"/>
      <c r="EU162" s="30"/>
      <c r="EV162" s="30" t="s">
        <v>214</v>
      </c>
      <c r="EW162" s="30"/>
      <c r="EX162" s="30"/>
      <c r="EY162" s="30"/>
      <c r="EZ162" s="30"/>
      <c r="FA162" s="30"/>
      <c r="FB162" s="30"/>
      <c r="FC162" s="30" t="s">
        <v>214</v>
      </c>
      <c r="FD162" s="30"/>
      <c r="FE162" s="30"/>
      <c r="FF162" s="30"/>
      <c r="FG162" s="30"/>
      <c r="FH162" s="30"/>
      <c r="FI162" s="30"/>
      <c r="FJ162" s="30"/>
      <c r="FK162" s="30"/>
      <c r="FL162" s="30" t="s">
        <v>214</v>
      </c>
      <c r="FM162" s="30"/>
      <c r="FN162" s="30"/>
      <c r="FO162" s="30"/>
      <c r="FP162" s="30"/>
      <c r="FQ162" s="30"/>
      <c r="FR162" s="30"/>
      <c r="FS162" s="30"/>
      <c r="FT162" s="30"/>
      <c r="FU162" s="30"/>
      <c r="FV162" s="30"/>
      <c r="FW162" s="30"/>
      <c r="FX162" s="30"/>
      <c r="FY162" s="30"/>
      <c r="FZ162" s="30"/>
      <c r="GA162" s="30"/>
      <c r="GB162" s="30"/>
      <c r="GC162" s="30"/>
      <c r="GD162" s="30"/>
      <c r="GE162" s="30"/>
      <c r="GF162" s="30"/>
      <c r="GG162" s="30"/>
      <c r="GH162" s="30"/>
      <c r="GI162" s="30"/>
      <c r="GJ162" s="30"/>
      <c r="GK162" s="30"/>
      <c r="GL162" s="30"/>
      <c r="GM162" s="30"/>
      <c r="GN162" s="30"/>
      <c r="GO162" s="30"/>
      <c r="GP162" s="30"/>
      <c r="GQ162" s="30"/>
      <c r="GR162" s="30"/>
      <c r="GS162" s="30"/>
      <c r="GT162" s="30"/>
      <c r="GU162" s="30"/>
      <c r="GV162" s="30"/>
      <c r="GW162" s="30"/>
      <c r="GX162" s="30" t="n">
        <f aca="false">SUM(N162:GW162)</f>
        <v>0</v>
      </c>
      <c r="GY162" s="36" t="n">
        <f aca="false">SUM(L162-GX162)</f>
        <v>172800</v>
      </c>
      <c r="GZ162" s="32" t="n">
        <f aca="false">SUM( H162/5)</f>
        <v>0</v>
      </c>
      <c r="HA162" s="32" t="n">
        <f aca="false">SUM( I162/5)</f>
        <v>16</v>
      </c>
      <c r="HB162" s="33" t="n">
        <f aca="false">SUM(GZ162/4)</f>
        <v>0</v>
      </c>
      <c r="HC162" s="33" t="n">
        <f aca="false">SUM(HA162/4)</f>
        <v>4</v>
      </c>
    </row>
    <row r="163" customFormat="false" ht="28.5" hidden="true" customHeight="true" outlineLevel="0" collapsed="false">
      <c r="A163" s="26" t="n">
        <v>3802</v>
      </c>
      <c r="B163" s="21" t="s">
        <v>483</v>
      </c>
      <c r="C163" s="21" t="s">
        <v>484</v>
      </c>
      <c r="D163" s="34"/>
      <c r="E163" s="25" t="n">
        <v>46183</v>
      </c>
      <c r="F163" s="25" t="n">
        <f aca="false">WORKDAY(E163,G163)</f>
        <v>46283</v>
      </c>
      <c r="G163" s="26" t="n">
        <v>72</v>
      </c>
      <c r="H163" s="27" t="n">
        <f aca="false">(GX163* 5)/M163</f>
        <v>11.6666666666667</v>
      </c>
      <c r="I163" s="27" t="n">
        <f aca="false">G163-H163</f>
        <v>60.3333333333333</v>
      </c>
      <c r="J163" s="22" t="s">
        <v>266</v>
      </c>
      <c r="K163" s="36" t="n">
        <v>100000</v>
      </c>
      <c r="L163" s="36" t="n">
        <v>216000</v>
      </c>
      <c r="M163" s="37" t="n">
        <f aca="false">(L163/G163)*5</f>
        <v>15000</v>
      </c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  <c r="DX163" s="30"/>
      <c r="DY163" s="30"/>
      <c r="DZ163" s="30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 t="s">
        <v>214</v>
      </c>
      <c r="EL163" s="30"/>
      <c r="EM163" s="30" t="s">
        <v>214</v>
      </c>
      <c r="EN163" s="30" t="s">
        <v>214</v>
      </c>
      <c r="EO163" s="30"/>
      <c r="EP163" s="30"/>
      <c r="EQ163" s="30"/>
      <c r="ER163" s="30"/>
      <c r="ES163" s="30" t="s">
        <v>214</v>
      </c>
      <c r="ET163" s="30"/>
      <c r="EU163" s="30"/>
      <c r="EV163" s="30" t="s">
        <v>214</v>
      </c>
      <c r="EW163" s="30"/>
      <c r="EX163" s="30"/>
      <c r="EY163" s="30"/>
      <c r="EZ163" s="30"/>
      <c r="FA163" s="30"/>
      <c r="FB163" s="30"/>
      <c r="FC163" s="30" t="s">
        <v>214</v>
      </c>
      <c r="FD163" s="30"/>
      <c r="FE163" s="30"/>
      <c r="FF163" s="30"/>
      <c r="FG163" s="30"/>
      <c r="FH163" s="30"/>
      <c r="FI163" s="30"/>
      <c r="FJ163" s="30"/>
      <c r="FK163" s="30"/>
      <c r="FL163" s="30" t="s">
        <v>214</v>
      </c>
      <c r="FM163" s="30"/>
      <c r="FN163" s="30"/>
      <c r="FO163" s="30"/>
      <c r="FP163" s="30"/>
      <c r="FQ163" s="30"/>
      <c r="FR163" s="30"/>
      <c r="FS163" s="30"/>
      <c r="FT163" s="30"/>
      <c r="FU163" s="30"/>
      <c r="FV163" s="30"/>
      <c r="FW163" s="30"/>
      <c r="FX163" s="30"/>
      <c r="FY163" s="30"/>
      <c r="FZ163" s="30"/>
      <c r="GA163" s="30"/>
      <c r="GB163" s="30"/>
      <c r="GC163" s="30"/>
      <c r="GD163" s="30"/>
      <c r="GE163" s="30"/>
      <c r="GF163" s="30"/>
      <c r="GG163" s="30"/>
      <c r="GH163" s="30"/>
      <c r="GI163" s="30"/>
      <c r="GJ163" s="30"/>
      <c r="GK163" s="30"/>
      <c r="GL163" s="30"/>
      <c r="GM163" s="30"/>
      <c r="GN163" s="30"/>
      <c r="GO163" s="30"/>
      <c r="GP163" s="30"/>
      <c r="GQ163" s="30"/>
      <c r="GR163" s="30"/>
      <c r="GS163" s="30"/>
      <c r="GT163" s="30"/>
      <c r="GU163" s="30" t="n">
        <v>15000</v>
      </c>
      <c r="GV163" s="30" t="n">
        <v>15000</v>
      </c>
      <c r="GW163" s="30" t="n">
        <v>5000</v>
      </c>
      <c r="GX163" s="30" t="n">
        <f aca="false">SUM(N163:GW163)</f>
        <v>35000</v>
      </c>
      <c r="GY163" s="36" t="n">
        <f aca="false">SUM(L163-GX163)</f>
        <v>181000</v>
      </c>
      <c r="GZ163" s="32" t="n">
        <f aca="false">SUM( H163/5)</f>
        <v>2.33333333333333</v>
      </c>
      <c r="HA163" s="32" t="n">
        <f aca="false">SUM( I163/5)</f>
        <v>12.0666666666667</v>
      </c>
      <c r="HB163" s="33" t="n">
        <f aca="false">SUM(GZ163/4)</f>
        <v>0.583333333333333</v>
      </c>
      <c r="HC163" s="33" t="n">
        <f aca="false">SUM(HA163/4)</f>
        <v>3.01666666666667</v>
      </c>
    </row>
    <row r="164" customFormat="false" ht="28.5" hidden="true" customHeight="true" outlineLevel="0" collapsed="false">
      <c r="A164" s="26" t="n">
        <v>3579</v>
      </c>
      <c r="B164" s="21" t="s">
        <v>485</v>
      </c>
      <c r="C164" s="21" t="s">
        <v>486</v>
      </c>
      <c r="D164" s="34"/>
      <c r="E164" s="25" t="n">
        <v>45841</v>
      </c>
      <c r="F164" s="25" t="n">
        <f aca="false">WORKDAY(E164,G164)</f>
        <v>45995</v>
      </c>
      <c r="G164" s="26" t="n">
        <v>110</v>
      </c>
      <c r="H164" s="27" t="n">
        <f aca="false">(GX164* 5)/M164</f>
        <v>59.7222222222222</v>
      </c>
      <c r="I164" s="27" t="n">
        <f aca="false">G164-H164</f>
        <v>50.2777777777778</v>
      </c>
      <c r="J164" s="22" t="s">
        <v>487</v>
      </c>
      <c r="K164" s="36" t="n">
        <v>150000</v>
      </c>
      <c r="L164" s="36" t="n">
        <v>396000</v>
      </c>
      <c r="M164" s="37" t="n">
        <f aca="false">(L164/G164)*5</f>
        <v>18000</v>
      </c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  <c r="DU164" s="30"/>
      <c r="DV164" s="30"/>
      <c r="DW164" s="30"/>
      <c r="DX164" s="30"/>
      <c r="DY164" s="30"/>
      <c r="DZ164" s="30"/>
      <c r="EA164" s="30"/>
      <c r="EB164" s="30"/>
      <c r="EC164" s="30"/>
      <c r="ED164" s="30"/>
      <c r="EE164" s="30"/>
      <c r="EF164" s="30"/>
      <c r="EG164" s="30"/>
      <c r="EH164" s="30"/>
      <c r="EI164" s="30"/>
      <c r="EJ164" s="30"/>
      <c r="EK164" s="30" t="s">
        <v>214</v>
      </c>
      <c r="EL164" s="30"/>
      <c r="EM164" s="30" t="s">
        <v>214</v>
      </c>
      <c r="EN164" s="30" t="s">
        <v>214</v>
      </c>
      <c r="EO164" s="30"/>
      <c r="EP164" s="30"/>
      <c r="EQ164" s="30"/>
      <c r="ER164" s="30"/>
      <c r="ES164" s="30" t="s">
        <v>214</v>
      </c>
      <c r="ET164" s="30"/>
      <c r="EU164" s="30"/>
      <c r="EV164" s="30" t="s">
        <v>214</v>
      </c>
      <c r="EW164" s="30"/>
      <c r="EX164" s="30"/>
      <c r="EY164" s="30" t="n">
        <v>15000</v>
      </c>
      <c r="EZ164" s="30" t="n">
        <v>18000</v>
      </c>
      <c r="FA164" s="30"/>
      <c r="FB164" s="30" t="n">
        <v>20000</v>
      </c>
      <c r="FC164" s="30"/>
      <c r="FD164" s="30"/>
      <c r="FE164" s="30"/>
      <c r="FF164" s="30"/>
      <c r="FG164" s="30" t="n">
        <v>72000</v>
      </c>
      <c r="FH164" s="30"/>
      <c r="FI164" s="30"/>
      <c r="FJ164" s="30"/>
      <c r="FK164" s="30"/>
      <c r="FL164" s="30"/>
      <c r="FM164" s="30"/>
      <c r="FN164" s="30"/>
      <c r="FO164" s="30"/>
      <c r="FP164" s="30" t="n">
        <v>30000</v>
      </c>
      <c r="FQ164" s="30"/>
      <c r="FR164" s="30"/>
      <c r="FS164" s="30"/>
      <c r="FT164" s="30"/>
      <c r="FU164" s="30"/>
      <c r="FV164" s="30"/>
      <c r="FW164" s="30"/>
      <c r="FX164" s="30"/>
      <c r="FY164" s="30"/>
      <c r="FZ164" s="30"/>
      <c r="GA164" s="30" t="n">
        <v>30000</v>
      </c>
      <c r="GB164" s="30"/>
      <c r="GC164" s="30"/>
      <c r="GD164" s="30" t="n">
        <v>30000</v>
      </c>
      <c r="GE164" s="30"/>
      <c r="GF164" s="30"/>
      <c r="GG164" s="30"/>
      <c r="GH164" s="30"/>
      <c r="GI164" s="30"/>
      <c r="GJ164" s="30"/>
      <c r="GK164" s="30"/>
      <c r="GL164" s="30"/>
      <c r="GM164" s="30"/>
      <c r="GN164" s="30"/>
      <c r="GO164" s="30"/>
      <c r="GP164" s="30"/>
      <c r="GQ164" s="30"/>
      <c r="GR164" s="30"/>
      <c r="GS164" s="30"/>
      <c r="GT164" s="30"/>
      <c r="GU164" s="30"/>
      <c r="GV164" s="30"/>
      <c r="GW164" s="30"/>
      <c r="GX164" s="30" t="n">
        <f aca="false">SUM(N164:GW164)</f>
        <v>215000</v>
      </c>
      <c r="GY164" s="36" t="n">
        <f aca="false">SUM(L164-GX164)</f>
        <v>181000</v>
      </c>
      <c r="GZ164" s="32" t="n">
        <f aca="false">SUM( H164/5)</f>
        <v>11.9444444444444</v>
      </c>
      <c r="HA164" s="32" t="n">
        <f aca="false">SUM( I164/5)</f>
        <v>10.0555555555556</v>
      </c>
      <c r="HB164" s="33" t="n">
        <f aca="false">SUM(GZ164/4)</f>
        <v>2.98611111111111</v>
      </c>
      <c r="HC164" s="33" t="n">
        <f aca="false">SUM(HA164/4)</f>
        <v>2.51388888888889</v>
      </c>
    </row>
    <row r="165" customFormat="false" ht="28.5" hidden="true" customHeight="true" outlineLevel="0" collapsed="false">
      <c r="A165" s="26" t="n">
        <v>3816</v>
      </c>
      <c r="B165" s="21" t="s">
        <v>488</v>
      </c>
      <c r="C165" s="21" t="s">
        <v>489</v>
      </c>
      <c r="D165" s="34"/>
      <c r="E165" s="25" t="n">
        <v>46196</v>
      </c>
      <c r="F165" s="25" t="n">
        <f aca="false">WORKDAY(E165,G165)</f>
        <v>46224</v>
      </c>
      <c r="G165" s="26" t="n">
        <v>20</v>
      </c>
      <c r="H165" s="27" t="e">
        <f aca="false">(GX165* 5)/M165</f>
        <v>#DIV/0!</v>
      </c>
      <c r="I165" s="27" t="e">
        <f aca="false">G165-H165</f>
        <v>#DIV/0!</v>
      </c>
      <c r="J165" s="35" t="s">
        <v>490</v>
      </c>
      <c r="K165" s="36" t="n">
        <v>50000</v>
      </c>
      <c r="L165" s="36" t="n">
        <v>75000</v>
      </c>
      <c r="M165" s="29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30"/>
      <c r="DR165" s="30"/>
      <c r="DS165" s="30"/>
      <c r="DT165" s="30"/>
      <c r="DU165" s="30"/>
      <c r="DV165" s="30"/>
      <c r="DW165" s="30"/>
      <c r="DX165" s="30"/>
      <c r="DY165" s="30"/>
      <c r="DZ165" s="30"/>
      <c r="EA165" s="30"/>
      <c r="EB165" s="30"/>
      <c r="EC165" s="30"/>
      <c r="ED165" s="30"/>
      <c r="EE165" s="30"/>
      <c r="EF165" s="30"/>
      <c r="EG165" s="30"/>
      <c r="EH165" s="30"/>
      <c r="EI165" s="30"/>
      <c r="EJ165" s="30"/>
      <c r="EK165" s="30" t="s">
        <v>214</v>
      </c>
      <c r="EL165" s="30"/>
      <c r="EM165" s="30" t="s">
        <v>214</v>
      </c>
      <c r="EN165" s="30" t="s">
        <v>214</v>
      </c>
      <c r="EO165" s="30"/>
      <c r="EP165" s="30"/>
      <c r="EQ165" s="30"/>
      <c r="ER165" s="30"/>
      <c r="ES165" s="30" t="s">
        <v>214</v>
      </c>
      <c r="ET165" s="30"/>
      <c r="EU165" s="30"/>
      <c r="EV165" s="30" t="s">
        <v>214</v>
      </c>
      <c r="EW165" s="30"/>
      <c r="EX165" s="30"/>
      <c r="EY165" s="30"/>
      <c r="EZ165" s="30"/>
      <c r="FA165" s="30"/>
      <c r="FB165" s="30"/>
      <c r="FC165" s="30" t="s">
        <v>214</v>
      </c>
      <c r="FD165" s="30"/>
      <c r="FE165" s="30"/>
      <c r="FF165" s="30"/>
      <c r="FG165" s="30"/>
      <c r="FH165" s="30"/>
      <c r="FI165" s="30"/>
      <c r="FJ165" s="30"/>
      <c r="FK165" s="30"/>
      <c r="FL165" s="30" t="s">
        <v>214</v>
      </c>
      <c r="FM165" s="30"/>
      <c r="FN165" s="30"/>
      <c r="FO165" s="30"/>
      <c r="FP165" s="30"/>
      <c r="FQ165" s="30"/>
      <c r="FR165" s="30"/>
      <c r="FS165" s="30"/>
      <c r="FT165" s="30"/>
      <c r="FU165" s="30"/>
      <c r="FV165" s="30"/>
      <c r="FW165" s="30"/>
      <c r="FX165" s="30"/>
      <c r="FY165" s="30"/>
      <c r="FZ165" s="30"/>
      <c r="GA165" s="30"/>
      <c r="GB165" s="30"/>
      <c r="GC165" s="30"/>
      <c r="GD165" s="30"/>
      <c r="GE165" s="30"/>
      <c r="GF165" s="30"/>
      <c r="GG165" s="30"/>
      <c r="GH165" s="30"/>
      <c r="GI165" s="30"/>
      <c r="GJ165" s="30"/>
      <c r="GK165" s="30"/>
      <c r="GL165" s="30"/>
      <c r="GM165" s="30"/>
      <c r="GN165" s="30"/>
      <c r="GO165" s="30"/>
      <c r="GP165" s="30"/>
      <c r="GQ165" s="30"/>
      <c r="GR165" s="30"/>
      <c r="GS165" s="30"/>
      <c r="GT165" s="30"/>
      <c r="GU165" s="30"/>
      <c r="GV165" s="30"/>
      <c r="GW165" s="30"/>
      <c r="GX165" s="30" t="n">
        <f aca="false">SUM(N165:GW165)</f>
        <v>0</v>
      </c>
      <c r="GY165" s="36" t="n">
        <f aca="false">SUM(L165-GX165)</f>
        <v>75000</v>
      </c>
      <c r="GZ165" s="32" t="e">
        <f aca="false">SUM( H165/5)</f>
        <v>#DIV/0!</v>
      </c>
      <c r="HA165" s="32" t="e">
        <f aca="false">SUM( I165/5)</f>
        <v>#DIV/0!</v>
      </c>
      <c r="HB165" s="33" t="e">
        <f aca="false">SUM(GZ165/4)</f>
        <v>#DIV/0!</v>
      </c>
      <c r="HC165" s="33" t="e">
        <f aca="false">SUM(HA165/4)</f>
        <v>#DIV/0!</v>
      </c>
    </row>
    <row r="166" customFormat="false" ht="28.5" hidden="true" customHeight="true" outlineLevel="0" collapsed="false">
      <c r="A166" s="26" t="n">
        <v>3534</v>
      </c>
      <c r="B166" s="21" t="s">
        <v>491</v>
      </c>
      <c r="C166" s="21" t="s">
        <v>492</v>
      </c>
      <c r="D166" s="34" t="n">
        <v>27329256826</v>
      </c>
      <c r="E166" s="25" t="n">
        <v>46011</v>
      </c>
      <c r="F166" s="25" t="n">
        <f aca="false">WORKDAY(E166,G166)</f>
        <v>46178</v>
      </c>
      <c r="G166" s="26" t="n">
        <v>120</v>
      </c>
      <c r="H166" s="27" t="n">
        <f aca="false">(GX166* 5)/M166</f>
        <v>100</v>
      </c>
      <c r="I166" s="27" t="n">
        <f aca="false">G166-H166</f>
        <v>20</v>
      </c>
      <c r="J166" s="35" t="s">
        <v>493</v>
      </c>
      <c r="K166" s="36" t="n">
        <v>150000</v>
      </c>
      <c r="L166" s="36" t="n">
        <v>396000</v>
      </c>
      <c r="M166" s="29" t="n">
        <f aca="false">(L166/G166)*5</f>
        <v>16500</v>
      </c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30"/>
      <c r="DO166" s="30"/>
      <c r="DP166" s="30"/>
      <c r="DQ166" s="30"/>
      <c r="DR166" s="30"/>
      <c r="DS166" s="30"/>
      <c r="DT166" s="30"/>
      <c r="DU166" s="30"/>
      <c r="DV166" s="30"/>
      <c r="DW166" s="30"/>
      <c r="DX166" s="30"/>
      <c r="DY166" s="30"/>
      <c r="DZ166" s="30"/>
      <c r="EA166" s="30"/>
      <c r="EB166" s="30"/>
      <c r="EC166" s="30"/>
      <c r="ED166" s="30"/>
      <c r="EE166" s="30"/>
      <c r="EF166" s="30"/>
      <c r="EG166" s="30"/>
      <c r="EH166" s="30"/>
      <c r="EI166" s="30"/>
      <c r="EJ166" s="30"/>
      <c r="EK166" s="30" t="s">
        <v>214</v>
      </c>
      <c r="EL166" s="30"/>
      <c r="EM166" s="30" t="s">
        <v>214</v>
      </c>
      <c r="EN166" s="30" t="s">
        <v>214</v>
      </c>
      <c r="EO166" s="30"/>
      <c r="EP166" s="30"/>
      <c r="EQ166" s="30"/>
      <c r="ER166" s="30"/>
      <c r="ES166" s="30" t="s">
        <v>214</v>
      </c>
      <c r="ET166" s="30"/>
      <c r="EU166" s="30"/>
      <c r="EV166" s="30" t="s">
        <v>214</v>
      </c>
      <c r="EW166" s="30"/>
      <c r="EX166" s="30"/>
      <c r="EY166" s="30"/>
      <c r="EZ166" s="30"/>
      <c r="FA166" s="30"/>
      <c r="FB166" s="30"/>
      <c r="FC166" s="30" t="s">
        <v>214</v>
      </c>
      <c r="FD166" s="30"/>
      <c r="FE166" s="30"/>
      <c r="FF166" s="30"/>
      <c r="FG166" s="30"/>
      <c r="FH166" s="30"/>
      <c r="FI166" s="30"/>
      <c r="FJ166" s="30"/>
      <c r="FK166" s="30"/>
      <c r="FL166" s="30" t="s">
        <v>214</v>
      </c>
      <c r="FM166" s="30"/>
      <c r="FN166" s="30"/>
      <c r="FO166" s="30"/>
      <c r="FP166" s="30"/>
      <c r="FQ166" s="30"/>
      <c r="FR166" s="30"/>
      <c r="FS166" s="30"/>
      <c r="FT166" s="30"/>
      <c r="FU166" s="30"/>
      <c r="FV166" s="30"/>
      <c r="FW166" s="30"/>
      <c r="FX166" s="30"/>
      <c r="FY166" s="30"/>
      <c r="FZ166" s="30" t="n">
        <v>64000</v>
      </c>
      <c r="GA166" s="30"/>
      <c r="GB166" s="30"/>
      <c r="GC166" s="30"/>
      <c r="GD166" s="30"/>
      <c r="GE166" s="30" t="n">
        <v>50000</v>
      </c>
      <c r="GF166" s="30"/>
      <c r="GG166" s="30"/>
      <c r="GH166" s="30"/>
      <c r="GI166" s="30" t="n">
        <v>80000</v>
      </c>
      <c r="GJ166" s="30"/>
      <c r="GK166" s="30"/>
      <c r="GL166" s="30"/>
      <c r="GM166" s="30" t="n">
        <v>50000</v>
      </c>
      <c r="GN166" s="30"/>
      <c r="GO166" s="30"/>
      <c r="GP166" s="30"/>
      <c r="GQ166" s="30"/>
      <c r="GR166" s="30" t="n">
        <v>50000</v>
      </c>
      <c r="GS166" s="30" t="n">
        <v>36000</v>
      </c>
      <c r="GT166" s="30"/>
      <c r="GU166" s="30"/>
      <c r="GV166" s="30"/>
      <c r="GW166" s="30"/>
      <c r="GX166" s="30" t="n">
        <f aca="false">SUM(N166:GW166)</f>
        <v>330000</v>
      </c>
      <c r="GY166" s="36" t="n">
        <f aca="false">SUM(L166-GX166)</f>
        <v>66000</v>
      </c>
      <c r="GZ166" s="32" t="n">
        <f aca="false">SUM( H166/5)</f>
        <v>20</v>
      </c>
      <c r="HA166" s="32" t="n">
        <f aca="false">SUM( I166/5)</f>
        <v>4</v>
      </c>
      <c r="HB166" s="33" t="n">
        <f aca="false">SUM(GZ166/4)</f>
        <v>5</v>
      </c>
      <c r="HC166" s="33" t="n">
        <f aca="false">SUM(HA166/4)</f>
        <v>1</v>
      </c>
    </row>
    <row r="167" customFormat="false" ht="28.5" hidden="true" customHeight="true" outlineLevel="0" collapsed="false">
      <c r="A167" s="26" t="n">
        <v>3793</v>
      </c>
      <c r="B167" s="21" t="s">
        <v>491</v>
      </c>
      <c r="C167" s="21" t="s">
        <v>492</v>
      </c>
      <c r="D167" s="34" t="n">
        <v>27329256826</v>
      </c>
      <c r="E167" s="25" t="n">
        <v>46177</v>
      </c>
      <c r="F167" s="25" t="n">
        <f aca="false">WORKDAY(E167,G167)</f>
        <v>46289</v>
      </c>
      <c r="G167" s="26" t="n">
        <v>80</v>
      </c>
      <c r="H167" s="27" t="n">
        <f aca="false">(GX167* 5)/M167</f>
        <v>0</v>
      </c>
      <c r="I167" s="27" t="n">
        <f aca="false">G167-H167</f>
        <v>80</v>
      </c>
      <c r="J167" s="35" t="s">
        <v>341</v>
      </c>
      <c r="K167" s="36" t="n">
        <v>100000</v>
      </c>
      <c r="L167" s="36" t="n">
        <v>216000</v>
      </c>
      <c r="M167" s="37" t="n">
        <f aca="false">(L167/G167)*5</f>
        <v>13500</v>
      </c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  <c r="DX167" s="30"/>
      <c r="DY167" s="30"/>
      <c r="DZ167" s="30"/>
      <c r="EA167" s="30"/>
      <c r="EB167" s="30"/>
      <c r="EC167" s="30"/>
      <c r="ED167" s="30"/>
      <c r="EE167" s="30"/>
      <c r="EF167" s="30"/>
      <c r="EG167" s="30"/>
      <c r="EH167" s="30"/>
      <c r="EI167" s="30"/>
      <c r="EJ167" s="30"/>
      <c r="EK167" s="30" t="s">
        <v>214</v>
      </c>
      <c r="EL167" s="30"/>
      <c r="EM167" s="30" t="s">
        <v>214</v>
      </c>
      <c r="EN167" s="30" t="s">
        <v>214</v>
      </c>
      <c r="EO167" s="30"/>
      <c r="EP167" s="30"/>
      <c r="EQ167" s="30"/>
      <c r="ER167" s="30"/>
      <c r="ES167" s="30" t="s">
        <v>214</v>
      </c>
      <c r="ET167" s="30"/>
      <c r="EU167" s="30"/>
      <c r="EV167" s="30" t="s">
        <v>214</v>
      </c>
      <c r="EW167" s="30"/>
      <c r="EX167" s="30"/>
      <c r="EY167" s="30"/>
      <c r="EZ167" s="30"/>
      <c r="FA167" s="30"/>
      <c r="FB167" s="30"/>
      <c r="FC167" s="30" t="s">
        <v>214</v>
      </c>
      <c r="FD167" s="30"/>
      <c r="FE167" s="30"/>
      <c r="FF167" s="30"/>
      <c r="FG167" s="30"/>
      <c r="FH167" s="30"/>
      <c r="FI167" s="30"/>
      <c r="FJ167" s="30"/>
      <c r="FK167" s="30"/>
      <c r="FL167" s="30" t="s">
        <v>214</v>
      </c>
      <c r="FM167" s="30"/>
      <c r="FN167" s="30"/>
      <c r="FO167" s="30"/>
      <c r="FP167" s="30"/>
      <c r="FQ167" s="30"/>
      <c r="FR167" s="30"/>
      <c r="FS167" s="30"/>
      <c r="FT167" s="30"/>
      <c r="FU167" s="30"/>
      <c r="FV167" s="30"/>
      <c r="FW167" s="30"/>
      <c r="FX167" s="30"/>
      <c r="FY167" s="30"/>
      <c r="FZ167" s="30"/>
      <c r="GA167" s="30"/>
      <c r="GB167" s="30"/>
      <c r="GC167" s="30"/>
      <c r="GD167" s="30"/>
      <c r="GE167" s="30"/>
      <c r="GF167" s="30"/>
      <c r="GG167" s="30"/>
      <c r="GH167" s="30"/>
      <c r="GI167" s="30"/>
      <c r="GJ167" s="30"/>
      <c r="GK167" s="30"/>
      <c r="GL167" s="30"/>
      <c r="GM167" s="30"/>
      <c r="GN167" s="30"/>
      <c r="GO167" s="30"/>
      <c r="GP167" s="30"/>
      <c r="GQ167" s="30"/>
      <c r="GR167" s="30"/>
      <c r="GS167" s="30"/>
      <c r="GT167" s="30"/>
      <c r="GU167" s="30"/>
      <c r="GV167" s="30"/>
      <c r="GW167" s="30"/>
      <c r="GX167" s="30" t="n">
        <f aca="false">SUM(N167:GW167)</f>
        <v>0</v>
      </c>
      <c r="GY167" s="36" t="n">
        <f aca="false">SUM(L167-GX167)</f>
        <v>216000</v>
      </c>
      <c r="GZ167" s="32" t="n">
        <f aca="false">SUM( H167/5)</f>
        <v>0</v>
      </c>
      <c r="HA167" s="32" t="n">
        <f aca="false">SUM( I167/5)</f>
        <v>16</v>
      </c>
      <c r="HB167" s="33" t="n">
        <f aca="false">SUM(GZ167/4)</f>
        <v>0</v>
      </c>
      <c r="HC167" s="33" t="n">
        <f aca="false">SUM(HA167/4)</f>
        <v>4</v>
      </c>
    </row>
    <row r="168" customFormat="false" ht="28.5" hidden="true" customHeight="true" outlineLevel="0" collapsed="false">
      <c r="A168" s="26" t="n">
        <v>3540</v>
      </c>
      <c r="B168" s="21" t="s">
        <v>494</v>
      </c>
      <c r="C168" s="21" t="s">
        <v>495</v>
      </c>
      <c r="D168" s="34"/>
      <c r="E168" s="25" t="n">
        <v>46004</v>
      </c>
      <c r="F168" s="25" t="n">
        <f aca="false">WORKDAY(E168,G168)</f>
        <v>46227</v>
      </c>
      <c r="G168" s="26" t="n">
        <v>160</v>
      </c>
      <c r="H168" s="27" t="n">
        <f aca="false">(GX168* 5)/M168</f>
        <v>105.740740740741</v>
      </c>
      <c r="I168" s="27" t="n">
        <f aca="false">G168-H168</f>
        <v>54.2592592592593</v>
      </c>
      <c r="J168" s="49" t="s">
        <v>496</v>
      </c>
      <c r="K168" s="31" t="n">
        <v>300000</v>
      </c>
      <c r="L168" s="31" t="n">
        <v>864000</v>
      </c>
      <c r="M168" s="37" t="n">
        <f aca="false">(L168/G168)*5</f>
        <v>27000</v>
      </c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  <c r="DR168" s="30"/>
      <c r="DS168" s="30"/>
      <c r="DT168" s="30"/>
      <c r="DU168" s="30"/>
      <c r="DV168" s="30"/>
      <c r="DW168" s="30"/>
      <c r="DX168" s="30"/>
      <c r="DY168" s="30"/>
      <c r="DZ168" s="30"/>
      <c r="EA168" s="30"/>
      <c r="EB168" s="30"/>
      <c r="EC168" s="30"/>
      <c r="ED168" s="30"/>
      <c r="EE168" s="30"/>
      <c r="EF168" s="30"/>
      <c r="EG168" s="30"/>
      <c r="EH168" s="30"/>
      <c r="EI168" s="30"/>
      <c r="EJ168" s="30"/>
      <c r="EK168" s="30" t="s">
        <v>214</v>
      </c>
      <c r="EL168" s="30"/>
      <c r="EM168" s="30" t="s">
        <v>214</v>
      </c>
      <c r="EN168" s="30" t="s">
        <v>214</v>
      </c>
      <c r="EO168" s="30"/>
      <c r="EP168" s="30"/>
      <c r="EQ168" s="30"/>
      <c r="ER168" s="30"/>
      <c r="ES168" s="30" t="s">
        <v>214</v>
      </c>
      <c r="ET168" s="30"/>
      <c r="EU168" s="30"/>
      <c r="EV168" s="30" t="s">
        <v>214</v>
      </c>
      <c r="EW168" s="30"/>
      <c r="EX168" s="30"/>
      <c r="EY168" s="30"/>
      <c r="EZ168" s="30"/>
      <c r="FA168" s="30"/>
      <c r="FB168" s="30"/>
      <c r="FC168" s="30" t="s">
        <v>214</v>
      </c>
      <c r="FD168" s="30"/>
      <c r="FE168" s="30"/>
      <c r="FF168" s="30"/>
      <c r="FG168" s="30"/>
      <c r="FH168" s="30"/>
      <c r="FI168" s="30"/>
      <c r="FJ168" s="30"/>
      <c r="FK168" s="30"/>
      <c r="FL168" s="30" t="s">
        <v>214</v>
      </c>
      <c r="FM168" s="30"/>
      <c r="FN168" s="30"/>
      <c r="FO168" s="30"/>
      <c r="FP168" s="30"/>
      <c r="FQ168" s="30"/>
      <c r="FR168" s="30"/>
      <c r="FS168" s="30"/>
      <c r="FT168" s="30"/>
      <c r="FU168" s="30"/>
      <c r="FV168" s="30"/>
      <c r="FW168" s="30"/>
      <c r="FX168" s="30" t="n">
        <v>54000</v>
      </c>
      <c r="FY168" s="30" t="n">
        <v>54000</v>
      </c>
      <c r="FZ168" s="30"/>
      <c r="GA168" s="30" t="n">
        <v>54000</v>
      </c>
      <c r="GB168" s="30"/>
      <c r="GC168" s="30"/>
      <c r="GD168" s="30" t="n">
        <v>54000</v>
      </c>
      <c r="GE168" s="30"/>
      <c r="GF168" s="30" t="n">
        <v>54000</v>
      </c>
      <c r="GG168" s="30"/>
      <c r="GH168" s="30"/>
      <c r="GI168" s="30" t="n">
        <v>56000</v>
      </c>
      <c r="GJ168" s="30"/>
      <c r="GK168" s="30"/>
      <c r="GL168" s="30" t="n">
        <v>50000</v>
      </c>
      <c r="GM168" s="30"/>
      <c r="GN168" s="30"/>
      <c r="GO168" s="30" t="n">
        <v>45000</v>
      </c>
      <c r="GP168" s="30"/>
      <c r="GQ168" s="30"/>
      <c r="GR168" s="30" t="n">
        <v>50000</v>
      </c>
      <c r="GS168" s="30"/>
      <c r="GT168" s="30" t="n">
        <v>50000</v>
      </c>
      <c r="GU168" s="30"/>
      <c r="GV168" s="30"/>
      <c r="GW168" s="30" t="n">
        <v>50000</v>
      </c>
      <c r="GX168" s="30" t="n">
        <f aca="false">SUM(N168:GW168)</f>
        <v>571000</v>
      </c>
      <c r="GY168" s="36" t="n">
        <f aca="false">SUM(L168-GX168)</f>
        <v>293000</v>
      </c>
      <c r="GZ168" s="32" t="n">
        <f aca="false">SUM( H168/5)</f>
        <v>21.1481481481482</v>
      </c>
      <c r="HA168" s="32" t="n">
        <f aca="false">SUM( I168/5)</f>
        <v>10.8518518518519</v>
      </c>
      <c r="HB168" s="33" t="n">
        <f aca="false">SUM(GZ168/4)</f>
        <v>5.28703703703704</v>
      </c>
      <c r="HC168" s="33" t="n">
        <f aca="false">SUM(HA168/4)</f>
        <v>2.71296296296296</v>
      </c>
    </row>
    <row r="169" customFormat="false" ht="28.5" hidden="true" customHeight="true" outlineLevel="0" collapsed="false">
      <c r="A169" s="26" t="n">
        <v>3798</v>
      </c>
      <c r="B169" s="22" t="s">
        <v>497</v>
      </c>
      <c r="C169" s="22" t="s">
        <v>498</v>
      </c>
      <c r="D169" s="22" t="n">
        <v>27352124309</v>
      </c>
      <c r="E169" s="24" t="n">
        <v>46181</v>
      </c>
      <c r="F169" s="25" t="n">
        <f aca="false">WORKDAY(E169,G169)</f>
        <v>46293</v>
      </c>
      <c r="G169" s="70" t="n">
        <v>80</v>
      </c>
      <c r="H169" s="42" t="n">
        <f aca="false">(GX169* 5)/M169</f>
        <v>20</v>
      </c>
      <c r="I169" s="42" t="n">
        <f aca="false">G169-H169</f>
        <v>60</v>
      </c>
      <c r="J169" s="35" t="s">
        <v>499</v>
      </c>
      <c r="K169" s="28" t="n">
        <v>400000</v>
      </c>
      <c r="L169" s="28" t="n">
        <v>864000</v>
      </c>
      <c r="M169" s="29" t="n">
        <f aca="false">(L169/G169)*5</f>
        <v>54000</v>
      </c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  <c r="DU169" s="30"/>
      <c r="DV169" s="30"/>
      <c r="DW169" s="30"/>
      <c r="DX169" s="30"/>
      <c r="DY169" s="30"/>
      <c r="DZ169" s="30"/>
      <c r="EA169" s="30"/>
      <c r="EB169" s="30"/>
      <c r="EC169" s="30"/>
      <c r="ED169" s="30"/>
      <c r="EE169" s="30"/>
      <c r="EF169" s="30"/>
      <c r="EG169" s="30"/>
      <c r="EH169" s="30"/>
      <c r="EI169" s="30"/>
      <c r="EJ169" s="30"/>
      <c r="EK169" s="30" t="s">
        <v>214</v>
      </c>
      <c r="EL169" s="30"/>
      <c r="EM169" s="30" t="s">
        <v>214</v>
      </c>
      <c r="EN169" s="30" t="s">
        <v>214</v>
      </c>
      <c r="EO169" s="30"/>
      <c r="EP169" s="30"/>
      <c r="EQ169" s="30"/>
      <c r="ER169" s="30"/>
      <c r="ES169" s="30" t="s">
        <v>214</v>
      </c>
      <c r="ET169" s="30"/>
      <c r="EU169" s="30"/>
      <c r="EV169" s="30" t="s">
        <v>214</v>
      </c>
      <c r="EW169" s="30"/>
      <c r="EX169" s="30"/>
      <c r="EY169" s="30"/>
      <c r="EZ169" s="30"/>
      <c r="FA169" s="30"/>
      <c r="FB169" s="30"/>
      <c r="FC169" s="30" t="s">
        <v>214</v>
      </c>
      <c r="FD169" s="30"/>
      <c r="FE169" s="30"/>
      <c r="FF169" s="30"/>
      <c r="FG169" s="30"/>
      <c r="FH169" s="30"/>
      <c r="FI169" s="30"/>
      <c r="FJ169" s="30"/>
      <c r="FK169" s="30"/>
      <c r="FL169" s="30" t="s">
        <v>214</v>
      </c>
      <c r="FM169" s="30"/>
      <c r="FN169" s="30"/>
      <c r="FO169" s="30"/>
      <c r="FP169" s="30"/>
      <c r="FQ169" s="30"/>
      <c r="FR169" s="30"/>
      <c r="FS169" s="30"/>
      <c r="FT169" s="30"/>
      <c r="FU169" s="30"/>
      <c r="FV169" s="30"/>
      <c r="FW169" s="30"/>
      <c r="FX169" s="30"/>
      <c r="FY169" s="30"/>
      <c r="FZ169" s="30"/>
      <c r="GA169" s="30"/>
      <c r="GB169" s="30"/>
      <c r="GC169" s="30"/>
      <c r="GD169" s="30"/>
      <c r="GE169" s="30"/>
      <c r="GF169" s="30"/>
      <c r="GG169" s="30"/>
      <c r="GH169" s="30"/>
      <c r="GI169" s="30"/>
      <c r="GJ169" s="30"/>
      <c r="GK169" s="30"/>
      <c r="GL169" s="30"/>
      <c r="GM169" s="30"/>
      <c r="GN169" s="30"/>
      <c r="GO169" s="30"/>
      <c r="GP169" s="30"/>
      <c r="GQ169" s="30"/>
      <c r="GR169" s="30"/>
      <c r="GS169" s="30"/>
      <c r="GT169" s="30"/>
      <c r="GU169" s="30"/>
      <c r="GV169" s="30"/>
      <c r="GW169" s="30" t="n">
        <v>216000</v>
      </c>
      <c r="GX169" s="30" t="n">
        <f aca="false">SUM(N169:GW169)</f>
        <v>216000</v>
      </c>
      <c r="GY169" s="36" t="n">
        <f aca="false">SUM(L169-GX169)</f>
        <v>648000</v>
      </c>
      <c r="GZ169" s="32" t="n">
        <f aca="false">SUM( H169/5)</f>
        <v>4</v>
      </c>
      <c r="HA169" s="32" t="n">
        <f aca="false">SUM( I169/5)</f>
        <v>12</v>
      </c>
      <c r="HB169" s="33" t="n">
        <f aca="false">SUM(GZ169/4)</f>
        <v>1</v>
      </c>
      <c r="HC169" s="33" t="n">
        <f aca="false">SUM(HA169/4)</f>
        <v>3</v>
      </c>
    </row>
    <row r="170" customFormat="false" ht="28.5" hidden="true" customHeight="true" outlineLevel="0" collapsed="false">
      <c r="A170" s="26" t="n">
        <v>3685</v>
      </c>
      <c r="B170" s="21" t="s">
        <v>500</v>
      </c>
      <c r="C170" s="21" t="s">
        <v>501</v>
      </c>
      <c r="D170" s="34"/>
      <c r="E170" s="25" t="n">
        <v>46098</v>
      </c>
      <c r="F170" s="25" t="n">
        <f aca="false">WORKDAY(E170,G170)</f>
        <v>46322</v>
      </c>
      <c r="G170" s="26" t="n">
        <v>160</v>
      </c>
      <c r="H170" s="27" t="n">
        <f aca="false">(GX170* 5)/M170</f>
        <v>70</v>
      </c>
      <c r="I170" s="27" t="n">
        <f aca="false">G170-H170</f>
        <v>90</v>
      </c>
      <c r="J170" s="22" t="s">
        <v>502</v>
      </c>
      <c r="K170" s="36" t="n">
        <v>800000</v>
      </c>
      <c r="L170" s="36" t="n">
        <v>2304000</v>
      </c>
      <c r="M170" s="29" t="n">
        <f aca="false">(L170/G170)*5</f>
        <v>72000</v>
      </c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  <c r="DR170" s="30"/>
      <c r="DS170" s="30"/>
      <c r="DT170" s="30"/>
      <c r="DU170" s="30"/>
      <c r="DV170" s="30"/>
      <c r="DW170" s="30"/>
      <c r="DX170" s="30"/>
      <c r="DY170" s="30"/>
      <c r="DZ170" s="30"/>
      <c r="EA170" s="30"/>
      <c r="EB170" s="30"/>
      <c r="EC170" s="30"/>
      <c r="ED170" s="30"/>
      <c r="EE170" s="30"/>
      <c r="EF170" s="30"/>
      <c r="EG170" s="30"/>
      <c r="EH170" s="30"/>
      <c r="EI170" s="30"/>
      <c r="EJ170" s="30"/>
      <c r="EK170" s="30" t="s">
        <v>214</v>
      </c>
      <c r="EL170" s="30"/>
      <c r="EM170" s="30" t="s">
        <v>214</v>
      </c>
      <c r="EN170" s="30" t="s">
        <v>214</v>
      </c>
      <c r="EO170" s="30"/>
      <c r="EP170" s="30"/>
      <c r="EQ170" s="30"/>
      <c r="ER170" s="30"/>
      <c r="ES170" s="30" t="s">
        <v>214</v>
      </c>
      <c r="ET170" s="30"/>
      <c r="EU170" s="30"/>
      <c r="EV170" s="30" t="s">
        <v>214</v>
      </c>
      <c r="EW170" s="30"/>
      <c r="EX170" s="30"/>
      <c r="EY170" s="30"/>
      <c r="EZ170" s="30"/>
      <c r="FA170" s="30"/>
      <c r="FB170" s="30"/>
      <c r="FC170" s="30" t="s">
        <v>214</v>
      </c>
      <c r="FD170" s="30"/>
      <c r="FE170" s="30"/>
      <c r="FF170" s="30"/>
      <c r="FG170" s="30"/>
      <c r="FH170" s="30"/>
      <c r="FI170" s="30"/>
      <c r="FJ170" s="30"/>
      <c r="FK170" s="30"/>
      <c r="FL170" s="30" t="s">
        <v>214</v>
      </c>
      <c r="FM170" s="30"/>
      <c r="FN170" s="30"/>
      <c r="FO170" s="30"/>
      <c r="FP170" s="30"/>
      <c r="FQ170" s="30"/>
      <c r="FR170" s="30"/>
      <c r="FS170" s="30"/>
      <c r="FT170" s="30"/>
      <c r="FU170" s="30"/>
      <c r="FV170" s="30"/>
      <c r="FW170" s="30"/>
      <c r="FX170" s="30"/>
      <c r="FY170" s="30"/>
      <c r="FZ170" s="30"/>
      <c r="GA170" s="30"/>
      <c r="GB170" s="30"/>
      <c r="GC170" s="30"/>
      <c r="GD170" s="30"/>
      <c r="GE170" s="30"/>
      <c r="GF170" s="30"/>
      <c r="GG170" s="30"/>
      <c r="GH170" s="30"/>
      <c r="GI170" s="30" t="n">
        <v>72000</v>
      </c>
      <c r="GJ170" s="30" t="n">
        <v>72000</v>
      </c>
      <c r="GK170" s="30" t="n">
        <v>72000</v>
      </c>
      <c r="GL170" s="30" t="n">
        <v>72000</v>
      </c>
      <c r="GM170" s="30" t="n">
        <v>72000</v>
      </c>
      <c r="GN170" s="30" t="n">
        <v>72000</v>
      </c>
      <c r="GO170" s="30" t="n">
        <v>72000</v>
      </c>
      <c r="GP170" s="30" t="n">
        <v>72000</v>
      </c>
      <c r="GQ170" s="30"/>
      <c r="GR170" s="30" t="n">
        <v>72000</v>
      </c>
      <c r="GS170" s="30"/>
      <c r="GT170" s="30" t="n">
        <v>144000</v>
      </c>
      <c r="GU170" s="30" t="n">
        <v>72000</v>
      </c>
      <c r="GV170" s="30" t="n">
        <v>72000</v>
      </c>
      <c r="GW170" s="30" t="n">
        <v>72000</v>
      </c>
      <c r="GX170" s="30" t="n">
        <f aca="false">SUM(N170:GW170)</f>
        <v>1008000</v>
      </c>
      <c r="GY170" s="36" t="n">
        <f aca="false">SUM(L170-GX170)</f>
        <v>1296000</v>
      </c>
      <c r="GZ170" s="32" t="n">
        <f aca="false">SUM( H170/5)</f>
        <v>14</v>
      </c>
      <c r="HA170" s="32" t="n">
        <f aca="false">SUM( I170/5)</f>
        <v>18</v>
      </c>
      <c r="HB170" s="33" t="n">
        <f aca="false">SUM(GZ170/4)</f>
        <v>3.5</v>
      </c>
      <c r="HC170" s="33" t="n">
        <f aca="false">SUM(HA170/4)</f>
        <v>4.5</v>
      </c>
    </row>
    <row r="171" customFormat="false" ht="28.5" hidden="true" customHeight="true" outlineLevel="0" collapsed="false">
      <c r="A171" s="26" t="n">
        <v>3755</v>
      </c>
      <c r="B171" s="34" t="s">
        <v>503</v>
      </c>
      <c r="C171" s="34" t="s">
        <v>241</v>
      </c>
      <c r="D171" s="34"/>
      <c r="E171" s="25" t="n">
        <v>46147</v>
      </c>
      <c r="F171" s="25" t="n">
        <v>46028</v>
      </c>
      <c r="G171" s="26" t="n">
        <v>72</v>
      </c>
      <c r="H171" s="27" t="n">
        <f aca="false">(GX171* 5)/M171</f>
        <v>45</v>
      </c>
      <c r="I171" s="27" t="n">
        <f aca="false">G171-H171</f>
        <v>27</v>
      </c>
      <c r="J171" s="34" t="s">
        <v>245</v>
      </c>
      <c r="K171" s="36" t="n">
        <v>300000</v>
      </c>
      <c r="L171" s="36" t="n">
        <v>648000</v>
      </c>
      <c r="M171" s="29" t="n">
        <f aca="false">(L171/G171)*5</f>
        <v>45000</v>
      </c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  <c r="DR171" s="30"/>
      <c r="DS171" s="30"/>
      <c r="DT171" s="30"/>
      <c r="DU171" s="30"/>
      <c r="DV171" s="30"/>
      <c r="DW171" s="30"/>
      <c r="DX171" s="30"/>
      <c r="DY171" s="30"/>
      <c r="DZ171" s="30"/>
      <c r="EA171" s="30"/>
      <c r="EB171" s="30"/>
      <c r="EC171" s="30"/>
      <c r="ED171" s="30"/>
      <c r="EE171" s="30"/>
      <c r="EF171" s="30"/>
      <c r="EG171" s="30"/>
      <c r="EH171" s="30"/>
      <c r="EI171" s="30"/>
      <c r="EJ171" s="30"/>
      <c r="EK171" s="30" t="s">
        <v>214</v>
      </c>
      <c r="EL171" s="30"/>
      <c r="EM171" s="30" t="s">
        <v>214</v>
      </c>
      <c r="EN171" s="30" t="s">
        <v>214</v>
      </c>
      <c r="EO171" s="30"/>
      <c r="EP171" s="30"/>
      <c r="EQ171" s="30"/>
      <c r="ER171" s="30"/>
      <c r="ES171" s="30" t="s">
        <v>214</v>
      </c>
      <c r="ET171" s="30"/>
      <c r="EU171" s="30"/>
      <c r="EV171" s="30" t="s">
        <v>214</v>
      </c>
      <c r="EW171" s="30"/>
      <c r="EX171" s="30"/>
      <c r="EY171" s="30"/>
      <c r="EZ171" s="30"/>
      <c r="FA171" s="30"/>
      <c r="FB171" s="30"/>
      <c r="FC171" s="30" t="s">
        <v>214</v>
      </c>
      <c r="FD171" s="30"/>
      <c r="FE171" s="30"/>
      <c r="FF171" s="30"/>
      <c r="FG171" s="30"/>
      <c r="FH171" s="30"/>
      <c r="FI171" s="30"/>
      <c r="FJ171" s="30"/>
      <c r="FK171" s="30"/>
      <c r="FL171" s="30" t="s">
        <v>214</v>
      </c>
      <c r="FM171" s="30"/>
      <c r="FN171" s="30"/>
      <c r="FO171" s="30"/>
      <c r="FP171" s="30"/>
      <c r="FQ171" s="30"/>
      <c r="FR171" s="30"/>
      <c r="FS171" s="30"/>
      <c r="FT171" s="30"/>
      <c r="FU171" s="30"/>
      <c r="FV171" s="30"/>
      <c r="FW171" s="30"/>
      <c r="FX171" s="30"/>
      <c r="FY171" s="30"/>
      <c r="FZ171" s="30"/>
      <c r="GA171" s="30"/>
      <c r="GB171" s="30"/>
      <c r="GC171" s="30"/>
      <c r="GD171" s="30"/>
      <c r="GE171" s="30"/>
      <c r="GF171" s="30"/>
      <c r="GG171" s="30"/>
      <c r="GH171" s="30"/>
      <c r="GI171" s="30"/>
      <c r="GJ171" s="30"/>
      <c r="GK171" s="30"/>
      <c r="GL171" s="30"/>
      <c r="GM171" s="30"/>
      <c r="GN171" s="30"/>
      <c r="GO171" s="30" t="n">
        <v>45000</v>
      </c>
      <c r="GP171" s="30" t="n">
        <v>45000</v>
      </c>
      <c r="GQ171" s="30" t="n">
        <v>45000</v>
      </c>
      <c r="GR171" s="30" t="n">
        <v>45000</v>
      </c>
      <c r="GS171" s="30" t="n">
        <v>45000</v>
      </c>
      <c r="GT171" s="30" t="n">
        <v>45000</v>
      </c>
      <c r="GU171" s="30" t="n">
        <v>45000</v>
      </c>
      <c r="GV171" s="30" t="n">
        <v>45000</v>
      </c>
      <c r="GW171" s="30" t="n">
        <v>45000</v>
      </c>
      <c r="GX171" s="30" t="n">
        <f aca="false">SUM(N171:GW171)</f>
        <v>405000</v>
      </c>
      <c r="GY171" s="36" t="n">
        <f aca="false">SUM(L171-GX171)</f>
        <v>243000</v>
      </c>
      <c r="GZ171" s="32" t="n">
        <f aca="false">SUM( H171/5)</f>
        <v>9</v>
      </c>
      <c r="HA171" s="32" t="n">
        <f aca="false">SUM( I171/5)</f>
        <v>5.4</v>
      </c>
      <c r="HB171" s="33" t="n">
        <f aca="false">SUM(GZ171/4)</f>
        <v>2.25</v>
      </c>
      <c r="HC171" s="33" t="n">
        <f aca="false">SUM(HA171/4)</f>
        <v>1.35</v>
      </c>
    </row>
    <row r="172" customFormat="false" ht="28.5" hidden="true" customHeight="true" outlineLevel="0" collapsed="false">
      <c r="A172" s="26" t="n">
        <v>3609</v>
      </c>
      <c r="B172" s="21" t="s">
        <v>504</v>
      </c>
      <c r="C172" s="21"/>
      <c r="D172" s="34"/>
      <c r="E172" s="25" t="n">
        <v>46042</v>
      </c>
      <c r="F172" s="25" t="n">
        <f aca="false">WORKDAY(E172,G172)</f>
        <v>46210</v>
      </c>
      <c r="G172" s="26" t="n">
        <v>120</v>
      </c>
      <c r="H172" s="27" t="n">
        <f aca="false">(GX172* 5)/M172</f>
        <v>100</v>
      </c>
      <c r="I172" s="27" t="n">
        <f aca="false">G172-H172</f>
        <v>20</v>
      </c>
      <c r="J172" s="35" t="s">
        <v>505</v>
      </c>
      <c r="K172" s="36" t="n">
        <v>300000</v>
      </c>
      <c r="L172" s="36" t="n">
        <v>792000</v>
      </c>
      <c r="M172" s="29" t="n">
        <f aca="false">(L172/G172)*5</f>
        <v>33000</v>
      </c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30"/>
      <c r="DR172" s="30"/>
      <c r="DS172" s="30"/>
      <c r="DT172" s="30"/>
      <c r="DU172" s="30"/>
      <c r="DV172" s="30"/>
      <c r="DW172" s="30"/>
      <c r="DX172" s="30"/>
      <c r="DY172" s="30"/>
      <c r="DZ172" s="30"/>
      <c r="EA172" s="30"/>
      <c r="EB172" s="30"/>
      <c r="EC172" s="30"/>
      <c r="ED172" s="30"/>
      <c r="EE172" s="30"/>
      <c r="EF172" s="30"/>
      <c r="EG172" s="30"/>
      <c r="EH172" s="30"/>
      <c r="EI172" s="30"/>
      <c r="EJ172" s="30"/>
      <c r="EK172" s="30" t="s">
        <v>214</v>
      </c>
      <c r="EL172" s="30"/>
      <c r="EM172" s="30" t="s">
        <v>214</v>
      </c>
      <c r="EN172" s="30" t="s">
        <v>214</v>
      </c>
      <c r="EO172" s="30"/>
      <c r="EP172" s="30"/>
      <c r="EQ172" s="30"/>
      <c r="ER172" s="30"/>
      <c r="ES172" s="30" t="s">
        <v>214</v>
      </c>
      <c r="ET172" s="30"/>
      <c r="EU172" s="30"/>
      <c r="EV172" s="30" t="s">
        <v>214</v>
      </c>
      <c r="EW172" s="30"/>
      <c r="EX172" s="30"/>
      <c r="EY172" s="30"/>
      <c r="EZ172" s="30"/>
      <c r="FA172" s="30"/>
      <c r="FB172" s="30"/>
      <c r="FC172" s="30" t="s">
        <v>214</v>
      </c>
      <c r="FD172" s="30"/>
      <c r="FE172" s="30"/>
      <c r="FF172" s="30"/>
      <c r="FG172" s="30"/>
      <c r="FH172" s="30"/>
      <c r="FI172" s="30"/>
      <c r="FJ172" s="30"/>
      <c r="FK172" s="30"/>
      <c r="FL172" s="30" t="s">
        <v>214</v>
      </c>
      <c r="FM172" s="30"/>
      <c r="FN172" s="30"/>
      <c r="FO172" s="30"/>
      <c r="FP172" s="30"/>
      <c r="FQ172" s="30"/>
      <c r="FR172" s="30"/>
      <c r="FS172" s="30"/>
      <c r="FT172" s="30"/>
      <c r="FU172" s="30"/>
      <c r="FV172" s="30"/>
      <c r="FW172" s="30"/>
      <c r="FX172" s="30"/>
      <c r="FY172" s="30"/>
      <c r="FZ172" s="30"/>
      <c r="GA172" s="30"/>
      <c r="GB172" s="30"/>
      <c r="GC172" s="30" t="n">
        <v>132000</v>
      </c>
      <c r="GD172" s="30"/>
      <c r="GE172" s="30"/>
      <c r="GF172" s="30"/>
      <c r="GG172" s="30" t="n">
        <v>132000</v>
      </c>
      <c r="GH172" s="30"/>
      <c r="GI172" s="30"/>
      <c r="GJ172" s="30"/>
      <c r="GK172" s="30"/>
      <c r="GL172" s="30" t="n">
        <v>132000</v>
      </c>
      <c r="GM172" s="30"/>
      <c r="GN172" s="30"/>
      <c r="GO172" s="30"/>
      <c r="GP172" s="30" t="n">
        <v>132000</v>
      </c>
      <c r="GQ172" s="30"/>
      <c r="GR172" s="30"/>
      <c r="GS172" s="30"/>
      <c r="GT172" s="30"/>
      <c r="GU172" s="30" t="n">
        <v>132000</v>
      </c>
      <c r="GV172" s="30"/>
      <c r="GW172" s="30"/>
      <c r="GX172" s="30" t="n">
        <f aca="false">SUM(N172:GW172)</f>
        <v>660000</v>
      </c>
      <c r="GY172" s="36" t="n">
        <f aca="false">SUM(L172-GX172)</f>
        <v>132000</v>
      </c>
      <c r="GZ172" s="32" t="n">
        <f aca="false">SUM( H172/5)</f>
        <v>20</v>
      </c>
      <c r="HA172" s="32" t="n">
        <f aca="false">SUM( I172/5)</f>
        <v>4</v>
      </c>
      <c r="HB172" s="33" t="n">
        <f aca="false">SUM(GZ172/4)</f>
        <v>5</v>
      </c>
      <c r="HC172" s="33" t="n">
        <f aca="false">SUM(HA172/4)</f>
        <v>1</v>
      </c>
    </row>
    <row r="173" customFormat="false" ht="28.5" hidden="true" customHeight="true" outlineLevel="0" collapsed="false">
      <c r="A173" s="26" t="n">
        <v>3787</v>
      </c>
      <c r="B173" s="21" t="s">
        <v>504</v>
      </c>
      <c r="C173" s="21"/>
      <c r="D173" s="34"/>
      <c r="E173" s="25" t="n">
        <v>46174</v>
      </c>
      <c r="F173" s="25" t="n">
        <f aca="false">WORKDAY(E173,G173)</f>
        <v>46510</v>
      </c>
      <c r="G173" s="26" t="n">
        <v>240</v>
      </c>
      <c r="H173" s="27" t="n">
        <f aca="false">(GX173* 5)/M173</f>
        <v>0</v>
      </c>
      <c r="I173" s="27" t="n">
        <f aca="false">G173-H173</f>
        <v>240</v>
      </c>
      <c r="J173" s="35" t="s">
        <v>506</v>
      </c>
      <c r="K173" s="46" t="n">
        <v>400000</v>
      </c>
      <c r="L173" s="36" t="n">
        <v>1350000</v>
      </c>
      <c r="M173" s="29" t="n">
        <f aca="false">(L173/G173)*5</f>
        <v>28125</v>
      </c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  <c r="DU173" s="30"/>
      <c r="DV173" s="30"/>
      <c r="DW173" s="30"/>
      <c r="DX173" s="30"/>
      <c r="DY173" s="30"/>
      <c r="DZ173" s="30"/>
      <c r="EA173" s="30"/>
      <c r="EB173" s="30"/>
      <c r="EC173" s="30"/>
      <c r="ED173" s="30"/>
      <c r="EE173" s="30"/>
      <c r="EF173" s="30"/>
      <c r="EG173" s="30"/>
      <c r="EH173" s="30"/>
      <c r="EI173" s="30"/>
      <c r="EJ173" s="30"/>
      <c r="EK173" s="30" t="s">
        <v>214</v>
      </c>
      <c r="EL173" s="30"/>
      <c r="EM173" s="30" t="s">
        <v>214</v>
      </c>
      <c r="EN173" s="30" t="s">
        <v>214</v>
      </c>
      <c r="EO173" s="30"/>
      <c r="EP173" s="30"/>
      <c r="EQ173" s="30"/>
      <c r="ER173" s="30"/>
      <c r="ES173" s="30" t="s">
        <v>214</v>
      </c>
      <c r="ET173" s="30"/>
      <c r="EU173" s="30"/>
      <c r="EV173" s="30" t="s">
        <v>214</v>
      </c>
      <c r="EW173" s="30"/>
      <c r="EX173" s="30"/>
      <c r="EY173" s="30"/>
      <c r="EZ173" s="30"/>
      <c r="FA173" s="30"/>
      <c r="FB173" s="30"/>
      <c r="FC173" s="30" t="s">
        <v>214</v>
      </c>
      <c r="FD173" s="30"/>
      <c r="FE173" s="30"/>
      <c r="FF173" s="30"/>
      <c r="FG173" s="30"/>
      <c r="FH173" s="30"/>
      <c r="FI173" s="30"/>
      <c r="FJ173" s="30"/>
      <c r="FK173" s="30"/>
      <c r="FL173" s="30" t="s">
        <v>214</v>
      </c>
      <c r="FM173" s="30"/>
      <c r="FN173" s="30"/>
      <c r="FO173" s="30"/>
      <c r="FP173" s="30"/>
      <c r="FQ173" s="30"/>
      <c r="FR173" s="30"/>
      <c r="FS173" s="30"/>
      <c r="FT173" s="30"/>
      <c r="FU173" s="30"/>
      <c r="FV173" s="30"/>
      <c r="FW173" s="30"/>
      <c r="FX173" s="30"/>
      <c r="FY173" s="30"/>
      <c r="FZ173" s="30"/>
      <c r="GA173" s="30"/>
      <c r="GB173" s="30"/>
      <c r="GC173" s="30"/>
      <c r="GD173" s="30"/>
      <c r="GE173" s="30"/>
      <c r="GF173" s="30"/>
      <c r="GG173" s="30"/>
      <c r="GH173" s="30"/>
      <c r="GI173" s="30"/>
      <c r="GJ173" s="30"/>
      <c r="GK173" s="30"/>
      <c r="GL173" s="30"/>
      <c r="GM173" s="30"/>
      <c r="GN173" s="30"/>
      <c r="GO173" s="30"/>
      <c r="GP173" s="30"/>
      <c r="GQ173" s="30"/>
      <c r="GR173" s="30"/>
      <c r="GS173" s="30"/>
      <c r="GT173" s="30"/>
      <c r="GU173" s="30"/>
      <c r="GV173" s="30"/>
      <c r="GW173" s="30"/>
      <c r="GX173" s="30" t="n">
        <f aca="false">SUM(N173:GW173)</f>
        <v>0</v>
      </c>
      <c r="GY173" s="36" t="n">
        <f aca="false">SUM(L173-GX173)</f>
        <v>1350000</v>
      </c>
      <c r="GZ173" s="32" t="n">
        <f aca="false">SUM( H173/5)</f>
        <v>0</v>
      </c>
      <c r="HA173" s="32" t="n">
        <f aca="false">SUM( I173/5)</f>
        <v>48</v>
      </c>
      <c r="HB173" s="33" t="n">
        <f aca="false">SUM(GZ173/4)</f>
        <v>0</v>
      </c>
      <c r="HC173" s="33" t="n">
        <f aca="false">SUM(HA173/4)</f>
        <v>12</v>
      </c>
    </row>
    <row r="174" customFormat="false" ht="28.5" hidden="true" customHeight="true" outlineLevel="0" collapsed="false">
      <c r="A174" s="26" t="n">
        <v>3653</v>
      </c>
      <c r="B174" s="21" t="s">
        <v>507</v>
      </c>
      <c r="C174" s="21" t="s">
        <v>508</v>
      </c>
      <c r="D174" s="34"/>
      <c r="E174" s="25" t="n">
        <v>46076</v>
      </c>
      <c r="F174" s="25" t="n">
        <f aca="false">WORKDAY(E174,G174)</f>
        <v>46188</v>
      </c>
      <c r="G174" s="26" t="n">
        <v>80</v>
      </c>
      <c r="H174" s="27" t="n">
        <f aca="false">(GX174* 5)/M174</f>
        <v>60</v>
      </c>
      <c r="I174" s="27" t="n">
        <f aca="false">G174-H174</f>
        <v>20</v>
      </c>
      <c r="J174" s="35" t="s">
        <v>274</v>
      </c>
      <c r="K174" s="31" t="n">
        <v>300000</v>
      </c>
      <c r="L174" s="31" t="n">
        <v>648000</v>
      </c>
      <c r="M174" s="29" t="n">
        <f aca="false">(L174/G174)*5</f>
        <v>40500</v>
      </c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  <c r="DR174" s="30"/>
      <c r="DS174" s="30"/>
      <c r="DT174" s="30"/>
      <c r="DU174" s="30"/>
      <c r="DV174" s="30"/>
      <c r="DW174" s="30"/>
      <c r="DX174" s="30"/>
      <c r="DY174" s="30"/>
      <c r="DZ174" s="30"/>
      <c r="EA174" s="30"/>
      <c r="EB174" s="30"/>
      <c r="EC174" s="30"/>
      <c r="ED174" s="30"/>
      <c r="EE174" s="30"/>
      <c r="EF174" s="30"/>
      <c r="EG174" s="30"/>
      <c r="EH174" s="30"/>
      <c r="EI174" s="30"/>
      <c r="EJ174" s="30"/>
      <c r="EK174" s="30" t="s">
        <v>214</v>
      </c>
      <c r="EL174" s="30"/>
      <c r="EM174" s="30" t="s">
        <v>214</v>
      </c>
      <c r="EN174" s="30" t="s">
        <v>214</v>
      </c>
      <c r="EO174" s="30"/>
      <c r="EP174" s="30"/>
      <c r="EQ174" s="30"/>
      <c r="ER174" s="30"/>
      <c r="ES174" s="30" t="s">
        <v>214</v>
      </c>
      <c r="ET174" s="30"/>
      <c r="EU174" s="30"/>
      <c r="EV174" s="30" t="s">
        <v>214</v>
      </c>
      <c r="EW174" s="30"/>
      <c r="EX174" s="30"/>
      <c r="EY174" s="30"/>
      <c r="EZ174" s="30"/>
      <c r="FA174" s="30"/>
      <c r="FB174" s="30"/>
      <c r="FC174" s="30" t="s">
        <v>214</v>
      </c>
      <c r="FD174" s="30"/>
      <c r="FE174" s="30"/>
      <c r="FF174" s="30"/>
      <c r="FG174" s="30"/>
      <c r="FH174" s="30"/>
      <c r="FI174" s="30"/>
      <c r="FJ174" s="30"/>
      <c r="FK174" s="30"/>
      <c r="FL174" s="30" t="s">
        <v>214</v>
      </c>
      <c r="FM174" s="30"/>
      <c r="FN174" s="30"/>
      <c r="FO174" s="30"/>
      <c r="FP174" s="30"/>
      <c r="FQ174" s="30"/>
      <c r="FR174" s="30"/>
      <c r="FS174" s="30"/>
      <c r="FT174" s="30"/>
      <c r="FU174" s="30"/>
      <c r="FV174" s="30"/>
      <c r="FW174" s="30"/>
      <c r="FX174" s="30"/>
      <c r="FY174" s="30"/>
      <c r="FZ174" s="30"/>
      <c r="GA174" s="30"/>
      <c r="GB174" s="30"/>
      <c r="GC174" s="30"/>
      <c r="GD174" s="30"/>
      <c r="GE174" s="30"/>
      <c r="GF174" s="30"/>
      <c r="GG174" s="30"/>
      <c r="GH174" s="30"/>
      <c r="GI174" s="30"/>
      <c r="GJ174" s="30"/>
      <c r="GK174" s="30" t="n">
        <v>162000</v>
      </c>
      <c r="GL174" s="30"/>
      <c r="GM174" s="30"/>
      <c r="GN174" s="30"/>
      <c r="GO174" s="30" t="n">
        <v>162000</v>
      </c>
      <c r="GP174" s="30"/>
      <c r="GQ174" s="30"/>
      <c r="GR174" s="30"/>
      <c r="GS174" s="30" t="n">
        <v>162000</v>
      </c>
      <c r="GT174" s="30"/>
      <c r="GU174" s="30"/>
      <c r="GV174" s="30"/>
      <c r="GW174" s="30"/>
      <c r="GX174" s="30" t="n">
        <f aca="false">SUM(N174:GW174)</f>
        <v>486000</v>
      </c>
      <c r="GY174" s="36" t="n">
        <f aca="false">SUM(L174-GX174)</f>
        <v>162000</v>
      </c>
      <c r="GZ174" s="32" t="n">
        <f aca="false">SUM( H174/5)</f>
        <v>12</v>
      </c>
      <c r="HA174" s="32" t="n">
        <f aca="false">SUM( I174/5)</f>
        <v>4</v>
      </c>
      <c r="HB174" s="33" t="n">
        <f aca="false">SUM(GZ174/4)</f>
        <v>3</v>
      </c>
      <c r="HC174" s="33" t="n">
        <f aca="false">SUM(HA174/4)</f>
        <v>1</v>
      </c>
    </row>
    <row r="175" customFormat="false" ht="28.5" hidden="true" customHeight="true" outlineLevel="0" collapsed="false">
      <c r="A175" s="26" t="n">
        <v>3709</v>
      </c>
      <c r="B175" s="21" t="s">
        <v>507</v>
      </c>
      <c r="C175" s="21" t="s">
        <v>508</v>
      </c>
      <c r="D175" s="34"/>
      <c r="E175" s="25" t="n">
        <v>46114</v>
      </c>
      <c r="F175" s="25" t="n">
        <f aca="false">WORKDAY(E175,G175)</f>
        <v>46226</v>
      </c>
      <c r="G175" s="26" t="n">
        <v>80</v>
      </c>
      <c r="H175" s="27" t="n">
        <f aca="false">(GX175* 5)/M175</f>
        <v>40</v>
      </c>
      <c r="I175" s="27" t="n">
        <f aca="false">G175-H175</f>
        <v>40</v>
      </c>
      <c r="J175" s="35" t="s">
        <v>509</v>
      </c>
      <c r="K175" s="36" t="n">
        <v>150000</v>
      </c>
      <c r="L175" s="36" t="n">
        <v>324000</v>
      </c>
      <c r="M175" s="29" t="n">
        <f aca="false">(L175/G175)*5</f>
        <v>20250</v>
      </c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  <c r="DU175" s="30"/>
      <c r="DV175" s="30"/>
      <c r="DW175" s="30"/>
      <c r="DX175" s="30"/>
      <c r="DY175" s="30"/>
      <c r="DZ175" s="30"/>
      <c r="EA175" s="30"/>
      <c r="EB175" s="30"/>
      <c r="EC175" s="30"/>
      <c r="ED175" s="30"/>
      <c r="EE175" s="30"/>
      <c r="EF175" s="30"/>
      <c r="EG175" s="30"/>
      <c r="EH175" s="30"/>
      <c r="EI175" s="30"/>
      <c r="EJ175" s="30"/>
      <c r="EK175" s="30" t="s">
        <v>214</v>
      </c>
      <c r="EL175" s="30"/>
      <c r="EM175" s="30" t="s">
        <v>214</v>
      </c>
      <c r="EN175" s="30" t="s">
        <v>214</v>
      </c>
      <c r="EO175" s="30"/>
      <c r="EP175" s="30"/>
      <c r="EQ175" s="30"/>
      <c r="ER175" s="30"/>
      <c r="ES175" s="30" t="s">
        <v>214</v>
      </c>
      <c r="ET175" s="30"/>
      <c r="EU175" s="30"/>
      <c r="EV175" s="30" t="s">
        <v>214</v>
      </c>
      <c r="EW175" s="30"/>
      <c r="EX175" s="30"/>
      <c r="EY175" s="30"/>
      <c r="EZ175" s="30"/>
      <c r="FA175" s="30"/>
      <c r="FB175" s="30"/>
      <c r="FC175" s="30" t="s">
        <v>214</v>
      </c>
      <c r="FD175" s="30"/>
      <c r="FE175" s="30"/>
      <c r="FF175" s="30"/>
      <c r="FG175" s="30"/>
      <c r="FH175" s="30"/>
      <c r="FI175" s="30"/>
      <c r="FJ175" s="30"/>
      <c r="FK175" s="30"/>
      <c r="FL175" s="30" t="s">
        <v>214</v>
      </c>
      <c r="FM175" s="30"/>
      <c r="FN175" s="30"/>
      <c r="FO175" s="30"/>
      <c r="FP175" s="30"/>
      <c r="FQ175" s="30"/>
      <c r="FR175" s="30"/>
      <c r="FS175" s="30"/>
      <c r="FT175" s="30"/>
      <c r="FU175" s="30"/>
      <c r="FV175" s="30"/>
      <c r="FW175" s="30"/>
      <c r="FX175" s="30"/>
      <c r="FY175" s="30"/>
      <c r="FZ175" s="30"/>
      <c r="GA175" s="30"/>
      <c r="GB175" s="30"/>
      <c r="GC175" s="30"/>
      <c r="GD175" s="30"/>
      <c r="GE175" s="30"/>
      <c r="GF175" s="30"/>
      <c r="GG175" s="30"/>
      <c r="GH175" s="30"/>
      <c r="GI175" s="30"/>
      <c r="GJ175" s="30"/>
      <c r="GK175" s="30"/>
      <c r="GL175" s="30"/>
      <c r="GM175" s="30"/>
      <c r="GN175" s="30"/>
      <c r="GO175" s="30" t="n">
        <v>81000</v>
      </c>
      <c r="GP175" s="30"/>
      <c r="GQ175" s="30"/>
      <c r="GR175" s="30"/>
      <c r="GS175" s="30" t="n">
        <v>81000</v>
      </c>
      <c r="GT175" s="30"/>
      <c r="GU175" s="30"/>
      <c r="GV175" s="30"/>
      <c r="GW175" s="30"/>
      <c r="GX175" s="30" t="n">
        <f aca="false">SUM(N175:GW175)</f>
        <v>162000</v>
      </c>
      <c r="GY175" s="36" t="n">
        <f aca="false">SUM(L175-GX175)</f>
        <v>162000</v>
      </c>
      <c r="GZ175" s="32" t="n">
        <f aca="false">SUM( H175/5)</f>
        <v>8</v>
      </c>
      <c r="HA175" s="32" t="n">
        <f aca="false">SUM( I175/5)</f>
        <v>8</v>
      </c>
      <c r="HB175" s="33" t="n">
        <f aca="false">SUM(GZ175/4)</f>
        <v>2</v>
      </c>
      <c r="HC175" s="33" t="n">
        <f aca="false">SUM(HA175/4)</f>
        <v>2</v>
      </c>
    </row>
    <row r="176" customFormat="false" ht="28.5" hidden="true" customHeight="true" outlineLevel="0" collapsed="false">
      <c r="A176" s="26" t="n">
        <v>3808</v>
      </c>
      <c r="B176" s="21" t="s">
        <v>507</v>
      </c>
      <c r="C176" s="21" t="s">
        <v>508</v>
      </c>
      <c r="D176" s="34"/>
      <c r="E176" s="25" t="n">
        <v>46188</v>
      </c>
      <c r="F176" s="25" t="n">
        <f aca="false">WORKDAY(E176,G176)</f>
        <v>46300</v>
      </c>
      <c r="G176" s="26" t="n">
        <v>80</v>
      </c>
      <c r="H176" s="27" t="n">
        <f aca="false">(GX176* 5)/M176</f>
        <v>0</v>
      </c>
      <c r="I176" s="27" t="n">
        <f aca="false">G176-H176</f>
        <v>80</v>
      </c>
      <c r="J176" s="35" t="s">
        <v>274</v>
      </c>
      <c r="K176" s="36" t="n">
        <v>300000</v>
      </c>
      <c r="L176" s="36" t="n">
        <v>648000</v>
      </c>
      <c r="M176" s="29" t="n">
        <f aca="false">(L176/G176)*5</f>
        <v>40500</v>
      </c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  <c r="DR176" s="30"/>
      <c r="DS176" s="30"/>
      <c r="DT176" s="30"/>
      <c r="DU176" s="30"/>
      <c r="DV176" s="30"/>
      <c r="DW176" s="30"/>
      <c r="DX176" s="30"/>
      <c r="DY176" s="30"/>
      <c r="DZ176" s="30"/>
      <c r="EA176" s="30"/>
      <c r="EB176" s="30"/>
      <c r="EC176" s="30"/>
      <c r="ED176" s="30"/>
      <c r="EE176" s="30"/>
      <c r="EF176" s="30"/>
      <c r="EG176" s="30"/>
      <c r="EH176" s="30"/>
      <c r="EI176" s="30"/>
      <c r="EJ176" s="30"/>
      <c r="EK176" s="30" t="s">
        <v>214</v>
      </c>
      <c r="EL176" s="30"/>
      <c r="EM176" s="30" t="s">
        <v>214</v>
      </c>
      <c r="EN176" s="30" t="s">
        <v>214</v>
      </c>
      <c r="EO176" s="30"/>
      <c r="EP176" s="30"/>
      <c r="EQ176" s="30"/>
      <c r="ER176" s="30"/>
      <c r="ES176" s="30" t="s">
        <v>214</v>
      </c>
      <c r="ET176" s="30"/>
      <c r="EU176" s="30"/>
      <c r="EV176" s="30" t="s">
        <v>214</v>
      </c>
      <c r="EW176" s="30"/>
      <c r="EX176" s="30"/>
      <c r="EY176" s="30"/>
      <c r="EZ176" s="30"/>
      <c r="FA176" s="30"/>
      <c r="FB176" s="30"/>
      <c r="FC176" s="30" t="s">
        <v>214</v>
      </c>
      <c r="FD176" s="30"/>
      <c r="FE176" s="30"/>
      <c r="FF176" s="30"/>
      <c r="FG176" s="30"/>
      <c r="FH176" s="30"/>
      <c r="FI176" s="30"/>
      <c r="FJ176" s="30"/>
      <c r="FK176" s="30"/>
      <c r="FL176" s="30" t="s">
        <v>214</v>
      </c>
      <c r="FM176" s="30"/>
      <c r="FN176" s="30"/>
      <c r="FO176" s="30"/>
      <c r="FP176" s="30"/>
      <c r="FQ176" s="30"/>
      <c r="FR176" s="30"/>
      <c r="FS176" s="30"/>
      <c r="FT176" s="30"/>
      <c r="FU176" s="30"/>
      <c r="FV176" s="30"/>
      <c r="FW176" s="30"/>
      <c r="FX176" s="30"/>
      <c r="FY176" s="30"/>
      <c r="FZ176" s="30"/>
      <c r="GA176" s="30"/>
      <c r="GB176" s="30"/>
      <c r="GC176" s="30"/>
      <c r="GD176" s="30"/>
      <c r="GE176" s="30"/>
      <c r="GF176" s="30"/>
      <c r="GG176" s="30"/>
      <c r="GH176" s="30"/>
      <c r="GI176" s="30"/>
      <c r="GJ176" s="30"/>
      <c r="GK176" s="30"/>
      <c r="GL176" s="30"/>
      <c r="GM176" s="30"/>
      <c r="GN176" s="30"/>
      <c r="GO176" s="30"/>
      <c r="GP176" s="30"/>
      <c r="GQ176" s="30"/>
      <c r="GR176" s="30"/>
      <c r="GS176" s="30"/>
      <c r="GT176" s="30"/>
      <c r="GU176" s="30"/>
      <c r="GV176" s="30"/>
      <c r="GW176" s="30"/>
      <c r="GX176" s="30" t="n">
        <f aca="false">SUM(N176:GW176)</f>
        <v>0</v>
      </c>
      <c r="GY176" s="36" t="n">
        <f aca="false">SUM(L176-GX176)</f>
        <v>648000</v>
      </c>
      <c r="GZ176" s="32" t="n">
        <f aca="false">SUM( H176/5)</f>
        <v>0</v>
      </c>
      <c r="HA176" s="32" t="n">
        <f aca="false">SUM( I176/5)</f>
        <v>16</v>
      </c>
      <c r="HB176" s="33" t="n">
        <f aca="false">SUM(GZ176/4)</f>
        <v>0</v>
      </c>
      <c r="HC176" s="33" t="n">
        <f aca="false">SUM(HA176/4)</f>
        <v>4</v>
      </c>
    </row>
    <row r="177" customFormat="false" ht="28.5" hidden="true" customHeight="true" outlineLevel="0" collapsed="false">
      <c r="A177" s="26" t="n">
        <v>3662</v>
      </c>
      <c r="B177" s="21" t="s">
        <v>510</v>
      </c>
      <c r="C177" s="21"/>
      <c r="D177" s="34"/>
      <c r="E177" s="25" t="n">
        <v>46080</v>
      </c>
      <c r="F177" s="25" t="n">
        <f aca="false">WORKDAY(E177,G177)</f>
        <v>46192</v>
      </c>
      <c r="G177" s="26" t="n">
        <v>80</v>
      </c>
      <c r="H177" s="27" t="n">
        <f aca="false">(GX177* 5)/M177</f>
        <v>60</v>
      </c>
      <c r="I177" s="27" t="n">
        <f aca="false">G177-H177</f>
        <v>20</v>
      </c>
      <c r="J177" s="35" t="s">
        <v>511</v>
      </c>
      <c r="K177" s="36" t="n">
        <v>200000</v>
      </c>
      <c r="L177" s="36" t="n">
        <v>432000</v>
      </c>
      <c r="M177" s="37" t="n">
        <f aca="false">(L177/G177)*5</f>
        <v>27000</v>
      </c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  <c r="DR177" s="30"/>
      <c r="DS177" s="30"/>
      <c r="DT177" s="30"/>
      <c r="DU177" s="30"/>
      <c r="DV177" s="30"/>
      <c r="DW177" s="30"/>
      <c r="DX177" s="30"/>
      <c r="DY177" s="30"/>
      <c r="DZ177" s="30"/>
      <c r="EA177" s="30"/>
      <c r="EB177" s="30"/>
      <c r="EC177" s="30"/>
      <c r="ED177" s="30"/>
      <c r="EE177" s="30"/>
      <c r="EF177" s="30"/>
      <c r="EG177" s="30"/>
      <c r="EH177" s="30"/>
      <c r="EI177" s="30"/>
      <c r="EJ177" s="30"/>
      <c r="EK177" s="30" t="s">
        <v>214</v>
      </c>
      <c r="EL177" s="30"/>
      <c r="EM177" s="30" t="s">
        <v>214</v>
      </c>
      <c r="EN177" s="30" t="s">
        <v>214</v>
      </c>
      <c r="EO177" s="30"/>
      <c r="EP177" s="30"/>
      <c r="EQ177" s="30"/>
      <c r="ER177" s="30"/>
      <c r="ES177" s="30" t="s">
        <v>214</v>
      </c>
      <c r="ET177" s="30"/>
      <c r="EU177" s="30"/>
      <c r="EV177" s="30" t="s">
        <v>214</v>
      </c>
      <c r="EW177" s="30"/>
      <c r="EX177" s="30"/>
      <c r="EY177" s="30"/>
      <c r="EZ177" s="30"/>
      <c r="FA177" s="30"/>
      <c r="FB177" s="30"/>
      <c r="FC177" s="30" t="s">
        <v>214</v>
      </c>
      <c r="FD177" s="30"/>
      <c r="FE177" s="30"/>
      <c r="FF177" s="30"/>
      <c r="FG177" s="30"/>
      <c r="FH177" s="30"/>
      <c r="FI177" s="30"/>
      <c r="FJ177" s="30"/>
      <c r="FK177" s="30"/>
      <c r="FL177" s="30" t="s">
        <v>214</v>
      </c>
      <c r="FM177" s="30"/>
      <c r="FN177" s="30"/>
      <c r="FO177" s="30"/>
      <c r="FP177" s="30"/>
      <c r="FQ177" s="30"/>
      <c r="FR177" s="30"/>
      <c r="FS177" s="30"/>
      <c r="FT177" s="30"/>
      <c r="FU177" s="30"/>
      <c r="FV177" s="30"/>
      <c r="FW177" s="30"/>
      <c r="FX177" s="30"/>
      <c r="FY177" s="30"/>
      <c r="FZ177" s="30"/>
      <c r="GA177" s="30"/>
      <c r="GB177" s="30"/>
      <c r="GC177" s="30"/>
      <c r="GD177" s="30"/>
      <c r="GE177" s="30"/>
      <c r="GF177" s="30"/>
      <c r="GG177" s="30"/>
      <c r="GH177" s="30"/>
      <c r="GI177" s="30"/>
      <c r="GJ177" s="30"/>
      <c r="GK177" s="30" t="n">
        <v>108000</v>
      </c>
      <c r="GL177" s="30"/>
      <c r="GM177" s="30"/>
      <c r="GN177" s="30"/>
      <c r="GO177" s="30" t="n">
        <v>108000</v>
      </c>
      <c r="GP177" s="30"/>
      <c r="GQ177" s="30"/>
      <c r="GR177" s="30"/>
      <c r="GS177" s="30"/>
      <c r="GT177" s="30" t="n">
        <v>108000</v>
      </c>
      <c r="GU177" s="30"/>
      <c r="GV177" s="30"/>
      <c r="GW177" s="30"/>
      <c r="GX177" s="30" t="n">
        <f aca="false">SUM(N177:GW177)</f>
        <v>324000</v>
      </c>
      <c r="GY177" s="36" t="n">
        <f aca="false">SUM(L177-GX177)</f>
        <v>108000</v>
      </c>
      <c r="GZ177" s="32" t="n">
        <f aca="false">SUM( H177/5)</f>
        <v>12</v>
      </c>
      <c r="HA177" s="32" t="n">
        <f aca="false">SUM( I177/5)</f>
        <v>4</v>
      </c>
      <c r="HB177" s="33" t="n">
        <f aca="false">SUM(GZ177/4)</f>
        <v>3</v>
      </c>
      <c r="HC177" s="33" t="n">
        <f aca="false">SUM(HA177/4)</f>
        <v>1</v>
      </c>
    </row>
    <row r="178" customFormat="false" ht="28.5" hidden="true" customHeight="false" outlineLevel="0" collapsed="false">
      <c r="A178" s="26" t="n">
        <v>3723</v>
      </c>
      <c r="B178" s="21" t="s">
        <v>510</v>
      </c>
      <c r="C178" s="21"/>
      <c r="D178" s="34"/>
      <c r="E178" s="25" t="n">
        <v>46126</v>
      </c>
      <c r="F178" s="25" t="n">
        <f aca="false">WORKDAY(E178,G178)</f>
        <v>46238</v>
      </c>
      <c r="G178" s="26" t="n">
        <v>80</v>
      </c>
      <c r="H178" s="27" t="n">
        <f aca="false">(GX178* 5)/M178</f>
        <v>40</v>
      </c>
      <c r="I178" s="27" t="n">
        <f aca="false">G178-H178</f>
        <v>40</v>
      </c>
      <c r="J178" s="35" t="s">
        <v>512</v>
      </c>
      <c r="K178" s="36" t="n">
        <v>400000</v>
      </c>
      <c r="L178" s="36" t="n">
        <v>864000</v>
      </c>
      <c r="M178" s="37" t="n">
        <f aca="false">(L178/G178)*5</f>
        <v>54000</v>
      </c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  <c r="DR178" s="30"/>
      <c r="DS178" s="30"/>
      <c r="DT178" s="30"/>
      <c r="DU178" s="30"/>
      <c r="DV178" s="30"/>
      <c r="DW178" s="30"/>
      <c r="DX178" s="30"/>
      <c r="DY178" s="30"/>
      <c r="DZ178" s="30"/>
      <c r="EA178" s="30"/>
      <c r="EB178" s="30"/>
      <c r="EC178" s="30"/>
      <c r="ED178" s="30"/>
      <c r="EE178" s="30"/>
      <c r="EF178" s="30"/>
      <c r="EG178" s="30"/>
      <c r="EH178" s="30"/>
      <c r="EI178" s="30"/>
      <c r="EJ178" s="30"/>
      <c r="EK178" s="30" t="s">
        <v>214</v>
      </c>
      <c r="EL178" s="30"/>
      <c r="EM178" s="30" t="s">
        <v>214</v>
      </c>
      <c r="EN178" s="30" t="s">
        <v>214</v>
      </c>
      <c r="EO178" s="30"/>
      <c r="EP178" s="30"/>
      <c r="EQ178" s="30"/>
      <c r="ER178" s="30"/>
      <c r="ES178" s="30" t="s">
        <v>214</v>
      </c>
      <c r="ET178" s="30"/>
      <c r="EU178" s="30"/>
      <c r="EV178" s="30" t="s">
        <v>214</v>
      </c>
      <c r="EW178" s="30"/>
      <c r="EX178" s="30"/>
      <c r="EY178" s="30"/>
      <c r="EZ178" s="30"/>
      <c r="FA178" s="30"/>
      <c r="FB178" s="30"/>
      <c r="FC178" s="30" t="s">
        <v>214</v>
      </c>
      <c r="FD178" s="30"/>
      <c r="FE178" s="30"/>
      <c r="FF178" s="30"/>
      <c r="FG178" s="30"/>
      <c r="FH178" s="30"/>
      <c r="FI178" s="30"/>
      <c r="FJ178" s="30"/>
      <c r="FK178" s="30"/>
      <c r="FL178" s="30" t="s">
        <v>214</v>
      </c>
      <c r="FM178" s="30"/>
      <c r="FN178" s="30"/>
      <c r="FO178" s="30"/>
      <c r="FP178" s="30"/>
      <c r="FQ178" s="30"/>
      <c r="FR178" s="30"/>
      <c r="FS178" s="30"/>
      <c r="FT178" s="30"/>
      <c r="FU178" s="30"/>
      <c r="FV178" s="30"/>
      <c r="FW178" s="30"/>
      <c r="FX178" s="30"/>
      <c r="FY178" s="30"/>
      <c r="FZ178" s="30"/>
      <c r="GA178" s="30"/>
      <c r="GB178" s="30"/>
      <c r="GC178" s="30"/>
      <c r="GD178" s="30"/>
      <c r="GE178" s="30"/>
      <c r="GF178" s="30"/>
      <c r="GG178" s="30"/>
      <c r="GH178" s="30"/>
      <c r="GI178" s="30"/>
      <c r="GJ178" s="30"/>
      <c r="GK178" s="30"/>
      <c r="GL178" s="30"/>
      <c r="GM178" s="30"/>
      <c r="GN178" s="30"/>
      <c r="GO178" s="30" t="n">
        <v>216000</v>
      </c>
      <c r="GP178" s="30"/>
      <c r="GQ178" s="30"/>
      <c r="GR178" s="30"/>
      <c r="GS178" s="30"/>
      <c r="GT178" s="30" t="n">
        <v>216000</v>
      </c>
      <c r="GU178" s="30"/>
      <c r="GV178" s="30"/>
      <c r="GW178" s="30"/>
      <c r="GX178" s="30" t="n">
        <f aca="false">SUM(N178:GW178)</f>
        <v>432000</v>
      </c>
      <c r="GY178" s="36" t="n">
        <f aca="false">SUM(L178-GX178)</f>
        <v>432000</v>
      </c>
      <c r="GZ178" s="32" t="n">
        <f aca="false">SUM( H178/5)</f>
        <v>8</v>
      </c>
      <c r="HA178" s="32" t="n">
        <f aca="false">SUM( I178/5)</f>
        <v>8</v>
      </c>
      <c r="HB178" s="33" t="n">
        <f aca="false">SUM(GZ178/4)</f>
        <v>2</v>
      </c>
      <c r="HC178" s="33" t="n">
        <f aca="false">SUM(HA178/4)</f>
        <v>2</v>
      </c>
    </row>
    <row r="179" customFormat="false" ht="28.5" hidden="true" customHeight="true" outlineLevel="0" collapsed="false">
      <c r="A179" s="26" t="n">
        <v>3752</v>
      </c>
      <c r="B179" s="21" t="s">
        <v>513</v>
      </c>
      <c r="C179" s="21" t="s">
        <v>514</v>
      </c>
      <c r="D179" s="34"/>
      <c r="E179" s="25" t="n">
        <v>46146</v>
      </c>
      <c r="F179" s="25" t="n">
        <f aca="false">WORKDAY(E179,G179)</f>
        <v>47154</v>
      </c>
      <c r="G179" s="26" t="n">
        <v>720</v>
      </c>
      <c r="H179" s="42" t="n">
        <f aca="false">(GX179* 5)/M179</f>
        <v>0</v>
      </c>
      <c r="I179" s="42" t="n">
        <f aca="false">G179-H179</f>
        <v>720</v>
      </c>
      <c r="J179" s="35" t="s">
        <v>515</v>
      </c>
      <c r="K179" s="36" t="n">
        <v>11600000</v>
      </c>
      <c r="L179" s="36" t="n">
        <v>19800000</v>
      </c>
      <c r="M179" s="29" t="n">
        <f aca="false">(L179/G179)*5</f>
        <v>137500</v>
      </c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  <c r="DX179" s="30"/>
      <c r="DY179" s="30"/>
      <c r="DZ179" s="30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 t="s">
        <v>214</v>
      </c>
      <c r="EL179" s="30"/>
      <c r="EM179" s="30" t="s">
        <v>214</v>
      </c>
      <c r="EN179" s="30" t="s">
        <v>214</v>
      </c>
      <c r="EO179" s="30"/>
      <c r="EP179" s="30"/>
      <c r="EQ179" s="30"/>
      <c r="ER179" s="30"/>
      <c r="ES179" s="30" t="s">
        <v>214</v>
      </c>
      <c r="ET179" s="30"/>
      <c r="EU179" s="30"/>
      <c r="EV179" s="30" t="s">
        <v>214</v>
      </c>
      <c r="EW179" s="30"/>
      <c r="EX179" s="30"/>
      <c r="EY179" s="30"/>
      <c r="EZ179" s="30"/>
      <c r="FA179" s="30"/>
      <c r="FB179" s="30"/>
      <c r="FC179" s="30" t="s">
        <v>214</v>
      </c>
      <c r="FD179" s="30"/>
      <c r="FE179" s="30"/>
      <c r="FF179" s="30"/>
      <c r="FG179" s="30"/>
      <c r="FH179" s="30"/>
      <c r="FI179" s="30"/>
      <c r="FJ179" s="30"/>
      <c r="FK179" s="30"/>
      <c r="FL179" s="30" t="s">
        <v>214</v>
      </c>
      <c r="FM179" s="30"/>
      <c r="FN179" s="30"/>
      <c r="FO179" s="30"/>
      <c r="FP179" s="30"/>
      <c r="FQ179" s="30"/>
      <c r="FR179" s="30"/>
      <c r="FS179" s="30"/>
      <c r="FT179" s="30"/>
      <c r="FU179" s="30"/>
      <c r="FV179" s="30"/>
      <c r="FW179" s="30"/>
      <c r="FX179" s="30"/>
      <c r="FY179" s="30"/>
      <c r="FZ179" s="30"/>
      <c r="GA179" s="30"/>
      <c r="GB179" s="30"/>
      <c r="GC179" s="30"/>
      <c r="GD179" s="30"/>
      <c r="GE179" s="30"/>
      <c r="GF179" s="30"/>
      <c r="GG179" s="30"/>
      <c r="GH179" s="30"/>
      <c r="GI179" s="30"/>
      <c r="GJ179" s="30"/>
      <c r="GK179" s="30"/>
      <c r="GL179" s="30"/>
      <c r="GM179" s="30"/>
      <c r="GN179" s="30"/>
      <c r="GO179" s="30"/>
      <c r="GP179" s="30"/>
      <c r="GQ179" s="30"/>
      <c r="GR179" s="30"/>
      <c r="GS179" s="30"/>
      <c r="GT179" s="30"/>
      <c r="GU179" s="30"/>
      <c r="GV179" s="30"/>
      <c r="GW179" s="30"/>
      <c r="GX179" s="30" t="n">
        <f aca="false">SUM(N179:GW179)</f>
        <v>0</v>
      </c>
      <c r="GY179" s="36" t="n">
        <f aca="false">SUM(L179-GX179)</f>
        <v>19800000</v>
      </c>
      <c r="GZ179" s="32" t="n">
        <f aca="false">SUM( H179/5)</f>
        <v>0</v>
      </c>
      <c r="HA179" s="32" t="n">
        <f aca="false">SUM( I179/5)</f>
        <v>144</v>
      </c>
      <c r="HB179" s="33" t="n">
        <f aca="false">SUM(GZ179/4)</f>
        <v>0</v>
      </c>
      <c r="HC179" s="33" t="n">
        <f aca="false">SUM(HA179/4)</f>
        <v>36</v>
      </c>
    </row>
    <row r="180" customFormat="false" ht="28.5" hidden="true" customHeight="true" outlineLevel="0" collapsed="false">
      <c r="A180" s="26" t="n">
        <v>3737</v>
      </c>
      <c r="B180" s="21" t="s">
        <v>516</v>
      </c>
      <c r="C180" s="21" t="s">
        <v>517</v>
      </c>
      <c r="D180" s="34"/>
      <c r="E180" s="25" t="n">
        <v>46135</v>
      </c>
      <c r="F180" s="25" t="n">
        <f aca="false">WORKDAY(E180,G180)</f>
        <v>46471</v>
      </c>
      <c r="G180" s="26" t="n">
        <v>240</v>
      </c>
      <c r="H180" s="27" t="n">
        <f aca="false">(GX180* 5)/M180</f>
        <v>40</v>
      </c>
      <c r="I180" s="27" t="n">
        <f aca="false">G180-H180</f>
        <v>200</v>
      </c>
      <c r="J180" s="35" t="s">
        <v>518</v>
      </c>
      <c r="K180" s="36" t="n">
        <v>2000000</v>
      </c>
      <c r="L180" s="36" t="n">
        <v>6750000</v>
      </c>
      <c r="M180" s="37" t="n">
        <f aca="false">(L180/G180)*5</f>
        <v>140625</v>
      </c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30"/>
      <c r="DR180" s="30"/>
      <c r="DS180" s="30"/>
      <c r="DT180" s="30"/>
      <c r="DU180" s="30"/>
      <c r="DV180" s="30"/>
      <c r="DW180" s="30"/>
      <c r="DX180" s="30"/>
      <c r="DY180" s="30"/>
      <c r="DZ180" s="30"/>
      <c r="EA180" s="30"/>
      <c r="EB180" s="30"/>
      <c r="EC180" s="30"/>
      <c r="ED180" s="30"/>
      <c r="EE180" s="30"/>
      <c r="EF180" s="30"/>
      <c r="EG180" s="30"/>
      <c r="EH180" s="30"/>
      <c r="EI180" s="30"/>
      <c r="EJ180" s="30"/>
      <c r="EK180" s="30" t="s">
        <v>214</v>
      </c>
      <c r="EL180" s="30"/>
      <c r="EM180" s="30" t="s">
        <v>214</v>
      </c>
      <c r="EN180" s="30" t="s">
        <v>214</v>
      </c>
      <c r="EO180" s="30"/>
      <c r="EP180" s="30"/>
      <c r="EQ180" s="30"/>
      <c r="ER180" s="30"/>
      <c r="ES180" s="30" t="s">
        <v>214</v>
      </c>
      <c r="ET180" s="30"/>
      <c r="EU180" s="30"/>
      <c r="EV180" s="30" t="s">
        <v>214</v>
      </c>
      <c r="EW180" s="30"/>
      <c r="EX180" s="30"/>
      <c r="EY180" s="30"/>
      <c r="EZ180" s="30"/>
      <c r="FA180" s="30"/>
      <c r="FB180" s="30"/>
      <c r="FC180" s="30" t="s">
        <v>214</v>
      </c>
      <c r="FD180" s="30"/>
      <c r="FE180" s="30"/>
      <c r="FF180" s="30"/>
      <c r="FG180" s="30"/>
      <c r="FH180" s="30"/>
      <c r="FI180" s="30"/>
      <c r="FJ180" s="30"/>
      <c r="FK180" s="30"/>
      <c r="FL180" s="30" t="s">
        <v>214</v>
      </c>
      <c r="FM180" s="30"/>
      <c r="FN180" s="30"/>
      <c r="FO180" s="30"/>
      <c r="FP180" s="30"/>
      <c r="FQ180" s="30"/>
      <c r="FR180" s="30"/>
      <c r="FS180" s="30"/>
      <c r="FT180" s="30"/>
      <c r="FU180" s="30"/>
      <c r="FV180" s="30"/>
      <c r="FW180" s="30"/>
      <c r="FX180" s="30"/>
      <c r="FY180" s="30"/>
      <c r="FZ180" s="30"/>
      <c r="GA180" s="30"/>
      <c r="GB180" s="30"/>
      <c r="GC180" s="30"/>
      <c r="GD180" s="30"/>
      <c r="GE180" s="30"/>
      <c r="GF180" s="30"/>
      <c r="GG180" s="30"/>
      <c r="GH180" s="30"/>
      <c r="GI180" s="30"/>
      <c r="GJ180" s="30"/>
      <c r="GK180" s="30"/>
      <c r="GL180" s="30"/>
      <c r="GM180" s="30"/>
      <c r="GN180" s="30"/>
      <c r="GO180" s="30"/>
      <c r="GP180" s="30" t="n">
        <v>1125000</v>
      </c>
      <c r="GQ180" s="30"/>
      <c r="GR180" s="30"/>
      <c r="GS180" s="30"/>
      <c r="GT180" s="30"/>
      <c r="GU180" s="30"/>
      <c r="GV180" s="30"/>
      <c r="GW180" s="30"/>
      <c r="GX180" s="30" t="n">
        <f aca="false">SUM(N180:GW180)</f>
        <v>1125000</v>
      </c>
      <c r="GY180" s="36" t="n">
        <f aca="false">SUM(L180-GX180)</f>
        <v>5625000</v>
      </c>
      <c r="GZ180" s="32" t="n">
        <f aca="false">SUM( H180/5)</f>
        <v>8</v>
      </c>
      <c r="HA180" s="32" t="n">
        <f aca="false">SUM( I180/5)</f>
        <v>40</v>
      </c>
      <c r="HB180" s="33" t="n">
        <f aca="false">SUM(GZ180/4)</f>
        <v>2</v>
      </c>
      <c r="HC180" s="33" t="n">
        <f aca="false">SUM(HA180/4)</f>
        <v>10</v>
      </c>
    </row>
    <row r="181" customFormat="false" ht="28.5" hidden="true" customHeight="true" outlineLevel="0" collapsed="false">
      <c r="A181" s="26" t="n">
        <v>3048</v>
      </c>
      <c r="B181" s="21" t="s">
        <v>519</v>
      </c>
      <c r="C181" s="21" t="s">
        <v>520</v>
      </c>
      <c r="D181" s="34"/>
      <c r="E181" s="25" t="n">
        <v>45969</v>
      </c>
      <c r="F181" s="25" t="n">
        <f aca="false">WORKDAY(E181,G181)</f>
        <v>46070</v>
      </c>
      <c r="G181" s="26" t="n">
        <v>72</v>
      </c>
      <c r="H181" s="27" t="n">
        <f aca="false">(GX181* 5)/M181</f>
        <v>75.8333333333333</v>
      </c>
      <c r="I181" s="27" t="n">
        <f aca="false">G181-H181</f>
        <v>-3.83333333333333</v>
      </c>
      <c r="J181" s="22" t="s">
        <v>266</v>
      </c>
      <c r="K181" s="36" t="n">
        <v>100000</v>
      </c>
      <c r="L181" s="36" t="n">
        <v>216000</v>
      </c>
      <c r="M181" s="29" t="n">
        <f aca="false">(L181/G181)*5</f>
        <v>15000</v>
      </c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0"/>
      <c r="EH181" s="30"/>
      <c r="EI181" s="30"/>
      <c r="EJ181" s="30"/>
      <c r="EK181" s="30" t="s">
        <v>214</v>
      </c>
      <c r="EL181" s="30"/>
      <c r="EM181" s="30" t="s">
        <v>214</v>
      </c>
      <c r="EN181" s="30" t="s">
        <v>214</v>
      </c>
      <c r="EO181" s="30"/>
      <c r="EP181" s="30"/>
      <c r="EQ181" s="30"/>
      <c r="ER181" s="30"/>
      <c r="ES181" s="30" t="s">
        <v>214</v>
      </c>
      <c r="ET181" s="30"/>
      <c r="EU181" s="30"/>
      <c r="EV181" s="30" t="s">
        <v>214</v>
      </c>
      <c r="EW181" s="30"/>
      <c r="EX181" s="30"/>
      <c r="EY181" s="30"/>
      <c r="EZ181" s="30"/>
      <c r="FA181" s="30"/>
      <c r="FB181" s="30"/>
      <c r="FC181" s="30" t="s">
        <v>214</v>
      </c>
      <c r="FD181" s="30"/>
      <c r="FE181" s="30"/>
      <c r="FF181" s="30"/>
      <c r="FG181" s="30"/>
      <c r="FH181" s="30"/>
      <c r="FI181" s="30"/>
      <c r="FJ181" s="30"/>
      <c r="FK181" s="30"/>
      <c r="FL181" s="30" t="s">
        <v>214</v>
      </c>
      <c r="FM181" s="30"/>
      <c r="FN181" s="30"/>
      <c r="FO181" s="30"/>
      <c r="FP181" s="30"/>
      <c r="FQ181" s="30" t="n">
        <v>15000</v>
      </c>
      <c r="FR181" s="30"/>
      <c r="FS181" s="30"/>
      <c r="FT181" s="30"/>
      <c r="FU181" s="30"/>
      <c r="FV181" s="30"/>
      <c r="FW181" s="30" t="n">
        <v>5000</v>
      </c>
      <c r="FX181" s="30"/>
      <c r="FY181" s="30"/>
      <c r="FZ181" s="30" t="n">
        <v>15000</v>
      </c>
      <c r="GA181" s="30" t="s">
        <v>214</v>
      </c>
      <c r="GB181" s="30" t="n">
        <v>15000</v>
      </c>
      <c r="GC181" s="30"/>
      <c r="GD181" s="30" t="n">
        <v>15000</v>
      </c>
      <c r="GE181" s="30" t="n">
        <v>15000</v>
      </c>
      <c r="GF181" s="30" t="n">
        <v>7500</v>
      </c>
      <c r="GG181" s="30" t="n">
        <v>15000</v>
      </c>
      <c r="GH181" s="30" t="n">
        <v>15000</v>
      </c>
      <c r="GI181" s="30"/>
      <c r="GJ181" s="30" t="n">
        <v>15000</v>
      </c>
      <c r="GK181" s="30"/>
      <c r="GL181" s="30" t="n">
        <v>15000</v>
      </c>
      <c r="GM181" s="30"/>
      <c r="GN181" s="30"/>
      <c r="GO181" s="30" t="n">
        <v>15000</v>
      </c>
      <c r="GP181" s="30" t="n">
        <v>15000</v>
      </c>
      <c r="GQ181" s="30"/>
      <c r="GR181" s="30"/>
      <c r="GS181" s="30"/>
      <c r="GT181" s="30"/>
      <c r="GU181" s="30"/>
      <c r="GV181" s="30"/>
      <c r="GW181" s="30" t="n">
        <v>50000</v>
      </c>
      <c r="GX181" s="30" t="n">
        <f aca="false">SUM(N181:GW181)</f>
        <v>227500</v>
      </c>
      <c r="GY181" s="36" t="n">
        <f aca="false">SUM(L181-GX181)</f>
        <v>-11500</v>
      </c>
      <c r="GZ181" s="32" t="n">
        <f aca="false">SUM( H181/5)</f>
        <v>15.1666666666667</v>
      </c>
      <c r="HA181" s="32" t="n">
        <f aca="false">SUM( I181/5)</f>
        <v>-0.766666666666666</v>
      </c>
      <c r="HB181" s="33" t="n">
        <f aca="false">SUM(GZ181/4)</f>
        <v>3.79166666666667</v>
      </c>
      <c r="HC181" s="33" t="n">
        <f aca="false">SUM(HA181/4)</f>
        <v>-0.191666666666666</v>
      </c>
    </row>
    <row r="182" customFormat="false" ht="28.5" hidden="true" customHeight="true" outlineLevel="0" collapsed="false">
      <c r="A182" s="26" t="n">
        <v>3436</v>
      </c>
      <c r="B182" s="21" t="s">
        <v>519</v>
      </c>
      <c r="C182" s="21" t="s">
        <v>520</v>
      </c>
      <c r="D182" s="34"/>
      <c r="E182" s="25" t="n">
        <v>45973</v>
      </c>
      <c r="F182" s="25" t="n">
        <f aca="false">WORKDAY(E182,G182)</f>
        <v>46073</v>
      </c>
      <c r="G182" s="26" t="n">
        <v>72</v>
      </c>
      <c r="H182" s="27" t="n">
        <f aca="false">(GX182* 5)/M182</f>
        <v>51.6666666666667</v>
      </c>
      <c r="I182" s="27" t="n">
        <f aca="false">G182-H182</f>
        <v>20.3333333333333</v>
      </c>
      <c r="J182" s="22" t="s">
        <v>266</v>
      </c>
      <c r="K182" s="31" t="n">
        <v>100000</v>
      </c>
      <c r="L182" s="31" t="n">
        <v>216000</v>
      </c>
      <c r="M182" s="29" t="n">
        <f aca="false">(L182/G182)*5</f>
        <v>15000</v>
      </c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30"/>
      <c r="DR182" s="30"/>
      <c r="DS182" s="30"/>
      <c r="DT182" s="30"/>
      <c r="DU182" s="30"/>
      <c r="DV182" s="30"/>
      <c r="DW182" s="30"/>
      <c r="DX182" s="30"/>
      <c r="DY182" s="30"/>
      <c r="DZ182" s="30"/>
      <c r="EA182" s="30"/>
      <c r="EB182" s="30"/>
      <c r="EC182" s="30"/>
      <c r="ED182" s="30"/>
      <c r="EE182" s="30"/>
      <c r="EF182" s="30"/>
      <c r="EG182" s="30"/>
      <c r="EH182" s="30"/>
      <c r="EI182" s="30"/>
      <c r="EJ182" s="30"/>
      <c r="EK182" s="30" t="s">
        <v>214</v>
      </c>
      <c r="EL182" s="30"/>
      <c r="EM182" s="30" t="s">
        <v>214</v>
      </c>
      <c r="EN182" s="30" t="s">
        <v>214</v>
      </c>
      <c r="EO182" s="30"/>
      <c r="EP182" s="30"/>
      <c r="EQ182" s="30"/>
      <c r="ER182" s="30"/>
      <c r="ES182" s="30" t="s">
        <v>214</v>
      </c>
      <c r="ET182" s="30"/>
      <c r="EU182" s="30"/>
      <c r="EV182" s="30" t="s">
        <v>214</v>
      </c>
      <c r="EW182" s="30"/>
      <c r="EX182" s="30"/>
      <c r="EY182" s="30"/>
      <c r="EZ182" s="30"/>
      <c r="FA182" s="30"/>
      <c r="FB182" s="30"/>
      <c r="FC182" s="30" t="s">
        <v>214</v>
      </c>
      <c r="FD182" s="30"/>
      <c r="FE182" s="30"/>
      <c r="FF182" s="30"/>
      <c r="FG182" s="30"/>
      <c r="FH182" s="30"/>
      <c r="FI182" s="30"/>
      <c r="FJ182" s="30"/>
      <c r="FK182" s="30"/>
      <c r="FL182" s="30" t="s">
        <v>214</v>
      </c>
      <c r="FM182" s="30"/>
      <c r="FN182" s="30"/>
      <c r="FO182" s="30"/>
      <c r="FP182" s="30"/>
      <c r="FQ182" s="30" t="n">
        <v>15000</v>
      </c>
      <c r="FR182" s="30"/>
      <c r="FS182" s="30"/>
      <c r="FT182" s="30"/>
      <c r="FU182" s="30"/>
      <c r="FV182" s="30"/>
      <c r="FW182" s="30"/>
      <c r="FX182" s="30"/>
      <c r="FY182" s="30"/>
      <c r="FZ182" s="30" t="n">
        <v>15000</v>
      </c>
      <c r="GA182" s="30"/>
      <c r="GB182" s="30" t="n">
        <v>7500</v>
      </c>
      <c r="GC182" s="30"/>
      <c r="GD182" s="30" t="n">
        <v>15000</v>
      </c>
      <c r="GE182" s="30" t="n">
        <v>15000</v>
      </c>
      <c r="GF182" s="30"/>
      <c r="GG182" s="30" t="n">
        <v>15000</v>
      </c>
      <c r="GH182" s="30" t="n">
        <v>12500</v>
      </c>
      <c r="GI182" s="30"/>
      <c r="GJ182" s="30" t="n">
        <v>15000</v>
      </c>
      <c r="GK182" s="30"/>
      <c r="GL182" s="30" t="n">
        <v>15000</v>
      </c>
      <c r="GM182" s="30"/>
      <c r="GN182" s="30"/>
      <c r="GO182" s="30" t="n">
        <v>15000</v>
      </c>
      <c r="GP182" s="30" t="n">
        <v>15000</v>
      </c>
      <c r="GQ182" s="30"/>
      <c r="GR182" s="30"/>
      <c r="GS182" s="30"/>
      <c r="GT182" s="30"/>
      <c r="GU182" s="30"/>
      <c r="GV182" s="30"/>
      <c r="GW182" s="30"/>
      <c r="GX182" s="30" t="n">
        <f aca="false">SUM(N182:GW182)</f>
        <v>155000</v>
      </c>
      <c r="GY182" s="36" t="n">
        <f aca="false">SUM(L182-GX182)</f>
        <v>61000</v>
      </c>
      <c r="GZ182" s="32" t="n">
        <f aca="false">SUM( H182/5)</f>
        <v>10.3333333333333</v>
      </c>
      <c r="HA182" s="32" t="n">
        <f aca="false">SUM( I182/5)</f>
        <v>4.06666666666667</v>
      </c>
      <c r="HB182" s="33" t="n">
        <f aca="false">SUM(GZ182/4)</f>
        <v>2.58333333333333</v>
      </c>
      <c r="HC182" s="33" t="n">
        <f aca="false">SUM(HA182/4)</f>
        <v>1.01666666666667</v>
      </c>
    </row>
    <row r="183" customFormat="false" ht="28.5" hidden="true" customHeight="true" outlineLevel="0" collapsed="false">
      <c r="A183" s="26" t="n">
        <v>2797</v>
      </c>
      <c r="B183" s="21" t="s">
        <v>519</v>
      </c>
      <c r="C183" s="21" t="s">
        <v>520</v>
      </c>
      <c r="D183" s="34"/>
      <c r="E183" s="25" t="n">
        <v>45981</v>
      </c>
      <c r="F183" s="25" t="n">
        <f aca="false">WORKDAY(E183,G183)</f>
        <v>46083</v>
      </c>
      <c r="G183" s="26" t="n">
        <v>72</v>
      </c>
      <c r="H183" s="27" t="n">
        <f aca="false">(GX183* 5)/M183</f>
        <v>44</v>
      </c>
      <c r="I183" s="27" t="n">
        <f aca="false">G183-H183</f>
        <v>28</v>
      </c>
      <c r="J183" s="22" t="s">
        <v>266</v>
      </c>
      <c r="K183" s="36" t="n">
        <v>100000</v>
      </c>
      <c r="L183" s="36" t="n">
        <v>216000</v>
      </c>
      <c r="M183" s="29" t="n">
        <f aca="false">(L183/G183)*5</f>
        <v>15000</v>
      </c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  <c r="DX183" s="30"/>
      <c r="DY183" s="30"/>
      <c r="DZ183" s="30"/>
      <c r="EA183" s="30"/>
      <c r="EB183" s="30"/>
      <c r="EC183" s="30"/>
      <c r="ED183" s="30"/>
      <c r="EE183" s="30"/>
      <c r="EF183" s="30"/>
      <c r="EG183" s="30"/>
      <c r="EH183" s="30"/>
      <c r="EI183" s="30"/>
      <c r="EJ183" s="30"/>
      <c r="EK183" s="30" t="s">
        <v>214</v>
      </c>
      <c r="EL183" s="30"/>
      <c r="EM183" s="30" t="s">
        <v>214</v>
      </c>
      <c r="EN183" s="30" t="s">
        <v>214</v>
      </c>
      <c r="EO183" s="30"/>
      <c r="EP183" s="30"/>
      <c r="EQ183" s="30"/>
      <c r="ER183" s="30"/>
      <c r="ES183" s="30" t="s">
        <v>214</v>
      </c>
      <c r="ET183" s="30"/>
      <c r="EU183" s="30"/>
      <c r="EV183" s="30" t="s">
        <v>214</v>
      </c>
      <c r="EW183" s="30"/>
      <c r="EX183" s="30"/>
      <c r="EY183" s="30"/>
      <c r="EZ183" s="30"/>
      <c r="FA183" s="30"/>
      <c r="FB183" s="30"/>
      <c r="FC183" s="30" t="s">
        <v>214</v>
      </c>
      <c r="FD183" s="30"/>
      <c r="FE183" s="30"/>
      <c r="FF183" s="30"/>
      <c r="FG183" s="30"/>
      <c r="FH183" s="30"/>
      <c r="FI183" s="30"/>
      <c r="FJ183" s="30"/>
      <c r="FK183" s="30"/>
      <c r="FL183" s="30" t="s">
        <v>214</v>
      </c>
      <c r="FM183" s="30"/>
      <c r="FN183" s="30"/>
      <c r="FO183" s="30"/>
      <c r="FP183" s="30"/>
      <c r="FQ183" s="30"/>
      <c r="FR183" s="30"/>
      <c r="FS183" s="30"/>
      <c r="FT183" s="30"/>
      <c r="FU183" s="30"/>
      <c r="FV183" s="30"/>
      <c r="FW183" s="30"/>
      <c r="FX183" s="30"/>
      <c r="FY183" s="30"/>
      <c r="FZ183" s="30" t="n">
        <v>12000</v>
      </c>
      <c r="GA183" s="30" t="n">
        <v>15000</v>
      </c>
      <c r="GB183" s="30"/>
      <c r="GC183" s="30"/>
      <c r="GD183" s="30" t="n">
        <v>15000</v>
      </c>
      <c r="GE183" s="30" t="n">
        <v>15000</v>
      </c>
      <c r="GF183" s="30"/>
      <c r="GG183" s="30" t="n">
        <v>15000</v>
      </c>
      <c r="GH183" s="30"/>
      <c r="GI183" s="30"/>
      <c r="GJ183" s="30" t="n">
        <v>15000</v>
      </c>
      <c r="GK183" s="30"/>
      <c r="GL183" s="30" t="n">
        <v>15000</v>
      </c>
      <c r="GM183" s="30"/>
      <c r="GN183" s="30"/>
      <c r="GO183" s="30" t="n">
        <v>15000</v>
      </c>
      <c r="GP183" s="30" t="n">
        <v>15000</v>
      </c>
      <c r="GQ183" s="30"/>
      <c r="GR183" s="30"/>
      <c r="GS183" s="30"/>
      <c r="GT183" s="30"/>
      <c r="GU183" s="30"/>
      <c r="GV183" s="30"/>
      <c r="GW183" s="30"/>
      <c r="GX183" s="30" t="n">
        <f aca="false">SUM(N183:GW183)</f>
        <v>132000</v>
      </c>
      <c r="GY183" s="36" t="n">
        <f aca="false">SUM(L183-GX183)</f>
        <v>84000</v>
      </c>
      <c r="GZ183" s="32" t="n">
        <f aca="false">SUM( H183/5)</f>
        <v>8.8</v>
      </c>
      <c r="HA183" s="32" t="n">
        <f aca="false">SUM( I183/5)</f>
        <v>5.6</v>
      </c>
      <c r="HB183" s="33" t="n">
        <f aca="false">SUM(GZ183/4)</f>
        <v>2.2</v>
      </c>
      <c r="HC183" s="33" t="n">
        <f aca="false">SUM(HA183/4)</f>
        <v>1.4</v>
      </c>
    </row>
    <row r="184" customFormat="false" ht="28.5" hidden="true" customHeight="true" outlineLevel="0" collapsed="false">
      <c r="A184" s="26" t="n">
        <v>3544</v>
      </c>
      <c r="B184" s="21" t="s">
        <v>519</v>
      </c>
      <c r="C184" s="21" t="s">
        <v>520</v>
      </c>
      <c r="D184" s="34"/>
      <c r="E184" s="25" t="n">
        <v>45996</v>
      </c>
      <c r="F184" s="25" t="n">
        <f aca="false">WORKDAY(E184,G184)</f>
        <v>46098</v>
      </c>
      <c r="G184" s="26" t="n">
        <v>72</v>
      </c>
      <c r="H184" s="27" t="n">
        <f aca="false">(GX184* 5)/M184</f>
        <v>17.5</v>
      </c>
      <c r="I184" s="27" t="n">
        <f aca="false">G184-H184</f>
        <v>54.5</v>
      </c>
      <c r="J184" s="22" t="s">
        <v>266</v>
      </c>
      <c r="K184" s="31" t="n">
        <v>100000</v>
      </c>
      <c r="L184" s="31" t="n">
        <v>216000</v>
      </c>
      <c r="M184" s="37" t="n">
        <f aca="false">(L184/G184)*5</f>
        <v>15000</v>
      </c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30"/>
      <c r="DR184" s="30"/>
      <c r="DS184" s="30"/>
      <c r="DT184" s="30"/>
      <c r="DU184" s="30"/>
      <c r="DV184" s="30"/>
      <c r="DW184" s="30"/>
      <c r="DX184" s="30"/>
      <c r="DY184" s="30"/>
      <c r="DZ184" s="30"/>
      <c r="EA184" s="30"/>
      <c r="EB184" s="30"/>
      <c r="EC184" s="30"/>
      <c r="ED184" s="30"/>
      <c r="EE184" s="30"/>
      <c r="EF184" s="30"/>
      <c r="EG184" s="30"/>
      <c r="EH184" s="30"/>
      <c r="EI184" s="30"/>
      <c r="EJ184" s="30"/>
      <c r="EK184" s="30" t="s">
        <v>214</v>
      </c>
      <c r="EL184" s="30"/>
      <c r="EM184" s="30" t="s">
        <v>214</v>
      </c>
      <c r="EN184" s="30" t="s">
        <v>214</v>
      </c>
      <c r="EO184" s="30"/>
      <c r="EP184" s="30"/>
      <c r="EQ184" s="30"/>
      <c r="ER184" s="30"/>
      <c r="ES184" s="30" t="s">
        <v>214</v>
      </c>
      <c r="ET184" s="30"/>
      <c r="EU184" s="30"/>
      <c r="EV184" s="30" t="s">
        <v>214</v>
      </c>
      <c r="EW184" s="30"/>
      <c r="EX184" s="30"/>
      <c r="EY184" s="30"/>
      <c r="EZ184" s="30"/>
      <c r="FA184" s="30"/>
      <c r="FB184" s="30"/>
      <c r="FC184" s="30" t="s">
        <v>214</v>
      </c>
      <c r="FD184" s="30"/>
      <c r="FE184" s="30"/>
      <c r="FF184" s="30"/>
      <c r="FG184" s="30"/>
      <c r="FH184" s="30"/>
      <c r="FI184" s="30"/>
      <c r="FJ184" s="30"/>
      <c r="FK184" s="30"/>
      <c r="FL184" s="30" t="s">
        <v>214</v>
      </c>
      <c r="FM184" s="30"/>
      <c r="FN184" s="30"/>
      <c r="FO184" s="30"/>
      <c r="FP184" s="30"/>
      <c r="FQ184" s="30"/>
      <c r="FR184" s="30"/>
      <c r="FS184" s="30"/>
      <c r="FT184" s="30"/>
      <c r="FU184" s="30"/>
      <c r="FV184" s="30"/>
      <c r="FW184" s="30"/>
      <c r="FX184" s="30"/>
      <c r="FY184" s="30"/>
      <c r="FZ184" s="30"/>
      <c r="GA184" s="30"/>
      <c r="GB184" s="30"/>
      <c r="GC184" s="30"/>
      <c r="GD184" s="30" t="n">
        <v>12500</v>
      </c>
      <c r="GE184" s="30" t="n">
        <v>12500</v>
      </c>
      <c r="GF184" s="30"/>
      <c r="GG184" s="30"/>
      <c r="GH184" s="30"/>
      <c r="GI184" s="30"/>
      <c r="GJ184" s="30" t="n">
        <v>2500</v>
      </c>
      <c r="GK184" s="30"/>
      <c r="GL184" s="30" t="n">
        <v>15000</v>
      </c>
      <c r="GM184" s="30"/>
      <c r="GN184" s="30"/>
      <c r="GO184" s="30" t="n">
        <v>5000</v>
      </c>
      <c r="GP184" s="30" t="n">
        <v>5000</v>
      </c>
      <c r="GQ184" s="30"/>
      <c r="GR184" s="30"/>
      <c r="GS184" s="30"/>
      <c r="GT184" s="30"/>
      <c r="GU184" s="30"/>
      <c r="GV184" s="30"/>
      <c r="GW184" s="30"/>
      <c r="GX184" s="30" t="n">
        <f aca="false">SUM(N184:GW184)</f>
        <v>52500</v>
      </c>
      <c r="GY184" s="36" t="n">
        <f aca="false">SUM(L184-GX184)</f>
        <v>163500</v>
      </c>
      <c r="GZ184" s="32" t="n">
        <f aca="false">SUM( H184/5)</f>
        <v>3.5</v>
      </c>
      <c r="HA184" s="32" t="n">
        <f aca="false">SUM( I184/5)</f>
        <v>10.9</v>
      </c>
      <c r="HB184" s="33" t="n">
        <f aca="false">SUM(GZ184/4)</f>
        <v>0.875</v>
      </c>
      <c r="HC184" s="33" t="n">
        <f aca="false">SUM(HA184/4)</f>
        <v>2.725</v>
      </c>
    </row>
    <row r="185" customFormat="false" ht="28.5" hidden="true" customHeight="true" outlineLevel="0" collapsed="false">
      <c r="A185" s="26" t="n">
        <v>3659</v>
      </c>
      <c r="B185" s="21" t="s">
        <v>519</v>
      </c>
      <c r="C185" s="21" t="s">
        <v>520</v>
      </c>
      <c r="D185" s="34"/>
      <c r="E185" s="25" t="n">
        <v>46078</v>
      </c>
      <c r="F185" s="25" t="n">
        <f aca="false">WORKDAY(E185,G185)</f>
        <v>46302</v>
      </c>
      <c r="G185" s="26" t="n">
        <v>160</v>
      </c>
      <c r="H185" s="27" t="n">
        <f aca="false">(GX185* 5)/M185</f>
        <v>16.9444444444444</v>
      </c>
      <c r="I185" s="27" t="n">
        <f aca="false">G185-H185</f>
        <v>143.055555555556</v>
      </c>
      <c r="J185" s="35" t="s">
        <v>223</v>
      </c>
      <c r="K185" s="36" t="n">
        <v>300000</v>
      </c>
      <c r="L185" s="36" t="n">
        <v>864000</v>
      </c>
      <c r="M185" s="29" t="n">
        <f aca="false">(L185/G185)*5</f>
        <v>27000</v>
      </c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  <c r="DX185" s="30"/>
      <c r="DY185" s="30"/>
      <c r="DZ185" s="30"/>
      <c r="EA185" s="30"/>
      <c r="EB185" s="30"/>
      <c r="EC185" s="30"/>
      <c r="ED185" s="30"/>
      <c r="EE185" s="30"/>
      <c r="EF185" s="30"/>
      <c r="EG185" s="30"/>
      <c r="EH185" s="30"/>
      <c r="EI185" s="30"/>
      <c r="EJ185" s="30"/>
      <c r="EK185" s="30" t="s">
        <v>214</v>
      </c>
      <c r="EL185" s="30"/>
      <c r="EM185" s="30" t="s">
        <v>214</v>
      </c>
      <c r="EN185" s="30" t="s">
        <v>214</v>
      </c>
      <c r="EO185" s="30"/>
      <c r="EP185" s="30"/>
      <c r="EQ185" s="30"/>
      <c r="ER185" s="30"/>
      <c r="ES185" s="30" t="s">
        <v>214</v>
      </c>
      <c r="ET185" s="30"/>
      <c r="EU185" s="30"/>
      <c r="EV185" s="30" t="s">
        <v>214</v>
      </c>
      <c r="EW185" s="30"/>
      <c r="EX185" s="30"/>
      <c r="EY185" s="30"/>
      <c r="EZ185" s="30"/>
      <c r="FA185" s="30"/>
      <c r="FB185" s="30"/>
      <c r="FC185" s="30" t="s">
        <v>214</v>
      </c>
      <c r="FD185" s="30"/>
      <c r="FE185" s="30"/>
      <c r="FF185" s="30"/>
      <c r="FG185" s="30"/>
      <c r="FH185" s="30"/>
      <c r="FI185" s="30"/>
      <c r="FJ185" s="30"/>
      <c r="FK185" s="30"/>
      <c r="FL185" s="30" t="s">
        <v>214</v>
      </c>
      <c r="FM185" s="30"/>
      <c r="FN185" s="30"/>
      <c r="FO185" s="30"/>
      <c r="FP185" s="30"/>
      <c r="FQ185" s="30"/>
      <c r="FR185" s="30"/>
      <c r="FS185" s="30"/>
      <c r="FT185" s="30"/>
      <c r="FU185" s="30"/>
      <c r="FV185" s="30"/>
      <c r="FW185" s="30"/>
      <c r="FX185" s="30"/>
      <c r="FY185" s="30"/>
      <c r="FZ185" s="30"/>
      <c r="GA185" s="30"/>
      <c r="GB185" s="30"/>
      <c r="GC185" s="30"/>
      <c r="GD185" s="30"/>
      <c r="GE185" s="30"/>
      <c r="GF185" s="30"/>
      <c r="GG185" s="30"/>
      <c r="GH185" s="30"/>
      <c r="GI185" s="30"/>
      <c r="GJ185" s="30"/>
      <c r="GK185" s="30"/>
      <c r="GL185" s="30" t="n">
        <v>91500</v>
      </c>
      <c r="GM185" s="30"/>
      <c r="GN185" s="30"/>
      <c r="GO185" s="30"/>
      <c r="GP185" s="30"/>
      <c r="GQ185" s="30"/>
      <c r="GR185" s="30"/>
      <c r="GS185" s="30"/>
      <c r="GT185" s="30"/>
      <c r="GU185" s="30"/>
      <c r="GV185" s="30"/>
      <c r="GW185" s="30"/>
      <c r="GX185" s="30" t="n">
        <f aca="false">SUM(N185:GW185)</f>
        <v>91500</v>
      </c>
      <c r="GY185" s="36" t="n">
        <f aca="false">SUM(L185-GX185)</f>
        <v>772500</v>
      </c>
      <c r="GZ185" s="32" t="n">
        <f aca="false">SUM( H185/5)</f>
        <v>3.38888888888889</v>
      </c>
      <c r="HA185" s="32" t="n">
        <f aca="false">SUM( I185/5)</f>
        <v>28.6111111111111</v>
      </c>
      <c r="HB185" s="33" t="n">
        <f aca="false">SUM(GZ185/4)</f>
        <v>0.847222222222222</v>
      </c>
      <c r="HC185" s="33" t="n">
        <f aca="false">SUM(HA185/4)</f>
        <v>7.15277777777778</v>
      </c>
    </row>
    <row r="186" customFormat="false" ht="28.5" hidden="true" customHeight="true" outlineLevel="0" collapsed="false">
      <c r="A186" s="26" t="n">
        <v>3677</v>
      </c>
      <c r="B186" s="21" t="s">
        <v>519</v>
      </c>
      <c r="C186" s="21" t="s">
        <v>520</v>
      </c>
      <c r="D186" s="34"/>
      <c r="E186" s="25" t="n">
        <v>46092</v>
      </c>
      <c r="F186" s="25" t="n">
        <f aca="false">WORKDAY(E186,G186)</f>
        <v>46192</v>
      </c>
      <c r="G186" s="26" t="n">
        <v>72</v>
      </c>
      <c r="H186" s="27" t="n">
        <f aca="false">(GX186* 5)/M186</f>
        <v>5</v>
      </c>
      <c r="I186" s="27" t="n">
        <f aca="false">G186-H186</f>
        <v>67</v>
      </c>
      <c r="J186" s="22" t="s">
        <v>521</v>
      </c>
      <c r="K186" s="36" t="n">
        <v>130000</v>
      </c>
      <c r="L186" s="36" t="n">
        <v>280800</v>
      </c>
      <c r="M186" s="37" t="n">
        <f aca="false">(L186/G186)*5</f>
        <v>19500</v>
      </c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  <c r="DR186" s="30"/>
      <c r="DS186" s="30"/>
      <c r="DT186" s="30"/>
      <c r="DU186" s="30"/>
      <c r="DV186" s="30"/>
      <c r="DW186" s="30"/>
      <c r="DX186" s="30"/>
      <c r="DY186" s="30"/>
      <c r="DZ186" s="30"/>
      <c r="EA186" s="30"/>
      <c r="EB186" s="30"/>
      <c r="EC186" s="30"/>
      <c r="ED186" s="30"/>
      <c r="EE186" s="30"/>
      <c r="EF186" s="30"/>
      <c r="EG186" s="30"/>
      <c r="EH186" s="30"/>
      <c r="EI186" s="30"/>
      <c r="EJ186" s="30"/>
      <c r="EK186" s="30" t="s">
        <v>214</v>
      </c>
      <c r="EL186" s="30"/>
      <c r="EM186" s="30" t="s">
        <v>214</v>
      </c>
      <c r="EN186" s="30" t="s">
        <v>214</v>
      </c>
      <c r="EO186" s="30"/>
      <c r="EP186" s="30"/>
      <c r="EQ186" s="30"/>
      <c r="ER186" s="30"/>
      <c r="ES186" s="30" t="s">
        <v>214</v>
      </c>
      <c r="ET186" s="30"/>
      <c r="EU186" s="30"/>
      <c r="EV186" s="30" t="s">
        <v>214</v>
      </c>
      <c r="EW186" s="30"/>
      <c r="EX186" s="30"/>
      <c r="EY186" s="30"/>
      <c r="EZ186" s="30"/>
      <c r="FA186" s="30"/>
      <c r="FB186" s="30"/>
      <c r="FC186" s="30" t="s">
        <v>214</v>
      </c>
      <c r="FD186" s="30"/>
      <c r="FE186" s="30"/>
      <c r="FF186" s="30"/>
      <c r="FG186" s="30"/>
      <c r="FH186" s="30"/>
      <c r="FI186" s="30"/>
      <c r="FJ186" s="30"/>
      <c r="FK186" s="30"/>
      <c r="FL186" s="30" t="s">
        <v>214</v>
      </c>
      <c r="FM186" s="30"/>
      <c r="FN186" s="30"/>
      <c r="FO186" s="30"/>
      <c r="FP186" s="30"/>
      <c r="FQ186" s="30"/>
      <c r="FR186" s="30"/>
      <c r="FS186" s="30"/>
      <c r="FT186" s="30"/>
      <c r="FU186" s="30"/>
      <c r="FV186" s="30"/>
      <c r="FW186" s="30"/>
      <c r="FX186" s="30"/>
      <c r="FY186" s="30"/>
      <c r="FZ186" s="30"/>
      <c r="GA186" s="30"/>
      <c r="GB186" s="30"/>
      <c r="GC186" s="30"/>
      <c r="GD186" s="30"/>
      <c r="GE186" s="30"/>
      <c r="GF186" s="30"/>
      <c r="GG186" s="30"/>
      <c r="GH186" s="30"/>
      <c r="GI186" s="30"/>
      <c r="GJ186" s="30"/>
      <c r="GK186" s="30"/>
      <c r="GL186" s="30" t="n">
        <v>19500</v>
      </c>
      <c r="GM186" s="30"/>
      <c r="GN186" s="30"/>
      <c r="GO186" s="30"/>
      <c r="GP186" s="30"/>
      <c r="GQ186" s="30"/>
      <c r="GR186" s="30"/>
      <c r="GS186" s="30"/>
      <c r="GT186" s="30"/>
      <c r="GU186" s="30"/>
      <c r="GV186" s="30"/>
      <c r="GW186" s="30"/>
      <c r="GX186" s="30" t="n">
        <f aca="false">SUM(N186:GW186)</f>
        <v>19500</v>
      </c>
      <c r="GY186" s="36" t="n">
        <f aca="false">SUM(L186-GX186)</f>
        <v>261300</v>
      </c>
      <c r="GZ186" s="32" t="n">
        <f aca="false">SUM( H186/5)</f>
        <v>1</v>
      </c>
      <c r="HA186" s="32" t="n">
        <f aca="false">SUM( I186/5)</f>
        <v>13.4</v>
      </c>
      <c r="HB186" s="33" t="n">
        <f aca="false">SUM(GZ186/4)</f>
        <v>0.25</v>
      </c>
      <c r="HC186" s="33" t="n">
        <f aca="false">SUM(HA186/4)</f>
        <v>3.35</v>
      </c>
    </row>
    <row r="187" customFormat="false" ht="28.5" hidden="true" customHeight="true" outlineLevel="0" collapsed="false">
      <c r="A187" s="26" t="n">
        <v>3740</v>
      </c>
      <c r="B187" s="21" t="s">
        <v>519</v>
      </c>
      <c r="C187" s="21" t="s">
        <v>520</v>
      </c>
      <c r="D187" s="34"/>
      <c r="E187" s="25" t="n">
        <v>46136</v>
      </c>
      <c r="F187" s="25" t="n">
        <f aca="false">WORKDAY(E187,G187)</f>
        <v>46238</v>
      </c>
      <c r="G187" s="26" t="n">
        <v>72</v>
      </c>
      <c r="H187" s="27" t="n">
        <f aca="false">(GX187* 5)/M187</f>
        <v>0</v>
      </c>
      <c r="I187" s="27" t="n">
        <f aca="false">G187-H187</f>
        <v>72</v>
      </c>
      <c r="J187" s="22" t="s">
        <v>381</v>
      </c>
      <c r="K187" s="31" t="n">
        <v>50000</v>
      </c>
      <c r="L187" s="31" t="n">
        <v>108000</v>
      </c>
      <c r="M187" s="37" t="n">
        <f aca="false">(L187/G187)*5</f>
        <v>7500</v>
      </c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  <c r="DX187" s="30"/>
      <c r="DY187" s="30"/>
      <c r="DZ187" s="30"/>
      <c r="EA187" s="30"/>
      <c r="EB187" s="30"/>
      <c r="EC187" s="30"/>
      <c r="ED187" s="30"/>
      <c r="EE187" s="30"/>
      <c r="EF187" s="30"/>
      <c r="EG187" s="30"/>
      <c r="EH187" s="30"/>
      <c r="EI187" s="30"/>
      <c r="EJ187" s="30"/>
      <c r="EK187" s="30" t="s">
        <v>214</v>
      </c>
      <c r="EL187" s="30"/>
      <c r="EM187" s="30" t="s">
        <v>214</v>
      </c>
      <c r="EN187" s="30" t="s">
        <v>214</v>
      </c>
      <c r="EO187" s="30"/>
      <c r="EP187" s="30"/>
      <c r="EQ187" s="30"/>
      <c r="ER187" s="30"/>
      <c r="ES187" s="30" t="s">
        <v>214</v>
      </c>
      <c r="ET187" s="30"/>
      <c r="EU187" s="30"/>
      <c r="EV187" s="30" t="s">
        <v>214</v>
      </c>
      <c r="EW187" s="30"/>
      <c r="EX187" s="30"/>
      <c r="EY187" s="30"/>
      <c r="EZ187" s="30"/>
      <c r="FA187" s="30"/>
      <c r="FB187" s="30"/>
      <c r="FC187" s="30" t="s">
        <v>214</v>
      </c>
      <c r="FD187" s="30"/>
      <c r="FE187" s="30"/>
      <c r="FF187" s="30"/>
      <c r="FG187" s="30"/>
      <c r="FH187" s="30"/>
      <c r="FI187" s="30"/>
      <c r="FJ187" s="30"/>
      <c r="FK187" s="30"/>
      <c r="FL187" s="30" t="s">
        <v>214</v>
      </c>
      <c r="FM187" s="30"/>
      <c r="FN187" s="30"/>
      <c r="FO187" s="30"/>
      <c r="FP187" s="30"/>
      <c r="FQ187" s="30"/>
      <c r="FR187" s="30"/>
      <c r="FS187" s="30"/>
      <c r="FT187" s="30"/>
      <c r="FU187" s="30"/>
      <c r="FV187" s="30"/>
      <c r="FW187" s="30"/>
      <c r="FX187" s="30"/>
      <c r="FY187" s="30"/>
      <c r="FZ187" s="30"/>
      <c r="GA187" s="30"/>
      <c r="GB187" s="30"/>
      <c r="GC187" s="30"/>
      <c r="GD187" s="30"/>
      <c r="GE187" s="30"/>
      <c r="GF187" s="30"/>
      <c r="GG187" s="30"/>
      <c r="GH187" s="30"/>
      <c r="GI187" s="30"/>
      <c r="GJ187" s="30"/>
      <c r="GK187" s="30"/>
      <c r="GL187" s="30"/>
      <c r="GM187" s="30"/>
      <c r="GN187" s="30"/>
      <c r="GO187" s="30"/>
      <c r="GP187" s="30"/>
      <c r="GQ187" s="30"/>
      <c r="GR187" s="30"/>
      <c r="GS187" s="30"/>
      <c r="GT187" s="30"/>
      <c r="GU187" s="30"/>
      <c r="GV187" s="30"/>
      <c r="GW187" s="30"/>
      <c r="GX187" s="30" t="n">
        <f aca="false">SUM(N187:GW187)</f>
        <v>0</v>
      </c>
      <c r="GY187" s="36" t="n">
        <f aca="false">SUM(L187-GX187)</f>
        <v>108000</v>
      </c>
      <c r="GZ187" s="32" t="n">
        <f aca="false">SUM( H187/5)</f>
        <v>0</v>
      </c>
      <c r="HA187" s="32" t="n">
        <f aca="false">SUM( I187/5)</f>
        <v>14.4</v>
      </c>
      <c r="HB187" s="33" t="n">
        <f aca="false">SUM(GZ187/4)</f>
        <v>0</v>
      </c>
      <c r="HC187" s="33" t="n">
        <f aca="false">SUM(HA187/4)</f>
        <v>3.6</v>
      </c>
    </row>
    <row r="188" customFormat="false" ht="28.5" hidden="true" customHeight="true" outlineLevel="0" collapsed="false">
      <c r="A188" s="26" t="n">
        <v>3614</v>
      </c>
      <c r="B188" s="34" t="s">
        <v>522</v>
      </c>
      <c r="C188" s="34" t="s">
        <v>523</v>
      </c>
      <c r="D188" s="34"/>
      <c r="E188" s="25" t="n">
        <v>46045</v>
      </c>
      <c r="F188" s="25" t="n">
        <f aca="false">WORKDAY(E188,G188)</f>
        <v>46147</v>
      </c>
      <c r="G188" s="26" t="n">
        <v>72</v>
      </c>
      <c r="H188" s="27" t="n">
        <f aca="false">(GX188* 5)/M188</f>
        <v>47.2</v>
      </c>
      <c r="I188" s="27" t="n">
        <f aca="false">G188-H188</f>
        <v>24.8</v>
      </c>
      <c r="J188" s="34" t="s">
        <v>242</v>
      </c>
      <c r="K188" s="36" t="n">
        <v>250000</v>
      </c>
      <c r="L188" s="36" t="n">
        <v>540000</v>
      </c>
      <c r="M188" s="29" t="n">
        <f aca="false">(L188/G188)*5</f>
        <v>37500</v>
      </c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30"/>
      <c r="DR188" s="30"/>
      <c r="DS188" s="30"/>
      <c r="DT188" s="30"/>
      <c r="DU188" s="30"/>
      <c r="DV188" s="30"/>
      <c r="DW188" s="30"/>
      <c r="DX188" s="30"/>
      <c r="DY188" s="30"/>
      <c r="DZ188" s="30"/>
      <c r="EA188" s="30"/>
      <c r="EB188" s="30"/>
      <c r="EC188" s="30"/>
      <c r="ED188" s="30"/>
      <c r="EE188" s="30"/>
      <c r="EF188" s="30"/>
      <c r="EG188" s="30"/>
      <c r="EH188" s="30"/>
      <c r="EI188" s="30"/>
      <c r="EJ188" s="30"/>
      <c r="EK188" s="30" t="s">
        <v>214</v>
      </c>
      <c r="EL188" s="30"/>
      <c r="EM188" s="30" t="s">
        <v>214</v>
      </c>
      <c r="EN188" s="30" t="s">
        <v>214</v>
      </c>
      <c r="EO188" s="30"/>
      <c r="EP188" s="30"/>
      <c r="EQ188" s="30"/>
      <c r="ER188" s="30"/>
      <c r="ES188" s="30" t="s">
        <v>214</v>
      </c>
      <c r="ET188" s="30"/>
      <c r="EU188" s="30"/>
      <c r="EV188" s="30" t="s">
        <v>214</v>
      </c>
      <c r="EW188" s="30"/>
      <c r="EX188" s="30"/>
      <c r="EY188" s="30"/>
      <c r="EZ188" s="30"/>
      <c r="FA188" s="30"/>
      <c r="FB188" s="30"/>
      <c r="FC188" s="30" t="s">
        <v>214</v>
      </c>
      <c r="FD188" s="30"/>
      <c r="FE188" s="30"/>
      <c r="FF188" s="30"/>
      <c r="FG188" s="30"/>
      <c r="FH188" s="30"/>
      <c r="FI188" s="30"/>
      <c r="FJ188" s="30"/>
      <c r="FK188" s="30"/>
      <c r="FL188" s="30" t="s">
        <v>214</v>
      </c>
      <c r="FM188" s="30"/>
      <c r="FN188" s="30"/>
      <c r="FO188" s="30"/>
      <c r="FP188" s="30"/>
      <c r="FQ188" s="30"/>
      <c r="FR188" s="30"/>
      <c r="FS188" s="30"/>
      <c r="FT188" s="30"/>
      <c r="FU188" s="30"/>
      <c r="FV188" s="30"/>
      <c r="FW188" s="30"/>
      <c r="FX188" s="30"/>
      <c r="FY188" s="30"/>
      <c r="FZ188" s="30"/>
      <c r="GA188" s="30"/>
      <c r="GB188" s="30" t="n">
        <v>37500</v>
      </c>
      <c r="GC188" s="30" t="n">
        <v>37500</v>
      </c>
      <c r="GD188" s="30"/>
      <c r="GE188" s="30" t="n">
        <v>37500</v>
      </c>
      <c r="GF188" s="30" t="n">
        <v>37500</v>
      </c>
      <c r="GG188" s="30"/>
      <c r="GH188" s="30"/>
      <c r="GI188" s="30"/>
      <c r="GJ188" s="30" t="n">
        <v>37500</v>
      </c>
      <c r="GK188" s="30"/>
      <c r="GL188" s="30"/>
      <c r="GM188" s="30"/>
      <c r="GN188" s="30" t="n">
        <v>37500</v>
      </c>
      <c r="GO188" s="30"/>
      <c r="GP188" s="30"/>
      <c r="GQ188" s="30" t="n">
        <v>46000</v>
      </c>
      <c r="GR188" s="30" t="n">
        <v>30000</v>
      </c>
      <c r="GS188" s="30"/>
      <c r="GT188" s="30" t="n">
        <v>20000</v>
      </c>
      <c r="GU188" s="30" t="n">
        <v>14000</v>
      </c>
      <c r="GV188" s="30" t="n">
        <v>19000</v>
      </c>
      <c r="GW188" s="30"/>
      <c r="GX188" s="30" t="n">
        <f aca="false">SUM(N188:GW188)</f>
        <v>354000</v>
      </c>
      <c r="GY188" s="36" t="n">
        <f aca="false">SUM(L188-GX188)</f>
        <v>186000</v>
      </c>
      <c r="GZ188" s="32" t="n">
        <f aca="false">SUM( H188/5)</f>
        <v>9.44</v>
      </c>
      <c r="HA188" s="32" t="n">
        <f aca="false">SUM( I188/5)</f>
        <v>4.96</v>
      </c>
      <c r="HB188" s="33" t="n">
        <f aca="false">SUM(GZ188/4)</f>
        <v>2.36</v>
      </c>
      <c r="HC188" s="33" t="n">
        <f aca="false">SUM(HA188/4)</f>
        <v>1.24</v>
      </c>
    </row>
    <row r="189" customFormat="false" ht="28.5" hidden="true" customHeight="true" outlineLevel="0" collapsed="false">
      <c r="A189" s="26" t="n">
        <v>3560</v>
      </c>
      <c r="B189" s="21" t="s">
        <v>524</v>
      </c>
      <c r="C189" s="21" t="s">
        <v>525</v>
      </c>
      <c r="D189" s="34" t="s">
        <v>526</v>
      </c>
      <c r="E189" s="25" t="n">
        <v>45636</v>
      </c>
      <c r="F189" s="25" t="n">
        <f aca="false">WORKDAY(E189,G189)</f>
        <v>45790</v>
      </c>
      <c r="G189" s="26" t="n">
        <v>110</v>
      </c>
      <c r="H189" s="27" t="n">
        <f aca="false">(GX189* 5)/M189</f>
        <v>85.5833333333333</v>
      </c>
      <c r="I189" s="27" t="n">
        <f aca="false">G189-H189</f>
        <v>24.4166666666667</v>
      </c>
      <c r="J189" s="22" t="s">
        <v>446</v>
      </c>
      <c r="K189" s="36" t="n">
        <v>300000</v>
      </c>
      <c r="L189" s="36" t="n">
        <v>792000</v>
      </c>
      <c r="M189" s="29" t="n">
        <f aca="false">(L189/G189)*5</f>
        <v>36000</v>
      </c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 t="n">
        <v>36000</v>
      </c>
      <c r="DV189" s="30" t="n">
        <v>34000</v>
      </c>
      <c r="DW189" s="30" t="n">
        <v>30000</v>
      </c>
      <c r="DX189" s="30" t="n">
        <v>10000</v>
      </c>
      <c r="DY189" s="30" t="n">
        <v>20000</v>
      </c>
      <c r="DZ189" s="30" t="n">
        <v>36000</v>
      </c>
      <c r="EA189" s="30" t="n">
        <v>36000</v>
      </c>
      <c r="EB189" s="30" t="n">
        <v>36000</v>
      </c>
      <c r="EC189" s="30"/>
      <c r="ED189" s="30" t="n">
        <v>36000</v>
      </c>
      <c r="EE189" s="30" t="n">
        <v>36000</v>
      </c>
      <c r="EF189" s="30"/>
      <c r="EG189" s="30"/>
      <c r="EH189" s="30" t="n">
        <v>18000</v>
      </c>
      <c r="EI189" s="30"/>
      <c r="EJ189" s="30" t="n">
        <v>15200</v>
      </c>
      <c r="EK189" s="30" t="n">
        <v>50000</v>
      </c>
      <c r="EL189" s="30" t="n">
        <v>17000</v>
      </c>
      <c r="EM189" s="30"/>
      <c r="EN189" s="30"/>
      <c r="EO189" s="30"/>
      <c r="EP189" s="30"/>
      <c r="EQ189" s="30" t="n">
        <v>66000</v>
      </c>
      <c r="ER189" s="30"/>
      <c r="ES189" s="30"/>
      <c r="ET189" s="30"/>
      <c r="EU189" s="30"/>
      <c r="EV189" s="30"/>
      <c r="EW189" s="30"/>
      <c r="EX189" s="30" t="n">
        <v>20000</v>
      </c>
      <c r="EY189" s="30"/>
      <c r="EZ189" s="30"/>
      <c r="FA189" s="30" t="n">
        <v>20000</v>
      </c>
      <c r="FB189" s="30"/>
      <c r="FC189" s="30"/>
      <c r="FD189" s="30"/>
      <c r="FE189" s="30"/>
      <c r="FF189" s="30"/>
      <c r="FG189" s="30"/>
      <c r="FH189" s="30"/>
      <c r="FI189" s="30"/>
      <c r="FJ189" s="30"/>
      <c r="FK189" s="30"/>
      <c r="FL189" s="30"/>
      <c r="FM189" s="30"/>
      <c r="FN189" s="30"/>
      <c r="FO189" s="30"/>
      <c r="FP189" s="30"/>
      <c r="FQ189" s="30"/>
      <c r="FR189" s="30"/>
      <c r="FS189" s="30"/>
      <c r="FT189" s="30"/>
      <c r="FU189" s="30"/>
      <c r="FV189" s="30"/>
      <c r="FW189" s="30"/>
      <c r="FX189" s="30"/>
      <c r="FY189" s="30"/>
      <c r="FZ189" s="30"/>
      <c r="GA189" s="30"/>
      <c r="GB189" s="30"/>
      <c r="GC189" s="30"/>
      <c r="GD189" s="30"/>
      <c r="GE189" s="30"/>
      <c r="GF189" s="30"/>
      <c r="GG189" s="30"/>
      <c r="GH189" s="30"/>
      <c r="GI189" s="30"/>
      <c r="GJ189" s="30"/>
      <c r="GK189" s="30"/>
      <c r="GL189" s="30"/>
      <c r="GM189" s="30"/>
      <c r="GN189" s="30"/>
      <c r="GO189" s="30"/>
      <c r="GP189" s="30"/>
      <c r="GQ189" s="30"/>
      <c r="GR189" s="30" t="n">
        <v>100000</v>
      </c>
      <c r="GS189" s="30"/>
      <c r="GT189" s="30"/>
      <c r="GU189" s="30"/>
      <c r="GV189" s="30"/>
      <c r="GW189" s="30"/>
      <c r="GX189" s="30" t="n">
        <f aca="false">SUM(N189:GW189)</f>
        <v>616200</v>
      </c>
      <c r="GY189" s="36" t="n">
        <f aca="false">SUM(L189-GX189)</f>
        <v>175800</v>
      </c>
      <c r="GZ189" s="32" t="n">
        <f aca="false">SUM( H189/5)</f>
        <v>17.1166666666667</v>
      </c>
      <c r="HA189" s="32" t="n">
        <f aca="false">SUM( I189/5)</f>
        <v>4.88333333333334</v>
      </c>
      <c r="HB189" s="33" t="n">
        <f aca="false">SUM(GZ189/4)</f>
        <v>4.27916666666667</v>
      </c>
      <c r="HC189" s="33" t="n">
        <f aca="false">SUM(HA189/4)</f>
        <v>1.22083333333333</v>
      </c>
    </row>
    <row r="190" customFormat="false" ht="28.5" hidden="true" customHeight="true" outlineLevel="0" collapsed="false">
      <c r="A190" s="26" t="n">
        <v>3570</v>
      </c>
      <c r="B190" s="21" t="s">
        <v>524</v>
      </c>
      <c r="C190" s="21" t="s">
        <v>527</v>
      </c>
      <c r="D190" s="34" t="s">
        <v>528</v>
      </c>
      <c r="E190" s="25" t="n">
        <v>45698</v>
      </c>
      <c r="F190" s="25" t="n">
        <f aca="false">WORKDAY(E190,G190)</f>
        <v>45978</v>
      </c>
      <c r="G190" s="26" t="n">
        <v>200</v>
      </c>
      <c r="H190" s="27" t="n">
        <f aca="false">(GX190* 5)/M190</f>
        <v>49.6</v>
      </c>
      <c r="I190" s="27" t="n">
        <f aca="false">G190-H190</f>
        <v>150.4</v>
      </c>
      <c r="J190" s="49" t="s">
        <v>529</v>
      </c>
      <c r="K190" s="36" t="n">
        <v>500000</v>
      </c>
      <c r="L190" s="36" t="n">
        <v>1500000</v>
      </c>
      <c r="M190" s="29" t="n">
        <f aca="false">(L190/G190)*5</f>
        <v>37500</v>
      </c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30"/>
      <c r="DR190" s="30"/>
      <c r="DS190" s="30"/>
      <c r="DT190" s="30"/>
      <c r="DU190" s="30"/>
      <c r="DV190" s="30"/>
      <c r="DW190" s="30"/>
      <c r="DX190" s="30"/>
      <c r="DY190" s="30"/>
      <c r="DZ190" s="30"/>
      <c r="EA190" s="30"/>
      <c r="EB190" s="30"/>
      <c r="EC190" s="30"/>
      <c r="ED190" s="30" t="n">
        <v>45000</v>
      </c>
      <c r="EE190" s="30" t="n">
        <v>30000</v>
      </c>
      <c r="EF190" s="30"/>
      <c r="EG190" s="30" t="n">
        <v>69000</v>
      </c>
      <c r="EH190" s="30" t="n">
        <v>6000</v>
      </c>
      <c r="EI190" s="30" t="n">
        <v>60000</v>
      </c>
      <c r="EJ190" s="30"/>
      <c r="EK190" s="30"/>
      <c r="EL190" s="30"/>
      <c r="EM190" s="30" t="n">
        <v>31400</v>
      </c>
      <c r="EN190" s="30"/>
      <c r="EO190" s="30" t="n">
        <v>55600</v>
      </c>
      <c r="EP190" s="30"/>
      <c r="EQ190" s="30" t="s">
        <v>530</v>
      </c>
      <c r="ER190" s="30" t="n">
        <v>35000</v>
      </c>
      <c r="ES190" s="30" t="n">
        <v>40000</v>
      </c>
      <c r="ET190" s="30"/>
      <c r="EU190" s="30"/>
      <c r="EV190" s="30"/>
      <c r="EW190" s="30"/>
      <c r="EX190" s="30"/>
      <c r="EY190" s="30"/>
      <c r="EZ190" s="30"/>
      <c r="FA190" s="30"/>
      <c r="FB190" s="30"/>
      <c r="FC190" s="30"/>
      <c r="FD190" s="30"/>
      <c r="FE190" s="30"/>
      <c r="FF190" s="30"/>
      <c r="FG190" s="30"/>
      <c r="FH190" s="30"/>
      <c r="FI190" s="30"/>
      <c r="FJ190" s="30"/>
      <c r="FK190" s="30"/>
      <c r="FL190" s="30"/>
      <c r="FM190" s="30"/>
      <c r="FN190" s="30"/>
      <c r="FO190" s="30"/>
      <c r="FP190" s="30"/>
      <c r="FQ190" s="30"/>
      <c r="FR190" s="30"/>
      <c r="FS190" s="30"/>
      <c r="FT190" s="30"/>
      <c r="FU190" s="30"/>
      <c r="FV190" s="30"/>
      <c r="FW190" s="30"/>
      <c r="FX190" s="30"/>
      <c r="FY190" s="30"/>
      <c r="FZ190" s="30"/>
      <c r="GA190" s="30"/>
      <c r="GB190" s="30"/>
      <c r="GC190" s="30"/>
      <c r="GD190" s="30"/>
      <c r="GE190" s="30"/>
      <c r="GF190" s="30"/>
      <c r="GG190" s="30"/>
      <c r="GH190" s="30"/>
      <c r="GI190" s="30"/>
      <c r="GJ190" s="30"/>
      <c r="GK190" s="30"/>
      <c r="GL190" s="30"/>
      <c r="GM190" s="30"/>
      <c r="GN190" s="30"/>
      <c r="GO190" s="30"/>
      <c r="GP190" s="30"/>
      <c r="GQ190" s="30"/>
      <c r="GR190" s="30"/>
      <c r="GS190" s="30"/>
      <c r="GT190" s="30"/>
      <c r="GU190" s="30"/>
      <c r="GV190" s="30"/>
      <c r="GW190" s="30"/>
      <c r="GX190" s="30" t="n">
        <f aca="false">SUM(N190:GW190)</f>
        <v>372000</v>
      </c>
      <c r="GY190" s="36" t="n">
        <f aca="false">SUM(L190-GX190)</f>
        <v>1128000</v>
      </c>
      <c r="GZ190" s="32" t="n">
        <f aca="false">SUM( H190/5)</f>
        <v>9.92</v>
      </c>
      <c r="HA190" s="32" t="n">
        <f aca="false">SUM( I190/5)</f>
        <v>30.08</v>
      </c>
      <c r="HB190" s="33" t="n">
        <f aca="false">SUM(GZ190/4)</f>
        <v>2.48</v>
      </c>
      <c r="HC190" s="33" t="n">
        <f aca="false">SUM(HA190/4)</f>
        <v>7.52</v>
      </c>
    </row>
    <row r="191" customFormat="false" ht="28.5" hidden="true" customHeight="true" outlineLevel="0" collapsed="false">
      <c r="A191" s="26" t="n">
        <v>3812</v>
      </c>
      <c r="B191" s="22" t="s">
        <v>531</v>
      </c>
      <c r="C191" s="22" t="s">
        <v>532</v>
      </c>
      <c r="D191" s="34"/>
      <c r="E191" s="25" t="n">
        <v>46192</v>
      </c>
      <c r="F191" s="25" t="n">
        <f aca="false">WORKDAY(E191,G191)</f>
        <v>46304</v>
      </c>
      <c r="G191" s="26" t="n">
        <v>80</v>
      </c>
      <c r="H191" s="27" t="n">
        <f aca="false">(GX191* 5)/M191</f>
        <v>0</v>
      </c>
      <c r="I191" s="27" t="n">
        <f aca="false">G191-H191</f>
        <v>80</v>
      </c>
      <c r="J191" s="38" t="s">
        <v>533</v>
      </c>
      <c r="K191" s="28" t="n">
        <v>40000</v>
      </c>
      <c r="L191" s="28" t="n">
        <v>86400</v>
      </c>
      <c r="M191" s="29" t="n">
        <f aca="false">(L191/G191)*5</f>
        <v>5400</v>
      </c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  <c r="DX191" s="30"/>
      <c r="DY191" s="30"/>
      <c r="DZ191" s="30"/>
      <c r="EA191" s="30"/>
      <c r="EB191" s="30"/>
      <c r="EC191" s="30"/>
      <c r="ED191" s="30"/>
      <c r="EE191" s="30"/>
      <c r="EF191" s="30"/>
      <c r="EG191" s="30"/>
      <c r="EH191" s="30"/>
      <c r="EI191" s="30"/>
      <c r="EJ191" s="30"/>
      <c r="EK191" s="30" t="s">
        <v>214</v>
      </c>
      <c r="EL191" s="30"/>
      <c r="EM191" s="30" t="s">
        <v>214</v>
      </c>
      <c r="EN191" s="30" t="s">
        <v>214</v>
      </c>
      <c r="EO191" s="30"/>
      <c r="EP191" s="30"/>
      <c r="EQ191" s="30"/>
      <c r="ER191" s="30"/>
      <c r="ES191" s="30" t="s">
        <v>214</v>
      </c>
      <c r="ET191" s="30"/>
      <c r="EU191" s="30"/>
      <c r="EV191" s="30" t="s">
        <v>214</v>
      </c>
      <c r="EW191" s="30"/>
      <c r="EX191" s="30"/>
      <c r="EY191" s="30"/>
      <c r="EZ191" s="30"/>
      <c r="FA191" s="30"/>
      <c r="FB191" s="30"/>
      <c r="FC191" s="30" t="s">
        <v>214</v>
      </c>
      <c r="FD191" s="30"/>
      <c r="FE191" s="30"/>
      <c r="FF191" s="30"/>
      <c r="FG191" s="30"/>
      <c r="FH191" s="30"/>
      <c r="FI191" s="30"/>
      <c r="FJ191" s="30"/>
      <c r="FK191" s="30"/>
      <c r="FL191" s="30" t="s">
        <v>214</v>
      </c>
      <c r="FM191" s="30"/>
      <c r="FN191" s="30"/>
      <c r="FO191" s="30"/>
      <c r="FP191" s="30"/>
      <c r="FQ191" s="30"/>
      <c r="FR191" s="30"/>
      <c r="FS191" s="30"/>
      <c r="FT191" s="30"/>
      <c r="FU191" s="30"/>
      <c r="FV191" s="30"/>
      <c r="FW191" s="30"/>
      <c r="FX191" s="30"/>
      <c r="FY191" s="30"/>
      <c r="FZ191" s="30"/>
      <c r="GA191" s="30"/>
      <c r="GB191" s="30"/>
      <c r="GC191" s="30"/>
      <c r="GD191" s="30"/>
      <c r="GE191" s="30"/>
      <c r="GF191" s="30"/>
      <c r="GG191" s="30"/>
      <c r="GH191" s="30"/>
      <c r="GI191" s="30"/>
      <c r="GJ191" s="30"/>
      <c r="GK191" s="30"/>
      <c r="GL191" s="30"/>
      <c r="GM191" s="30"/>
      <c r="GN191" s="30"/>
      <c r="GO191" s="30"/>
      <c r="GP191" s="30"/>
      <c r="GQ191" s="30"/>
      <c r="GR191" s="30"/>
      <c r="GS191" s="30"/>
      <c r="GT191" s="30"/>
      <c r="GU191" s="30"/>
      <c r="GV191" s="30"/>
      <c r="GW191" s="30"/>
      <c r="GX191" s="30" t="n">
        <f aca="false">SUM(N191:GW191)</f>
        <v>0</v>
      </c>
      <c r="GY191" s="36" t="n">
        <f aca="false">SUM(L191-GX191)</f>
        <v>86400</v>
      </c>
      <c r="GZ191" s="32" t="n">
        <f aca="false">SUM( H191/5)</f>
        <v>0</v>
      </c>
      <c r="HA191" s="32" t="n">
        <f aca="false">SUM( I191/5)</f>
        <v>16</v>
      </c>
      <c r="HB191" s="33" t="n">
        <f aca="false">SUM(GZ191/4)</f>
        <v>0</v>
      </c>
      <c r="HC191" s="33" t="n">
        <f aca="false">SUM(HA191/4)</f>
        <v>4</v>
      </c>
    </row>
    <row r="192" customFormat="false" ht="28.5" hidden="true" customHeight="true" outlineLevel="0" collapsed="false">
      <c r="A192" s="26" t="n">
        <v>3231</v>
      </c>
      <c r="B192" s="21" t="s">
        <v>534</v>
      </c>
      <c r="C192" s="21" t="s">
        <v>535</v>
      </c>
      <c r="D192" s="34"/>
      <c r="E192" s="25" t="n">
        <v>45544</v>
      </c>
      <c r="F192" s="25" t="n">
        <f aca="false">WORKDAY(E192,G192)</f>
        <v>45768</v>
      </c>
      <c r="G192" s="26" t="n">
        <v>160</v>
      </c>
      <c r="H192" s="27" t="n">
        <f aca="false">(GX192* 5)/M192</f>
        <v>160</v>
      </c>
      <c r="I192" s="27" t="n">
        <f aca="false">G192-H192</f>
        <v>0</v>
      </c>
      <c r="J192" s="35" t="s">
        <v>536</v>
      </c>
      <c r="K192" s="36" t="n">
        <v>400000</v>
      </c>
      <c r="L192" s="36" t="n">
        <v>1200000</v>
      </c>
      <c r="M192" s="29" t="n">
        <f aca="false">(L192/G192)*5</f>
        <v>37500</v>
      </c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30" t="n">
        <v>150000</v>
      </c>
      <c r="DR192" s="30"/>
      <c r="DS192" s="30"/>
      <c r="DT192" s="30"/>
      <c r="DU192" s="30"/>
      <c r="DV192" s="30"/>
      <c r="DW192" s="30"/>
      <c r="DX192" s="30"/>
      <c r="DY192" s="30"/>
      <c r="DZ192" s="30"/>
      <c r="EA192" s="30"/>
      <c r="EB192" s="30"/>
      <c r="EC192" s="30"/>
      <c r="ED192" s="30"/>
      <c r="EE192" s="30"/>
      <c r="EF192" s="30"/>
      <c r="EG192" s="30"/>
      <c r="EH192" s="30"/>
      <c r="EI192" s="30"/>
      <c r="EJ192" s="30"/>
      <c r="EK192" s="30"/>
      <c r="EL192" s="30"/>
      <c r="EM192" s="30"/>
      <c r="EN192" s="30"/>
      <c r="EO192" s="30"/>
      <c r="EP192" s="30"/>
      <c r="EQ192" s="30"/>
      <c r="ER192" s="30"/>
      <c r="ES192" s="30"/>
      <c r="ET192" s="30"/>
      <c r="EU192" s="30"/>
      <c r="EV192" s="30"/>
      <c r="EW192" s="30"/>
      <c r="EX192" s="30"/>
      <c r="EY192" s="30"/>
      <c r="EZ192" s="30"/>
      <c r="FA192" s="30"/>
      <c r="FB192" s="30"/>
      <c r="FC192" s="30"/>
      <c r="FD192" s="30"/>
      <c r="FE192" s="30"/>
      <c r="FF192" s="30"/>
      <c r="FG192" s="30"/>
      <c r="FH192" s="30" t="n">
        <v>100000</v>
      </c>
      <c r="FI192" s="30"/>
      <c r="FJ192" s="30"/>
      <c r="FK192" s="30"/>
      <c r="FL192" s="30"/>
      <c r="FM192" s="30"/>
      <c r="FN192" s="30"/>
      <c r="FO192" s="30"/>
      <c r="FP192" s="30"/>
      <c r="FQ192" s="30" t="n">
        <v>100000</v>
      </c>
      <c r="FR192" s="30"/>
      <c r="FS192" s="30"/>
      <c r="FT192" s="30"/>
      <c r="FU192" s="30"/>
      <c r="FV192" s="30"/>
      <c r="FW192" s="30"/>
      <c r="FX192" s="30"/>
      <c r="FY192" s="30" t="n">
        <v>150000</v>
      </c>
      <c r="FZ192" s="30"/>
      <c r="GA192" s="30"/>
      <c r="GB192" s="30"/>
      <c r="GC192" s="30"/>
      <c r="GD192" s="30"/>
      <c r="GE192" s="30"/>
      <c r="GF192" s="30"/>
      <c r="GG192" s="30" t="n">
        <v>150000</v>
      </c>
      <c r="GH192" s="30"/>
      <c r="GI192" s="30"/>
      <c r="GJ192" s="30"/>
      <c r="GK192" s="30"/>
      <c r="GL192" s="30"/>
      <c r="GM192" s="30"/>
      <c r="GN192" s="30"/>
      <c r="GO192" s="30" t="n">
        <v>150000</v>
      </c>
      <c r="GP192" s="30"/>
      <c r="GQ192" s="30"/>
      <c r="GR192" s="30"/>
      <c r="GS192" s="30"/>
      <c r="GT192" s="30" t="n">
        <v>200000</v>
      </c>
      <c r="GU192" s="30"/>
      <c r="GV192" s="30"/>
      <c r="GW192" s="30" t="n">
        <v>200000</v>
      </c>
      <c r="GX192" s="30" t="n">
        <f aca="false">SUM(N192:GW192)</f>
        <v>1200000</v>
      </c>
      <c r="GY192" s="36" t="n">
        <f aca="false">SUM(L192-GX192)</f>
        <v>0</v>
      </c>
      <c r="GZ192" s="32" t="n">
        <f aca="false">SUM( H192/5)</f>
        <v>32</v>
      </c>
      <c r="HA192" s="32" t="n">
        <f aca="false">SUM( I192/5)</f>
        <v>0</v>
      </c>
      <c r="HB192" s="33" t="n">
        <f aca="false">SUM(GZ192/4)</f>
        <v>8</v>
      </c>
      <c r="HC192" s="33" t="n">
        <f aca="false">SUM(HA192/4)</f>
        <v>0</v>
      </c>
    </row>
    <row r="193" customFormat="false" ht="28.5" hidden="true" customHeight="true" outlineLevel="0" collapsed="false">
      <c r="A193" s="26" t="n">
        <v>3604</v>
      </c>
      <c r="B193" s="34" t="s">
        <v>537</v>
      </c>
      <c r="C193" s="21"/>
      <c r="D193" s="34"/>
      <c r="E193" s="25" t="n">
        <v>46036</v>
      </c>
      <c r="F193" s="25" t="n">
        <f aca="false">WORKDAY(E193,G193)</f>
        <v>46064</v>
      </c>
      <c r="G193" s="26" t="n">
        <v>20</v>
      </c>
      <c r="H193" s="27" t="e">
        <f aca="false">(GX193* 5)/M193</f>
        <v>#DIV/0!</v>
      </c>
      <c r="I193" s="27" t="e">
        <f aca="false">G193-H193</f>
        <v>#DIV/0!</v>
      </c>
      <c r="J193" s="35" t="s">
        <v>538</v>
      </c>
      <c r="K193" s="36" t="n">
        <v>224000</v>
      </c>
      <c r="L193" s="36" t="n">
        <v>336000</v>
      </c>
      <c r="M193" s="29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30"/>
      <c r="DO193" s="30"/>
      <c r="DP193" s="30"/>
      <c r="DQ193" s="30"/>
      <c r="DR193" s="30"/>
      <c r="DS193" s="30"/>
      <c r="DT193" s="30"/>
      <c r="DU193" s="30"/>
      <c r="DV193" s="30"/>
      <c r="DW193" s="30"/>
      <c r="DX193" s="30"/>
      <c r="DY193" s="30"/>
      <c r="DZ193" s="30"/>
      <c r="EA193" s="30"/>
      <c r="EB193" s="30"/>
      <c r="EC193" s="30"/>
      <c r="ED193" s="30"/>
      <c r="EE193" s="30"/>
      <c r="EF193" s="30"/>
      <c r="EG193" s="30"/>
      <c r="EH193" s="30"/>
      <c r="EI193" s="30"/>
      <c r="EJ193" s="30"/>
      <c r="EK193" s="30" t="s">
        <v>214</v>
      </c>
      <c r="EL193" s="30"/>
      <c r="EM193" s="30" t="s">
        <v>214</v>
      </c>
      <c r="EN193" s="30" t="s">
        <v>214</v>
      </c>
      <c r="EO193" s="30"/>
      <c r="EP193" s="30"/>
      <c r="EQ193" s="30"/>
      <c r="ER193" s="30"/>
      <c r="ES193" s="30" t="s">
        <v>214</v>
      </c>
      <c r="ET193" s="30"/>
      <c r="EU193" s="30"/>
      <c r="EV193" s="30" t="s">
        <v>214</v>
      </c>
      <c r="EW193" s="30"/>
      <c r="EX193" s="30"/>
      <c r="EY193" s="30"/>
      <c r="EZ193" s="30"/>
      <c r="FA193" s="30"/>
      <c r="FB193" s="30"/>
      <c r="FC193" s="30" t="s">
        <v>214</v>
      </c>
      <c r="FD193" s="30"/>
      <c r="FE193" s="30"/>
      <c r="FF193" s="30"/>
      <c r="FG193" s="30"/>
      <c r="FH193" s="30"/>
      <c r="FI193" s="30"/>
      <c r="FJ193" s="30"/>
      <c r="FK193" s="30"/>
      <c r="FL193" s="30" t="s">
        <v>214</v>
      </c>
      <c r="FM193" s="30"/>
      <c r="FN193" s="30"/>
      <c r="FO193" s="30"/>
      <c r="FP193" s="30"/>
      <c r="FQ193" s="30"/>
      <c r="FR193" s="30"/>
      <c r="FS193" s="30"/>
      <c r="FT193" s="30"/>
      <c r="FU193" s="30"/>
      <c r="FV193" s="30"/>
      <c r="FW193" s="30"/>
      <c r="FX193" s="30"/>
      <c r="FY193" s="30"/>
      <c r="FZ193" s="30"/>
      <c r="GA193" s="30"/>
      <c r="GB193" s="30"/>
      <c r="GC193" s="30"/>
      <c r="GD193" s="30"/>
      <c r="GE193" s="30"/>
      <c r="GF193" s="30"/>
      <c r="GG193" s="30"/>
      <c r="GH193" s="30"/>
      <c r="GI193" s="30"/>
      <c r="GJ193" s="30"/>
      <c r="GK193" s="30"/>
      <c r="GL193" s="30"/>
      <c r="GM193" s="30"/>
      <c r="GN193" s="30"/>
      <c r="GO193" s="30"/>
      <c r="GP193" s="30"/>
      <c r="GQ193" s="30"/>
      <c r="GR193" s="30"/>
      <c r="GS193" s="30"/>
      <c r="GT193" s="30"/>
      <c r="GU193" s="30"/>
      <c r="GV193" s="30"/>
      <c r="GW193" s="30"/>
      <c r="GX193" s="30" t="n">
        <f aca="false">SUM(N193:GW193)</f>
        <v>0</v>
      </c>
      <c r="GY193" s="36" t="n">
        <f aca="false">SUM(L193-GX193)</f>
        <v>336000</v>
      </c>
      <c r="GZ193" s="32" t="e">
        <f aca="false">SUM( H193/5)</f>
        <v>#DIV/0!</v>
      </c>
      <c r="HA193" s="32" t="e">
        <f aca="false">SUM( I193/5)</f>
        <v>#DIV/0!</v>
      </c>
      <c r="HB193" s="33" t="e">
        <f aca="false">SUM(GZ193/4)</f>
        <v>#DIV/0!</v>
      </c>
      <c r="HC193" s="33" t="e">
        <f aca="false">SUM(HA193/4)</f>
        <v>#DIV/0!</v>
      </c>
    </row>
    <row r="194" customFormat="false" ht="28.5" hidden="true" customHeight="true" outlineLevel="0" collapsed="false">
      <c r="A194" s="26" t="n">
        <v>3789</v>
      </c>
      <c r="B194" s="21" t="s">
        <v>539</v>
      </c>
      <c r="C194" s="21"/>
      <c r="D194" s="34"/>
      <c r="E194" s="25" t="n">
        <v>46174</v>
      </c>
      <c r="F194" s="25" t="n">
        <v>46028</v>
      </c>
      <c r="G194" s="26" t="n">
        <v>240</v>
      </c>
      <c r="H194" s="27" t="n">
        <f aca="false">(GX194* 5)/M194</f>
        <v>0</v>
      </c>
      <c r="I194" s="27" t="n">
        <f aca="false">G194-H194</f>
        <v>240</v>
      </c>
      <c r="J194" s="35" t="s">
        <v>506</v>
      </c>
      <c r="K194" s="46" t="n">
        <v>400000</v>
      </c>
      <c r="L194" s="36" t="n">
        <v>1350000</v>
      </c>
      <c r="M194" s="29" t="n">
        <f aca="false">(L194/G194)*5</f>
        <v>28125</v>
      </c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  <c r="DU194" s="30"/>
      <c r="DV194" s="30"/>
      <c r="DW194" s="30"/>
      <c r="DX194" s="30"/>
      <c r="DY194" s="30"/>
      <c r="DZ194" s="30"/>
      <c r="EA194" s="30"/>
      <c r="EB194" s="30"/>
      <c r="EC194" s="30"/>
      <c r="ED194" s="30"/>
      <c r="EE194" s="30"/>
      <c r="EF194" s="30"/>
      <c r="EG194" s="30"/>
      <c r="EH194" s="30"/>
      <c r="EI194" s="30"/>
      <c r="EJ194" s="30"/>
      <c r="EK194" s="30" t="s">
        <v>214</v>
      </c>
      <c r="EL194" s="30"/>
      <c r="EM194" s="30" t="s">
        <v>214</v>
      </c>
      <c r="EN194" s="30" t="s">
        <v>214</v>
      </c>
      <c r="EO194" s="30"/>
      <c r="EP194" s="30"/>
      <c r="EQ194" s="30"/>
      <c r="ER194" s="30"/>
      <c r="ES194" s="30" t="s">
        <v>214</v>
      </c>
      <c r="ET194" s="30"/>
      <c r="EU194" s="30"/>
      <c r="EV194" s="30" t="s">
        <v>214</v>
      </c>
      <c r="EW194" s="30"/>
      <c r="EX194" s="30"/>
      <c r="EY194" s="30"/>
      <c r="EZ194" s="30"/>
      <c r="FA194" s="30"/>
      <c r="FB194" s="30"/>
      <c r="FC194" s="30" t="s">
        <v>214</v>
      </c>
      <c r="FD194" s="30"/>
      <c r="FE194" s="30"/>
      <c r="FF194" s="30"/>
      <c r="FG194" s="30"/>
      <c r="FH194" s="30"/>
      <c r="FI194" s="30"/>
      <c r="FJ194" s="30"/>
      <c r="FK194" s="30"/>
      <c r="FL194" s="30" t="s">
        <v>214</v>
      </c>
      <c r="FM194" s="30"/>
      <c r="FN194" s="30"/>
      <c r="FO194" s="30"/>
      <c r="FP194" s="30"/>
      <c r="FQ194" s="30"/>
      <c r="FR194" s="30"/>
      <c r="FS194" s="30"/>
      <c r="FT194" s="30"/>
      <c r="FU194" s="30"/>
      <c r="FV194" s="30"/>
      <c r="FW194" s="30"/>
      <c r="FX194" s="30"/>
      <c r="FY194" s="30"/>
      <c r="FZ194" s="30"/>
      <c r="GA194" s="30"/>
      <c r="GB194" s="30"/>
      <c r="GC194" s="30"/>
      <c r="GD194" s="30"/>
      <c r="GE194" s="30"/>
      <c r="GF194" s="30"/>
      <c r="GG194" s="30"/>
      <c r="GH194" s="30"/>
      <c r="GI194" s="30"/>
      <c r="GJ194" s="30"/>
      <c r="GK194" s="30"/>
      <c r="GL194" s="30"/>
      <c r="GM194" s="30"/>
      <c r="GN194" s="30"/>
      <c r="GO194" s="30"/>
      <c r="GP194" s="30"/>
      <c r="GQ194" s="30"/>
      <c r="GR194" s="30"/>
      <c r="GS194" s="30"/>
      <c r="GT194" s="30"/>
      <c r="GU194" s="30"/>
      <c r="GV194" s="30"/>
      <c r="GW194" s="30"/>
      <c r="GX194" s="30" t="n">
        <f aca="false">SUM(N194:GW194)</f>
        <v>0</v>
      </c>
      <c r="GY194" s="36" t="n">
        <f aca="false">SUM(L194-GX194)</f>
        <v>1350000</v>
      </c>
      <c r="GZ194" s="32" t="n">
        <f aca="false">SUM( H194/5)</f>
        <v>0</v>
      </c>
      <c r="HA194" s="32" t="n">
        <f aca="false">SUM( I194/5)</f>
        <v>48</v>
      </c>
      <c r="HB194" s="33" t="n">
        <f aca="false">SUM(GZ194/4)</f>
        <v>0</v>
      </c>
      <c r="HC194" s="33" t="n">
        <f aca="false">SUM(HA194/4)</f>
        <v>12</v>
      </c>
    </row>
    <row r="195" customFormat="false" ht="28.5" hidden="true" customHeight="true" outlineLevel="0" collapsed="false">
      <c r="A195" s="26" t="n">
        <v>3760</v>
      </c>
      <c r="B195" s="21" t="s">
        <v>540</v>
      </c>
      <c r="C195" s="21" t="s">
        <v>541</v>
      </c>
      <c r="D195" s="34" t="s">
        <v>542</v>
      </c>
      <c r="E195" s="25" t="n">
        <v>46153</v>
      </c>
      <c r="F195" s="25" t="n">
        <v>46042</v>
      </c>
      <c r="G195" s="26" t="n">
        <v>72</v>
      </c>
      <c r="H195" s="27" t="n">
        <f aca="false">(GX195* 5)/M195</f>
        <v>35</v>
      </c>
      <c r="I195" s="27" t="n">
        <f aca="false">G195-H195</f>
        <v>37</v>
      </c>
      <c r="J195" s="35" t="s">
        <v>245</v>
      </c>
      <c r="K195" s="36" t="n">
        <v>300000</v>
      </c>
      <c r="L195" s="36" t="n">
        <v>648000</v>
      </c>
      <c r="M195" s="37" t="n">
        <f aca="false">(L195/G195)*5</f>
        <v>45000</v>
      </c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30"/>
      <c r="DO195" s="30"/>
      <c r="DP195" s="30"/>
      <c r="DQ195" s="30"/>
      <c r="DR195" s="30"/>
      <c r="DS195" s="30"/>
      <c r="DT195" s="30"/>
      <c r="DU195" s="30"/>
      <c r="DV195" s="30"/>
      <c r="DW195" s="30"/>
      <c r="DX195" s="30"/>
      <c r="DY195" s="30"/>
      <c r="DZ195" s="30"/>
      <c r="EA195" s="30"/>
      <c r="EB195" s="30"/>
      <c r="EC195" s="30"/>
      <c r="ED195" s="30"/>
      <c r="EE195" s="30"/>
      <c r="EF195" s="30"/>
      <c r="EG195" s="30"/>
      <c r="EH195" s="30"/>
      <c r="EI195" s="30"/>
      <c r="EJ195" s="30"/>
      <c r="EK195" s="30" t="s">
        <v>214</v>
      </c>
      <c r="EL195" s="30"/>
      <c r="EM195" s="30" t="s">
        <v>214</v>
      </c>
      <c r="EN195" s="30" t="s">
        <v>214</v>
      </c>
      <c r="EO195" s="30"/>
      <c r="EP195" s="30"/>
      <c r="EQ195" s="30"/>
      <c r="ER195" s="30"/>
      <c r="ES195" s="30" t="s">
        <v>214</v>
      </c>
      <c r="ET195" s="30"/>
      <c r="EU195" s="30"/>
      <c r="EV195" s="30" t="s">
        <v>214</v>
      </c>
      <c r="EW195" s="30"/>
      <c r="EX195" s="30"/>
      <c r="EY195" s="30"/>
      <c r="EZ195" s="30"/>
      <c r="FA195" s="30"/>
      <c r="FB195" s="30"/>
      <c r="FC195" s="30" t="s">
        <v>214</v>
      </c>
      <c r="FD195" s="30"/>
      <c r="FE195" s="30"/>
      <c r="FF195" s="30"/>
      <c r="FG195" s="30"/>
      <c r="FH195" s="30"/>
      <c r="FI195" s="30"/>
      <c r="FJ195" s="30"/>
      <c r="FK195" s="30"/>
      <c r="FL195" s="30" t="s">
        <v>214</v>
      </c>
      <c r="FM195" s="30"/>
      <c r="FN195" s="30"/>
      <c r="FO195" s="30"/>
      <c r="FP195" s="30"/>
      <c r="FQ195" s="30"/>
      <c r="FR195" s="30"/>
      <c r="FS195" s="30"/>
      <c r="FT195" s="30"/>
      <c r="FU195" s="30"/>
      <c r="FV195" s="30"/>
      <c r="FW195" s="30"/>
      <c r="FX195" s="30"/>
      <c r="FY195" s="30"/>
      <c r="FZ195" s="30"/>
      <c r="GA195" s="30"/>
      <c r="GB195" s="30"/>
      <c r="GC195" s="30"/>
      <c r="GD195" s="30"/>
      <c r="GE195" s="30"/>
      <c r="GF195" s="30"/>
      <c r="GG195" s="30"/>
      <c r="GH195" s="30"/>
      <c r="GI195" s="30"/>
      <c r="GJ195" s="30"/>
      <c r="GK195" s="30"/>
      <c r="GL195" s="30"/>
      <c r="GM195" s="30"/>
      <c r="GN195" s="30"/>
      <c r="GO195" s="30"/>
      <c r="GP195" s="30"/>
      <c r="GQ195" s="30" t="n">
        <v>45000</v>
      </c>
      <c r="GR195" s="30" t="n">
        <v>45000</v>
      </c>
      <c r="GS195" s="30" t="n">
        <v>45000</v>
      </c>
      <c r="GT195" s="30" t="n">
        <v>45000</v>
      </c>
      <c r="GU195" s="30" t="n">
        <v>45000</v>
      </c>
      <c r="GV195" s="30" t="n">
        <v>45000</v>
      </c>
      <c r="GW195" s="30" t="n">
        <v>45000</v>
      </c>
      <c r="GX195" s="30" t="n">
        <f aca="false">SUM(N195:GW195)</f>
        <v>315000</v>
      </c>
      <c r="GY195" s="36" t="n">
        <f aca="false">SUM(L195-GX195)</f>
        <v>333000</v>
      </c>
      <c r="GZ195" s="32" t="n">
        <f aca="false">SUM( H195/5)</f>
        <v>7</v>
      </c>
      <c r="HA195" s="32" t="n">
        <f aca="false">SUM( I195/5)</f>
        <v>7.4</v>
      </c>
      <c r="HB195" s="33" t="n">
        <f aca="false">SUM(GZ195/4)</f>
        <v>1.75</v>
      </c>
      <c r="HC195" s="33" t="n">
        <f aca="false">SUM(HA195/4)</f>
        <v>1.85</v>
      </c>
    </row>
    <row r="196" customFormat="false" ht="28.5" hidden="true" customHeight="true" outlineLevel="0" collapsed="false">
      <c r="A196" s="26" t="n">
        <v>3201</v>
      </c>
      <c r="B196" s="21" t="s">
        <v>543</v>
      </c>
      <c r="C196" s="21" t="s">
        <v>532</v>
      </c>
      <c r="D196" s="34"/>
      <c r="E196" s="25" t="n">
        <v>45929</v>
      </c>
      <c r="F196" s="25" t="n">
        <f aca="false">WORKDAY(E196,G196)</f>
        <v>46153</v>
      </c>
      <c r="G196" s="26" t="n">
        <v>160</v>
      </c>
      <c r="H196" s="27" t="n">
        <f aca="false">(GX196* 5)/M196</f>
        <v>139.444444444444</v>
      </c>
      <c r="I196" s="27" t="n">
        <f aca="false">G196-H196</f>
        <v>20.5555555555555</v>
      </c>
      <c r="J196" s="35" t="s">
        <v>544</v>
      </c>
      <c r="K196" s="57" t="n">
        <v>200000</v>
      </c>
      <c r="L196" s="36" t="n">
        <v>576000</v>
      </c>
      <c r="M196" s="37" t="n">
        <f aca="false">(L196/G196)*5</f>
        <v>18000</v>
      </c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  <c r="DU196" s="30"/>
      <c r="DV196" s="30"/>
      <c r="DW196" s="30"/>
      <c r="DX196" s="30"/>
      <c r="DY196" s="30"/>
      <c r="DZ196" s="30"/>
      <c r="EA196" s="30"/>
      <c r="EB196" s="30"/>
      <c r="EC196" s="30"/>
      <c r="ED196" s="30"/>
      <c r="EE196" s="30"/>
      <c r="EF196" s="30"/>
      <c r="EG196" s="30"/>
      <c r="EH196" s="30"/>
      <c r="EI196" s="30"/>
      <c r="EJ196" s="30"/>
      <c r="EK196" s="30" t="s">
        <v>214</v>
      </c>
      <c r="EL196" s="30"/>
      <c r="EM196" s="30" t="s">
        <v>214</v>
      </c>
      <c r="EN196" s="30" t="s">
        <v>214</v>
      </c>
      <c r="EO196" s="30"/>
      <c r="EP196" s="30"/>
      <c r="EQ196" s="30"/>
      <c r="ER196" s="30"/>
      <c r="ES196" s="30" t="s">
        <v>214</v>
      </c>
      <c r="ET196" s="30"/>
      <c r="EU196" s="30"/>
      <c r="EV196" s="30" t="s">
        <v>214</v>
      </c>
      <c r="EW196" s="30"/>
      <c r="EX196" s="30"/>
      <c r="EY196" s="30"/>
      <c r="EZ196" s="30"/>
      <c r="FA196" s="30"/>
      <c r="FB196" s="30"/>
      <c r="FC196" s="30" t="s">
        <v>214</v>
      </c>
      <c r="FD196" s="30"/>
      <c r="FE196" s="30"/>
      <c r="FF196" s="30"/>
      <c r="FG196" s="30"/>
      <c r="FH196" s="30"/>
      <c r="FI196" s="30"/>
      <c r="FJ196" s="30"/>
      <c r="FK196" s="30"/>
      <c r="FL196" s="30"/>
      <c r="FM196" s="30"/>
      <c r="FN196" s="30"/>
      <c r="FO196" s="30" t="n">
        <v>72000</v>
      </c>
      <c r="FP196" s="30"/>
      <c r="FQ196" s="30"/>
      <c r="FR196" s="30"/>
      <c r="FS196" s="30"/>
      <c r="FT196" s="30"/>
      <c r="FU196" s="30" t="n">
        <v>40000</v>
      </c>
      <c r="FV196" s="30"/>
      <c r="FW196" s="30"/>
      <c r="FX196" s="30"/>
      <c r="FY196" s="30" t="n">
        <v>72000</v>
      </c>
      <c r="FZ196" s="30"/>
      <c r="GA196" s="30"/>
      <c r="GB196" s="30" t="n">
        <v>68000</v>
      </c>
      <c r="GC196" s="30"/>
      <c r="GD196" s="30"/>
      <c r="GE196" s="30"/>
      <c r="GF196" s="30" t="n">
        <v>60000</v>
      </c>
      <c r="GG196" s="30"/>
      <c r="GH196" s="30"/>
      <c r="GI196" s="30"/>
      <c r="GJ196" s="30"/>
      <c r="GK196" s="30" t="n">
        <v>70000</v>
      </c>
      <c r="GL196" s="30"/>
      <c r="GM196" s="30"/>
      <c r="GN196" s="30"/>
      <c r="GO196" s="30" t="n">
        <v>60000</v>
      </c>
      <c r="GP196" s="30"/>
      <c r="GQ196" s="30"/>
      <c r="GR196" s="30"/>
      <c r="GS196" s="30" t="n">
        <v>60000</v>
      </c>
      <c r="GT196" s="30"/>
      <c r="GU196" s="30"/>
      <c r="GV196" s="30"/>
      <c r="GW196" s="30"/>
      <c r="GX196" s="30" t="n">
        <f aca="false">SUM(N196:GW196)</f>
        <v>502000</v>
      </c>
      <c r="GY196" s="36" t="n">
        <f aca="false">SUM(L196-GX196)</f>
        <v>74000</v>
      </c>
      <c r="GZ196" s="32" t="n">
        <f aca="false">SUM( H196/5)</f>
        <v>27.8888888888889</v>
      </c>
      <c r="HA196" s="32" t="n">
        <f aca="false">SUM( I196/5)</f>
        <v>4.11111111111111</v>
      </c>
      <c r="HB196" s="33" t="n">
        <f aca="false">SUM(GZ196/4)</f>
        <v>6.97222222222222</v>
      </c>
      <c r="HC196" s="33" t="n">
        <f aca="false">SUM(HA196/4)</f>
        <v>1.02777777777778</v>
      </c>
    </row>
    <row r="197" customFormat="false" ht="28.5" hidden="true" customHeight="true" outlineLevel="0" collapsed="false">
      <c r="A197" s="26" t="n">
        <v>3756</v>
      </c>
      <c r="B197" s="21" t="s">
        <v>545</v>
      </c>
      <c r="C197" s="21" t="s">
        <v>546</v>
      </c>
      <c r="D197" s="34"/>
      <c r="E197" s="25" t="n">
        <v>46148</v>
      </c>
      <c r="F197" s="25" t="n">
        <f aca="false">WORKDAY(E197,G197)</f>
        <v>46316</v>
      </c>
      <c r="G197" s="26" t="n">
        <v>120</v>
      </c>
      <c r="H197" s="71" t="n">
        <v>72</v>
      </c>
      <c r="I197" s="71" t="n">
        <v>0</v>
      </c>
      <c r="J197" s="22" t="s">
        <v>547</v>
      </c>
      <c r="K197" s="36" t="n">
        <v>700000</v>
      </c>
      <c r="L197" s="36" t="n">
        <v>1848000</v>
      </c>
      <c r="M197" s="37" t="n">
        <f aca="false">(L197/G197)*5</f>
        <v>77000</v>
      </c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0"/>
      <c r="DO197" s="30"/>
      <c r="DP197" s="30"/>
      <c r="DQ197" s="30"/>
      <c r="DR197" s="30"/>
      <c r="DS197" s="30"/>
      <c r="DT197" s="30"/>
      <c r="DU197" s="30"/>
      <c r="DV197" s="30"/>
      <c r="DW197" s="30"/>
      <c r="DX197" s="30"/>
      <c r="DY197" s="30"/>
      <c r="DZ197" s="30"/>
      <c r="EA197" s="30"/>
      <c r="EB197" s="30"/>
      <c r="EC197" s="30"/>
      <c r="ED197" s="30"/>
      <c r="EE197" s="30"/>
      <c r="EF197" s="30"/>
      <c r="EG197" s="30"/>
      <c r="EH197" s="30"/>
      <c r="EI197" s="30"/>
      <c r="EJ197" s="30"/>
      <c r="EK197" s="30" t="s">
        <v>214</v>
      </c>
      <c r="EL197" s="30"/>
      <c r="EM197" s="30" t="s">
        <v>214</v>
      </c>
      <c r="EN197" s="30" t="s">
        <v>214</v>
      </c>
      <c r="EO197" s="30"/>
      <c r="EP197" s="30"/>
      <c r="EQ197" s="30"/>
      <c r="ER197" s="30"/>
      <c r="ES197" s="30" t="s">
        <v>214</v>
      </c>
      <c r="ET197" s="30"/>
      <c r="EU197" s="30"/>
      <c r="EV197" s="30" t="s">
        <v>214</v>
      </c>
      <c r="EW197" s="30"/>
      <c r="EX197" s="30"/>
      <c r="EY197" s="30"/>
      <c r="EZ197" s="30"/>
      <c r="FA197" s="30"/>
      <c r="FB197" s="30"/>
      <c r="FC197" s="30" t="s">
        <v>214</v>
      </c>
      <c r="FD197" s="30"/>
      <c r="FE197" s="30"/>
      <c r="FF197" s="30"/>
      <c r="FG197" s="30"/>
      <c r="FH197" s="30"/>
      <c r="FI197" s="30"/>
      <c r="FJ197" s="30"/>
      <c r="FK197" s="30"/>
      <c r="FL197" s="30" t="s">
        <v>214</v>
      </c>
      <c r="FM197" s="30"/>
      <c r="FN197" s="30"/>
      <c r="FO197" s="30"/>
      <c r="FP197" s="30"/>
      <c r="FQ197" s="30"/>
      <c r="FR197" s="30"/>
      <c r="FS197" s="30"/>
      <c r="FT197" s="30"/>
      <c r="FU197" s="30"/>
      <c r="FV197" s="30"/>
      <c r="FW197" s="30"/>
      <c r="FX197" s="30"/>
      <c r="FY197" s="30"/>
      <c r="FZ197" s="30"/>
      <c r="GA197" s="30"/>
      <c r="GB197" s="30"/>
      <c r="GC197" s="30"/>
      <c r="GD197" s="30"/>
      <c r="GE197" s="30"/>
      <c r="GF197" s="30"/>
      <c r="GG197" s="30"/>
      <c r="GH197" s="30"/>
      <c r="GI197" s="30"/>
      <c r="GJ197" s="30"/>
      <c r="GK197" s="30"/>
      <c r="GL197" s="30"/>
      <c r="GM197" s="30"/>
      <c r="GN197" s="30"/>
      <c r="GO197" s="30"/>
      <c r="GP197" s="30"/>
      <c r="GQ197" s="30"/>
      <c r="GR197" s="30"/>
      <c r="GS197" s="30" t="n">
        <v>308000</v>
      </c>
      <c r="GT197" s="30"/>
      <c r="GU197" s="30"/>
      <c r="GV197" s="30"/>
      <c r="GW197" s="30"/>
      <c r="GX197" s="30" t="n">
        <f aca="false">SUM(N197:GW197)</f>
        <v>308000</v>
      </c>
      <c r="GY197" s="36" t="n">
        <f aca="false">SUM(L197-GX197)</f>
        <v>1540000</v>
      </c>
      <c r="GZ197" s="32" t="n">
        <f aca="false">SUM( H197/5)</f>
        <v>14.4</v>
      </c>
      <c r="HA197" s="32" t="n">
        <f aca="false">SUM( I197/5)</f>
        <v>0</v>
      </c>
      <c r="HB197" s="33" t="n">
        <f aca="false">SUM(GZ197/4)</f>
        <v>3.6</v>
      </c>
      <c r="HC197" s="33" t="n">
        <f aca="false">SUM(HA197/4)</f>
        <v>0</v>
      </c>
    </row>
    <row r="198" customFormat="false" ht="28.5" hidden="true" customHeight="true" outlineLevel="0" collapsed="false">
      <c r="A198" s="26" t="n">
        <v>3669</v>
      </c>
      <c r="B198" s="34" t="s">
        <v>548</v>
      </c>
      <c r="C198" s="34" t="s">
        <v>549</v>
      </c>
      <c r="D198" s="44" t="n">
        <v>20317686979</v>
      </c>
      <c r="E198" s="25" t="n">
        <v>46085</v>
      </c>
      <c r="F198" s="25" t="n">
        <f aca="false">WORKDAY(E198,G198)</f>
        <v>46309</v>
      </c>
      <c r="G198" s="72" t="n">
        <v>160</v>
      </c>
      <c r="H198" s="27" t="n">
        <f aca="false">(GX198* 5)/M198</f>
        <v>19.8412698412698</v>
      </c>
      <c r="I198" s="27" t="n">
        <f aca="false">G198-H198</f>
        <v>140.15873015873</v>
      </c>
      <c r="J198" s="52" t="s">
        <v>550</v>
      </c>
      <c r="K198" s="36" t="n">
        <v>700000</v>
      </c>
      <c r="L198" s="36" t="n">
        <v>2016000</v>
      </c>
      <c r="M198" s="37" t="n">
        <f aca="false">(L198/G198)*5</f>
        <v>63000</v>
      </c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30"/>
      <c r="DR198" s="30"/>
      <c r="DS198" s="30"/>
      <c r="DT198" s="30"/>
      <c r="DU198" s="30"/>
      <c r="DV198" s="30"/>
      <c r="DW198" s="30"/>
      <c r="DX198" s="30"/>
      <c r="DY198" s="30"/>
      <c r="DZ198" s="30"/>
      <c r="EA198" s="30"/>
      <c r="EB198" s="30"/>
      <c r="EC198" s="30"/>
      <c r="ED198" s="30"/>
      <c r="EE198" s="30"/>
      <c r="EF198" s="30"/>
      <c r="EG198" s="30"/>
      <c r="EH198" s="30"/>
      <c r="EI198" s="30"/>
      <c r="EJ198" s="30"/>
      <c r="EK198" s="30" t="s">
        <v>214</v>
      </c>
      <c r="EL198" s="30"/>
      <c r="EM198" s="30" t="s">
        <v>214</v>
      </c>
      <c r="EN198" s="30" t="s">
        <v>214</v>
      </c>
      <c r="EO198" s="30"/>
      <c r="EP198" s="30"/>
      <c r="EQ198" s="30"/>
      <c r="ER198" s="30"/>
      <c r="ES198" s="30" t="s">
        <v>214</v>
      </c>
      <c r="ET198" s="30"/>
      <c r="EU198" s="30"/>
      <c r="EV198" s="30" t="s">
        <v>214</v>
      </c>
      <c r="EW198" s="30"/>
      <c r="EX198" s="30"/>
      <c r="EY198" s="30"/>
      <c r="EZ198" s="30"/>
      <c r="FA198" s="30"/>
      <c r="FB198" s="30"/>
      <c r="FC198" s="30" t="s">
        <v>214</v>
      </c>
      <c r="FD198" s="30"/>
      <c r="FE198" s="30"/>
      <c r="FF198" s="30"/>
      <c r="FG198" s="30"/>
      <c r="FH198" s="30"/>
      <c r="FI198" s="30"/>
      <c r="FJ198" s="30"/>
      <c r="FK198" s="30"/>
      <c r="FL198" s="30" t="s">
        <v>214</v>
      </c>
      <c r="FM198" s="30"/>
      <c r="FN198" s="30"/>
      <c r="FO198" s="30"/>
      <c r="FP198" s="30"/>
      <c r="FQ198" s="30"/>
      <c r="FR198" s="30"/>
      <c r="FS198" s="30"/>
      <c r="FT198" s="30"/>
      <c r="FU198" s="30"/>
      <c r="FV198" s="30"/>
      <c r="FW198" s="30"/>
      <c r="FX198" s="30"/>
      <c r="FY198" s="30"/>
      <c r="FZ198" s="30"/>
      <c r="GA198" s="30"/>
      <c r="GB198" s="30"/>
      <c r="GC198" s="30"/>
      <c r="GD198" s="30"/>
      <c r="GE198" s="30"/>
      <c r="GF198" s="30"/>
      <c r="GG198" s="30"/>
      <c r="GH198" s="30"/>
      <c r="GI198" s="30"/>
      <c r="GJ198" s="30"/>
      <c r="GK198" s="30"/>
      <c r="GL198" s="30"/>
      <c r="GM198" s="30"/>
      <c r="GN198" s="30"/>
      <c r="GO198" s="30"/>
      <c r="GP198" s="30" t="n">
        <v>50000</v>
      </c>
      <c r="GQ198" s="30"/>
      <c r="GR198" s="30"/>
      <c r="GS198" s="30"/>
      <c r="GT198" s="30" t="n">
        <v>100000</v>
      </c>
      <c r="GU198" s="30"/>
      <c r="GV198" s="30"/>
      <c r="GW198" s="30" t="n">
        <v>100000</v>
      </c>
      <c r="GX198" s="30" t="n">
        <f aca="false">SUM(N198:GW198)</f>
        <v>250000</v>
      </c>
      <c r="GY198" s="36" t="n">
        <f aca="false">SUM(L198-GX198)</f>
        <v>1766000</v>
      </c>
      <c r="GZ198" s="32" t="n">
        <f aca="false">SUM( H198/5)</f>
        <v>3.96825396825397</v>
      </c>
      <c r="HA198" s="32" t="n">
        <f aca="false">SUM( I198/5)</f>
        <v>28.031746031746</v>
      </c>
      <c r="HB198" s="33" t="n">
        <f aca="false">SUM(GZ198/4)</f>
        <v>0.992063492063492</v>
      </c>
      <c r="HC198" s="33" t="n">
        <f aca="false">SUM(HA198/4)</f>
        <v>7.00793650793651</v>
      </c>
    </row>
    <row r="199" customFormat="false" ht="28.5" hidden="true" customHeight="true" outlineLevel="0" collapsed="false">
      <c r="A199" s="26" t="n">
        <v>3665</v>
      </c>
      <c r="B199" s="21" t="s">
        <v>551</v>
      </c>
      <c r="C199" s="21" t="s">
        <v>552</v>
      </c>
      <c r="D199" s="34"/>
      <c r="E199" s="25" t="n">
        <v>46083</v>
      </c>
      <c r="F199" s="25" t="n">
        <f aca="false">WORKDAY(E199,G199)</f>
        <v>46183</v>
      </c>
      <c r="G199" s="26" t="n">
        <v>72</v>
      </c>
      <c r="H199" s="27" t="n">
        <f aca="false">(GX199* 5)/M199</f>
        <v>70</v>
      </c>
      <c r="I199" s="27" t="n">
        <f aca="false">G199-H199</f>
        <v>2</v>
      </c>
      <c r="J199" s="22" t="s">
        <v>553</v>
      </c>
      <c r="K199" s="36" t="n">
        <v>150000</v>
      </c>
      <c r="L199" s="36" t="n">
        <v>324000</v>
      </c>
      <c r="M199" s="29" t="n">
        <f aca="false">(L199/G199)*5</f>
        <v>22500</v>
      </c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0"/>
      <c r="DO199" s="30"/>
      <c r="DP199" s="30"/>
      <c r="DQ199" s="30"/>
      <c r="DR199" s="30"/>
      <c r="DS199" s="30"/>
      <c r="DT199" s="30"/>
      <c r="DU199" s="30"/>
      <c r="DV199" s="30"/>
      <c r="DW199" s="30"/>
      <c r="DX199" s="30"/>
      <c r="DY199" s="30"/>
      <c r="DZ199" s="30"/>
      <c r="EA199" s="30"/>
      <c r="EB199" s="30"/>
      <c r="EC199" s="30"/>
      <c r="ED199" s="30"/>
      <c r="EE199" s="30"/>
      <c r="EF199" s="30"/>
      <c r="EG199" s="30"/>
      <c r="EH199" s="30"/>
      <c r="EI199" s="30"/>
      <c r="EJ199" s="30"/>
      <c r="EK199" s="30" t="s">
        <v>214</v>
      </c>
      <c r="EL199" s="30"/>
      <c r="EM199" s="30" t="s">
        <v>214</v>
      </c>
      <c r="EN199" s="30" t="s">
        <v>214</v>
      </c>
      <c r="EO199" s="30"/>
      <c r="EP199" s="30"/>
      <c r="EQ199" s="30"/>
      <c r="ER199" s="30"/>
      <c r="ES199" s="30" t="s">
        <v>214</v>
      </c>
      <c r="ET199" s="30"/>
      <c r="EU199" s="30"/>
      <c r="EV199" s="30" t="s">
        <v>214</v>
      </c>
      <c r="EW199" s="30"/>
      <c r="EX199" s="30"/>
      <c r="EY199" s="30"/>
      <c r="EZ199" s="30"/>
      <c r="FA199" s="30"/>
      <c r="FB199" s="30"/>
      <c r="FC199" s="30" t="s">
        <v>214</v>
      </c>
      <c r="FD199" s="30"/>
      <c r="FE199" s="30"/>
      <c r="FF199" s="30"/>
      <c r="FG199" s="30"/>
      <c r="FH199" s="30"/>
      <c r="FI199" s="30"/>
      <c r="FJ199" s="30"/>
      <c r="FK199" s="30"/>
      <c r="FL199" s="30" t="s">
        <v>214</v>
      </c>
      <c r="FM199" s="30"/>
      <c r="FN199" s="30"/>
      <c r="FO199" s="30"/>
      <c r="FP199" s="30"/>
      <c r="FQ199" s="30"/>
      <c r="FR199" s="30"/>
      <c r="FS199" s="30"/>
      <c r="FT199" s="30"/>
      <c r="FU199" s="30"/>
      <c r="FV199" s="30"/>
      <c r="FW199" s="30"/>
      <c r="FX199" s="30"/>
      <c r="FY199" s="30"/>
      <c r="FZ199" s="30"/>
      <c r="GA199" s="30"/>
      <c r="GB199" s="30"/>
      <c r="GC199" s="30"/>
      <c r="GD199" s="30"/>
      <c r="GE199" s="30"/>
      <c r="GF199" s="30"/>
      <c r="GG199" s="30" t="n">
        <v>22500</v>
      </c>
      <c r="GH199" s="30" t="n">
        <v>22500</v>
      </c>
      <c r="GI199" s="30" t="n">
        <v>22500</v>
      </c>
      <c r="GJ199" s="30" t="n">
        <v>22500</v>
      </c>
      <c r="GK199" s="30" t="n">
        <v>22500</v>
      </c>
      <c r="GL199" s="30" t="n">
        <v>22500</v>
      </c>
      <c r="GM199" s="30" t="n">
        <v>22500</v>
      </c>
      <c r="GN199" s="30"/>
      <c r="GO199" s="30" t="n">
        <v>22500</v>
      </c>
      <c r="GP199" s="30" t="n">
        <v>45000</v>
      </c>
      <c r="GQ199" s="30"/>
      <c r="GR199" s="30" t="n">
        <v>22500</v>
      </c>
      <c r="GS199" s="30" t="n">
        <v>45000</v>
      </c>
      <c r="GT199" s="30"/>
      <c r="GU199" s="30" t="n">
        <v>22500</v>
      </c>
      <c r="GV199" s="30"/>
      <c r="GW199" s="30"/>
      <c r="GX199" s="30" t="n">
        <f aca="false">SUM(N199:GW199)</f>
        <v>315000</v>
      </c>
      <c r="GY199" s="36" t="n">
        <f aca="false">SUM(L199-GX199)</f>
        <v>9000</v>
      </c>
      <c r="GZ199" s="32" t="n">
        <f aca="false">SUM( H199/5)</f>
        <v>14</v>
      </c>
      <c r="HA199" s="32" t="n">
        <f aca="false">SUM( I199/5)</f>
        <v>0.4</v>
      </c>
      <c r="HB199" s="33" t="n">
        <f aca="false">SUM(GZ199/4)</f>
        <v>3.5</v>
      </c>
      <c r="HC199" s="33" t="n">
        <f aca="false">SUM(HA199/4)</f>
        <v>0.1</v>
      </c>
    </row>
    <row r="200" customFormat="false" ht="28.5" hidden="true" customHeight="true" outlineLevel="0" collapsed="false">
      <c r="A200" s="26" t="n">
        <v>3803</v>
      </c>
      <c r="B200" s="21" t="s">
        <v>551</v>
      </c>
      <c r="C200" s="21" t="s">
        <v>552</v>
      </c>
      <c r="D200" s="34"/>
      <c r="E200" s="25" t="n">
        <v>46183</v>
      </c>
      <c r="F200" s="25" t="n">
        <f aca="false">WORKDAY(E200,G200)</f>
        <v>46283</v>
      </c>
      <c r="G200" s="26" t="n">
        <v>72</v>
      </c>
      <c r="H200" s="27" t="n">
        <f aca="false">(GX200* 5)/M200</f>
        <v>30</v>
      </c>
      <c r="I200" s="27" t="n">
        <f aca="false">G200-H200</f>
        <v>42</v>
      </c>
      <c r="J200" s="22" t="s">
        <v>554</v>
      </c>
      <c r="K200" s="31" t="n">
        <v>50000</v>
      </c>
      <c r="L200" s="31" t="n">
        <v>108000</v>
      </c>
      <c r="M200" s="37" t="n">
        <f aca="false">(L200/G200)*5</f>
        <v>7500</v>
      </c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0"/>
      <c r="EH200" s="30"/>
      <c r="EI200" s="30"/>
      <c r="EJ200" s="30"/>
      <c r="EK200" s="30" t="s">
        <v>214</v>
      </c>
      <c r="EL200" s="30"/>
      <c r="EM200" s="30" t="s">
        <v>214</v>
      </c>
      <c r="EN200" s="30" t="s">
        <v>214</v>
      </c>
      <c r="EO200" s="30"/>
      <c r="EP200" s="30"/>
      <c r="EQ200" s="30"/>
      <c r="ER200" s="30"/>
      <c r="ES200" s="30" t="s">
        <v>214</v>
      </c>
      <c r="ET200" s="30"/>
      <c r="EU200" s="30"/>
      <c r="EV200" s="30" t="s">
        <v>214</v>
      </c>
      <c r="EW200" s="30"/>
      <c r="EX200" s="30"/>
      <c r="EY200" s="30"/>
      <c r="EZ200" s="30"/>
      <c r="FA200" s="30"/>
      <c r="FB200" s="30"/>
      <c r="FC200" s="30" t="s">
        <v>214</v>
      </c>
      <c r="FD200" s="30"/>
      <c r="FE200" s="30"/>
      <c r="FF200" s="30"/>
      <c r="FG200" s="30"/>
      <c r="FH200" s="30"/>
      <c r="FI200" s="30"/>
      <c r="FJ200" s="30"/>
      <c r="FK200" s="30"/>
      <c r="FL200" s="30" t="s">
        <v>214</v>
      </c>
      <c r="FM200" s="30"/>
      <c r="FN200" s="30"/>
      <c r="FO200" s="30"/>
      <c r="FP200" s="30"/>
      <c r="FQ200" s="30"/>
      <c r="FR200" s="30"/>
      <c r="FS200" s="30"/>
      <c r="FT200" s="30"/>
      <c r="FU200" s="30"/>
      <c r="FV200" s="30"/>
      <c r="FW200" s="30"/>
      <c r="FX200" s="30"/>
      <c r="FY200" s="30"/>
      <c r="FZ200" s="30"/>
      <c r="GA200" s="30"/>
      <c r="GB200" s="30"/>
      <c r="GC200" s="30"/>
      <c r="GD200" s="30"/>
      <c r="GE200" s="30"/>
      <c r="GF200" s="30"/>
      <c r="GG200" s="30"/>
      <c r="GH200" s="30"/>
      <c r="GI200" s="30"/>
      <c r="GJ200" s="30"/>
      <c r="GK200" s="30"/>
      <c r="GL200" s="30"/>
      <c r="GM200" s="30"/>
      <c r="GN200" s="30"/>
      <c r="GO200" s="30"/>
      <c r="GP200" s="30"/>
      <c r="GQ200" s="30"/>
      <c r="GR200" s="30"/>
      <c r="GS200" s="30"/>
      <c r="GT200" s="30"/>
      <c r="GU200" s="30"/>
      <c r="GV200" s="30" t="n">
        <v>30000</v>
      </c>
      <c r="GW200" s="30" t="n">
        <v>15000</v>
      </c>
      <c r="GX200" s="30" t="n">
        <f aca="false">SUM(N200:GW200)</f>
        <v>45000</v>
      </c>
      <c r="GY200" s="36" t="n">
        <f aca="false">SUM(L200-GX200)</f>
        <v>63000</v>
      </c>
      <c r="GZ200" s="32" t="n">
        <f aca="false">SUM( H200/5)</f>
        <v>6</v>
      </c>
      <c r="HA200" s="32" t="n">
        <f aca="false">SUM( I200/5)</f>
        <v>8.4</v>
      </c>
      <c r="HB200" s="33" t="n">
        <f aca="false">SUM(GZ200/4)</f>
        <v>1.5</v>
      </c>
      <c r="HC200" s="33" t="n">
        <f aca="false">SUM(HA200/4)</f>
        <v>2.1</v>
      </c>
    </row>
    <row r="201" customFormat="false" ht="28.5" hidden="true" customHeight="true" outlineLevel="0" collapsed="false">
      <c r="A201" s="26" t="n">
        <v>3779</v>
      </c>
      <c r="B201" s="21" t="s">
        <v>555</v>
      </c>
      <c r="C201" s="21" t="s">
        <v>556</v>
      </c>
      <c r="D201" s="34"/>
      <c r="E201" s="25" t="n">
        <v>46167</v>
      </c>
      <c r="F201" s="25" t="n">
        <f aca="false">WORKDAY(E201,G201)</f>
        <v>46321</v>
      </c>
      <c r="G201" s="26" t="n">
        <v>110</v>
      </c>
      <c r="H201" s="27" t="n">
        <f aca="false">(GX201* 5)/M201</f>
        <v>15</v>
      </c>
      <c r="I201" s="27" t="n">
        <f aca="false">G201-H201</f>
        <v>95</v>
      </c>
      <c r="J201" s="35" t="s">
        <v>557</v>
      </c>
      <c r="K201" s="36" t="n">
        <v>500000</v>
      </c>
      <c r="L201" s="36" t="n">
        <v>1320000</v>
      </c>
      <c r="M201" s="29" t="n">
        <f aca="false">(L201/G201)*5</f>
        <v>60000</v>
      </c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0"/>
      <c r="DO201" s="30"/>
      <c r="DP201" s="30"/>
      <c r="DQ201" s="30"/>
      <c r="DR201" s="30"/>
      <c r="DS201" s="30"/>
      <c r="DT201" s="30"/>
      <c r="DU201" s="30"/>
      <c r="DV201" s="30"/>
      <c r="DW201" s="30"/>
      <c r="DX201" s="30"/>
      <c r="DY201" s="30"/>
      <c r="DZ201" s="30"/>
      <c r="EA201" s="30"/>
      <c r="EB201" s="30"/>
      <c r="EC201" s="30"/>
      <c r="ED201" s="30"/>
      <c r="EE201" s="30"/>
      <c r="EF201" s="30"/>
      <c r="EG201" s="30"/>
      <c r="EH201" s="30"/>
      <c r="EI201" s="30"/>
      <c r="EJ201" s="30"/>
      <c r="EK201" s="30" t="s">
        <v>214</v>
      </c>
      <c r="EL201" s="30"/>
      <c r="EM201" s="30" t="s">
        <v>214</v>
      </c>
      <c r="EN201" s="30" t="s">
        <v>214</v>
      </c>
      <c r="EO201" s="30"/>
      <c r="EP201" s="30"/>
      <c r="EQ201" s="30"/>
      <c r="ER201" s="30"/>
      <c r="ES201" s="30" t="s">
        <v>214</v>
      </c>
      <c r="ET201" s="30"/>
      <c r="EU201" s="30"/>
      <c r="EV201" s="30" t="s">
        <v>214</v>
      </c>
      <c r="EW201" s="30"/>
      <c r="EX201" s="30"/>
      <c r="EY201" s="30"/>
      <c r="EZ201" s="30"/>
      <c r="FA201" s="30"/>
      <c r="FB201" s="30"/>
      <c r="FC201" s="30" t="s">
        <v>214</v>
      </c>
      <c r="FD201" s="30"/>
      <c r="FE201" s="30"/>
      <c r="FF201" s="30"/>
      <c r="FG201" s="30"/>
      <c r="FH201" s="30"/>
      <c r="FI201" s="30"/>
      <c r="FJ201" s="30"/>
      <c r="FK201" s="30"/>
      <c r="FL201" s="30" t="s">
        <v>214</v>
      </c>
      <c r="FM201" s="30"/>
      <c r="FN201" s="30"/>
      <c r="FO201" s="30"/>
      <c r="FP201" s="30"/>
      <c r="FQ201" s="30"/>
      <c r="FR201" s="30"/>
      <c r="FS201" s="30"/>
      <c r="FT201" s="30"/>
      <c r="FU201" s="30"/>
      <c r="FV201" s="30"/>
      <c r="FW201" s="30"/>
      <c r="FX201" s="30"/>
      <c r="FY201" s="30"/>
      <c r="FZ201" s="30"/>
      <c r="GA201" s="30"/>
      <c r="GB201" s="30"/>
      <c r="GC201" s="30"/>
      <c r="GD201" s="30"/>
      <c r="GE201" s="30"/>
      <c r="GF201" s="30"/>
      <c r="GG201" s="30"/>
      <c r="GH201" s="30"/>
      <c r="GI201" s="30"/>
      <c r="GJ201" s="30"/>
      <c r="GK201" s="30"/>
      <c r="GL201" s="30"/>
      <c r="GM201" s="30"/>
      <c r="GN201" s="30"/>
      <c r="GO201" s="30"/>
      <c r="GP201" s="30"/>
      <c r="GQ201" s="30"/>
      <c r="GR201" s="30"/>
      <c r="GS201" s="30" t="n">
        <v>60000</v>
      </c>
      <c r="GT201" s="30"/>
      <c r="GU201" s="30" t="n">
        <v>60000</v>
      </c>
      <c r="GV201" s="30"/>
      <c r="GW201" s="30" t="n">
        <v>60000</v>
      </c>
      <c r="GX201" s="30" t="n">
        <f aca="false">SUM(N201:GW201)</f>
        <v>180000</v>
      </c>
      <c r="GY201" s="36" t="n">
        <f aca="false">SUM(L201-GX201)</f>
        <v>1140000</v>
      </c>
      <c r="GZ201" s="32" t="n">
        <f aca="false">SUM( H201/5)</f>
        <v>3</v>
      </c>
      <c r="HA201" s="32" t="n">
        <f aca="false">SUM( I201/5)</f>
        <v>19</v>
      </c>
      <c r="HB201" s="33" t="n">
        <f aca="false">SUM(GZ201/4)</f>
        <v>0.75</v>
      </c>
      <c r="HC201" s="33" t="n">
        <f aca="false">SUM(HA201/4)</f>
        <v>4.75</v>
      </c>
    </row>
    <row r="202" customFormat="false" ht="28.5" hidden="true" customHeight="true" outlineLevel="0" collapsed="false">
      <c r="A202" s="26" t="n">
        <v>3807</v>
      </c>
      <c r="B202" s="21" t="s">
        <v>555</v>
      </c>
      <c r="C202" s="21" t="s">
        <v>556</v>
      </c>
      <c r="D202" s="34"/>
      <c r="E202" s="25" t="n">
        <v>46187</v>
      </c>
      <c r="F202" s="25" t="n">
        <f aca="false">WORKDAY(E202,G202)</f>
        <v>46287</v>
      </c>
      <c r="G202" s="26" t="n">
        <v>72</v>
      </c>
      <c r="H202" s="27" t="n">
        <f aca="false">(GX202* 5)/M202</f>
        <v>10</v>
      </c>
      <c r="I202" s="27" t="n">
        <f aca="false">G202-H202</f>
        <v>62</v>
      </c>
      <c r="J202" s="22" t="s">
        <v>266</v>
      </c>
      <c r="K202" s="36" t="n">
        <v>100000</v>
      </c>
      <c r="L202" s="36" t="n">
        <v>216000</v>
      </c>
      <c r="M202" s="29" t="n">
        <f aca="false">(L202/G202)*5</f>
        <v>15000</v>
      </c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0"/>
      <c r="EH202" s="30"/>
      <c r="EI202" s="30"/>
      <c r="EJ202" s="30"/>
      <c r="EK202" s="30" t="s">
        <v>214</v>
      </c>
      <c r="EL202" s="30"/>
      <c r="EM202" s="30" t="s">
        <v>214</v>
      </c>
      <c r="EN202" s="30" t="s">
        <v>214</v>
      </c>
      <c r="EO202" s="30"/>
      <c r="EP202" s="30"/>
      <c r="EQ202" s="30"/>
      <c r="ER202" s="30"/>
      <c r="ES202" s="30" t="s">
        <v>214</v>
      </c>
      <c r="ET202" s="30"/>
      <c r="EU202" s="30"/>
      <c r="EV202" s="30" t="s">
        <v>214</v>
      </c>
      <c r="EW202" s="30"/>
      <c r="EX202" s="30"/>
      <c r="EY202" s="30"/>
      <c r="EZ202" s="30"/>
      <c r="FA202" s="30"/>
      <c r="FB202" s="30"/>
      <c r="FC202" s="30" t="s">
        <v>214</v>
      </c>
      <c r="FD202" s="30"/>
      <c r="FE202" s="30"/>
      <c r="FF202" s="30"/>
      <c r="FG202" s="30"/>
      <c r="FH202" s="30"/>
      <c r="FI202" s="30"/>
      <c r="FJ202" s="30"/>
      <c r="FK202" s="30"/>
      <c r="FL202" s="30" t="s">
        <v>214</v>
      </c>
      <c r="FM202" s="30"/>
      <c r="FN202" s="30"/>
      <c r="FO202" s="30"/>
      <c r="FP202" s="30"/>
      <c r="FQ202" s="30"/>
      <c r="FR202" s="30"/>
      <c r="FS202" s="30"/>
      <c r="FT202" s="30"/>
      <c r="FU202" s="30"/>
      <c r="FV202" s="30"/>
      <c r="FW202" s="30"/>
      <c r="FX202" s="30"/>
      <c r="FY202" s="30"/>
      <c r="FZ202" s="30"/>
      <c r="GA202" s="30"/>
      <c r="GB202" s="30"/>
      <c r="GC202" s="30"/>
      <c r="GD202" s="30"/>
      <c r="GE202" s="30"/>
      <c r="GF202" s="30"/>
      <c r="GG202" s="30"/>
      <c r="GH202" s="30"/>
      <c r="GI202" s="30"/>
      <c r="GJ202" s="30"/>
      <c r="GK202" s="30"/>
      <c r="GL202" s="30"/>
      <c r="GM202" s="30"/>
      <c r="GN202" s="30"/>
      <c r="GO202" s="30"/>
      <c r="GP202" s="30"/>
      <c r="GQ202" s="30"/>
      <c r="GR202" s="30"/>
      <c r="GS202" s="30"/>
      <c r="GT202" s="30"/>
      <c r="GU202" s="30" t="n">
        <v>15000</v>
      </c>
      <c r="GV202" s="30"/>
      <c r="GW202" s="30" t="n">
        <v>15000</v>
      </c>
      <c r="GX202" s="30" t="n">
        <f aca="false">SUM(N202:GW202)</f>
        <v>30000</v>
      </c>
      <c r="GY202" s="36" t="n">
        <f aca="false">SUM(L202-GX202)</f>
        <v>186000</v>
      </c>
      <c r="GZ202" s="32" t="n">
        <f aca="false">SUM( H202/5)</f>
        <v>2</v>
      </c>
      <c r="HA202" s="32" t="n">
        <f aca="false">SUM( I202/5)</f>
        <v>12.4</v>
      </c>
      <c r="HB202" s="33" t="n">
        <f aca="false">SUM(GZ202/4)</f>
        <v>0.5</v>
      </c>
      <c r="HC202" s="33" t="n">
        <f aca="false">SUM(HA202/4)</f>
        <v>3.1</v>
      </c>
    </row>
    <row r="203" customFormat="false" ht="28.5" hidden="true" customHeight="true" outlineLevel="0" collapsed="false">
      <c r="A203" s="26" t="n">
        <v>3330</v>
      </c>
      <c r="B203" s="21" t="s">
        <v>558</v>
      </c>
      <c r="C203" s="21"/>
      <c r="D203" s="34"/>
      <c r="E203" s="25" t="n">
        <v>46014</v>
      </c>
      <c r="F203" s="25" t="n">
        <f aca="false">WORKDAY(E203,G203)</f>
        <v>46098</v>
      </c>
      <c r="G203" s="26" t="n">
        <v>60</v>
      </c>
      <c r="H203" s="27" t="n">
        <f aca="false">(GX203* 5)/M203</f>
        <v>39.2592592592593</v>
      </c>
      <c r="I203" s="27" t="n">
        <f aca="false">G203-H203</f>
        <v>20.7407407407407</v>
      </c>
      <c r="J203" s="35" t="s">
        <v>559</v>
      </c>
      <c r="K203" s="36" t="n">
        <v>220000</v>
      </c>
      <c r="L203" s="36" t="n">
        <v>405000</v>
      </c>
      <c r="M203" s="29" t="n">
        <f aca="false">(L203/G203)*5</f>
        <v>33750</v>
      </c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0"/>
      <c r="DO203" s="30"/>
      <c r="DP203" s="30"/>
      <c r="DQ203" s="30"/>
      <c r="DR203" s="30"/>
      <c r="DS203" s="30"/>
      <c r="DT203" s="30"/>
      <c r="DU203" s="30"/>
      <c r="DV203" s="30"/>
      <c r="DW203" s="30"/>
      <c r="DX203" s="30"/>
      <c r="DY203" s="30"/>
      <c r="DZ203" s="30"/>
      <c r="EA203" s="30"/>
      <c r="EB203" s="30"/>
      <c r="EC203" s="30"/>
      <c r="ED203" s="30"/>
      <c r="EE203" s="30"/>
      <c r="EF203" s="30"/>
      <c r="EG203" s="30"/>
      <c r="EH203" s="30"/>
      <c r="EI203" s="30"/>
      <c r="EJ203" s="30"/>
      <c r="EK203" s="30" t="s">
        <v>214</v>
      </c>
      <c r="EL203" s="30"/>
      <c r="EM203" s="30" t="s">
        <v>214</v>
      </c>
      <c r="EN203" s="30" t="s">
        <v>214</v>
      </c>
      <c r="EO203" s="30"/>
      <c r="EP203" s="30"/>
      <c r="EQ203" s="30"/>
      <c r="ER203" s="30"/>
      <c r="ES203" s="30" t="s">
        <v>214</v>
      </c>
      <c r="ET203" s="30"/>
      <c r="EU203" s="30"/>
      <c r="EV203" s="30" t="s">
        <v>214</v>
      </c>
      <c r="EW203" s="30"/>
      <c r="EX203" s="30"/>
      <c r="EY203" s="30"/>
      <c r="EZ203" s="30"/>
      <c r="FA203" s="30"/>
      <c r="FB203" s="30"/>
      <c r="FC203" s="30" t="s">
        <v>214</v>
      </c>
      <c r="FD203" s="30"/>
      <c r="FE203" s="30"/>
      <c r="FF203" s="30"/>
      <c r="FG203" s="30"/>
      <c r="FH203" s="30"/>
      <c r="FI203" s="30"/>
      <c r="FJ203" s="30"/>
      <c r="FK203" s="30"/>
      <c r="FL203" s="30" t="s">
        <v>214</v>
      </c>
      <c r="FM203" s="30"/>
      <c r="FN203" s="30"/>
      <c r="FO203" s="30"/>
      <c r="FP203" s="30"/>
      <c r="FQ203" s="30"/>
      <c r="FR203" s="30"/>
      <c r="FS203" s="30"/>
      <c r="FT203" s="30"/>
      <c r="FU203" s="30"/>
      <c r="FV203" s="30"/>
      <c r="FW203" s="30"/>
      <c r="FX203" s="30"/>
      <c r="FY203" s="30"/>
      <c r="FZ203" s="30"/>
      <c r="GA203" s="30"/>
      <c r="GB203" s="30" t="n">
        <v>130000</v>
      </c>
      <c r="GC203" s="30"/>
      <c r="GD203" s="30"/>
      <c r="GE203" s="30"/>
      <c r="GF203" s="30"/>
      <c r="GG203" s="30" t="n">
        <v>135000</v>
      </c>
      <c r="GH203" s="30"/>
      <c r="GI203" s="30"/>
      <c r="GJ203" s="30"/>
      <c r="GK203" s="30"/>
      <c r="GL203" s="30"/>
      <c r="GM203" s="30"/>
      <c r="GN203" s="30"/>
      <c r="GO203" s="30"/>
      <c r="GP203" s="30"/>
      <c r="GQ203" s="30"/>
      <c r="GR203" s="30"/>
      <c r="GS203" s="30"/>
      <c r="GT203" s="30"/>
      <c r="GU203" s="30"/>
      <c r="GV203" s="30"/>
      <c r="GW203" s="30"/>
      <c r="GX203" s="30" t="n">
        <f aca="false">SUM(N203:GW203)</f>
        <v>265000</v>
      </c>
      <c r="GY203" s="36" t="n">
        <f aca="false">SUM(L203-GX203)</f>
        <v>140000</v>
      </c>
      <c r="GZ203" s="32" t="n">
        <f aca="false">SUM( H203/5)</f>
        <v>7.85185185185185</v>
      </c>
      <c r="HA203" s="32" t="n">
        <f aca="false">SUM( I203/5)</f>
        <v>4.14814814814815</v>
      </c>
      <c r="HB203" s="33" t="n">
        <f aca="false">SUM(GZ203/4)</f>
        <v>1.96296296296296</v>
      </c>
      <c r="HC203" s="33" t="n">
        <f aca="false">SUM(HA203/4)</f>
        <v>1.03703703703704</v>
      </c>
    </row>
    <row r="204" customFormat="false" ht="28.5" hidden="true" customHeight="true" outlineLevel="0" collapsed="false">
      <c r="A204" s="26" t="n">
        <v>3418</v>
      </c>
      <c r="B204" s="34" t="s">
        <v>560</v>
      </c>
      <c r="C204" s="34" t="s">
        <v>561</v>
      </c>
      <c r="D204" s="34" t="n">
        <v>24324078</v>
      </c>
      <c r="E204" s="25" t="n">
        <v>45877</v>
      </c>
      <c r="F204" s="25" t="n">
        <f aca="false">WORKDAY(E204,G204)</f>
        <v>46157</v>
      </c>
      <c r="G204" s="26" t="n">
        <v>200</v>
      </c>
      <c r="H204" s="27" t="n">
        <f aca="false">(GX204* 5)/M204</f>
        <v>152.564102564103</v>
      </c>
      <c r="I204" s="27" t="n">
        <f aca="false">G204-H204</f>
        <v>47.4358974358974</v>
      </c>
      <c r="J204" s="34" t="s">
        <v>562</v>
      </c>
      <c r="K204" s="36" t="n">
        <v>700000</v>
      </c>
      <c r="L204" s="36" t="n">
        <v>2184000</v>
      </c>
      <c r="M204" s="37" t="n">
        <f aca="false">(L204/G204)*5</f>
        <v>54600</v>
      </c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30"/>
      <c r="DR204" s="30"/>
      <c r="DS204" s="30"/>
      <c r="DT204" s="30"/>
      <c r="DU204" s="30"/>
      <c r="DV204" s="30"/>
      <c r="DW204" s="30"/>
      <c r="DX204" s="30"/>
      <c r="DY204" s="30"/>
      <c r="DZ204" s="30"/>
      <c r="EA204" s="30"/>
      <c r="EB204" s="30"/>
      <c r="EC204" s="30"/>
      <c r="ED204" s="30"/>
      <c r="EE204" s="30"/>
      <c r="EF204" s="30"/>
      <c r="EG204" s="30"/>
      <c r="EH204" s="30"/>
      <c r="EI204" s="30"/>
      <c r="EJ204" s="30"/>
      <c r="EK204" s="30" t="s">
        <v>214</v>
      </c>
      <c r="EL204" s="30"/>
      <c r="EM204" s="30" t="s">
        <v>214</v>
      </c>
      <c r="EN204" s="30" t="s">
        <v>214</v>
      </c>
      <c r="EO204" s="30"/>
      <c r="EP204" s="30"/>
      <c r="EQ204" s="30"/>
      <c r="ER204" s="30"/>
      <c r="ES204" s="30" t="s">
        <v>214</v>
      </c>
      <c r="ET204" s="30"/>
      <c r="EU204" s="30"/>
      <c r="EV204" s="30" t="s">
        <v>214</v>
      </c>
      <c r="EW204" s="30"/>
      <c r="EX204" s="30"/>
      <c r="EY204" s="30"/>
      <c r="EZ204" s="30"/>
      <c r="FA204" s="30"/>
      <c r="FB204" s="30"/>
      <c r="FC204" s="30"/>
      <c r="FD204" s="30"/>
      <c r="FE204" s="30"/>
      <c r="FF204" s="30" t="n">
        <v>100000</v>
      </c>
      <c r="FG204" s="30" t="n">
        <v>60000</v>
      </c>
      <c r="FH204" s="30"/>
      <c r="FI204" s="30"/>
      <c r="FJ204" s="30" t="n">
        <v>46000</v>
      </c>
      <c r="FK204" s="30"/>
      <c r="FL204" s="30"/>
      <c r="FM204" s="30" t="n">
        <v>60000</v>
      </c>
      <c r="FN204" s="30"/>
      <c r="FO204" s="30"/>
      <c r="FP204" s="30"/>
      <c r="FQ204" s="30"/>
      <c r="FR204" s="30" t="n">
        <v>100000</v>
      </c>
      <c r="FS204" s="30"/>
      <c r="FT204" s="30"/>
      <c r="FU204" s="30" t="n">
        <v>300000</v>
      </c>
      <c r="FV204" s="30"/>
      <c r="FW204" s="30" t="n">
        <v>250000</v>
      </c>
      <c r="FX204" s="30"/>
      <c r="FY204" s="30"/>
      <c r="FZ204" s="30"/>
      <c r="GA204" s="30"/>
      <c r="GB204" s="30"/>
      <c r="GC204" s="30" t="n">
        <v>100000</v>
      </c>
      <c r="GD204" s="30"/>
      <c r="GE204" s="30"/>
      <c r="GF204" s="30"/>
      <c r="GG204" s="30"/>
      <c r="GH204" s="30"/>
      <c r="GI204" s="30"/>
      <c r="GJ204" s="30"/>
      <c r="GK204" s="30" t="n">
        <v>100000</v>
      </c>
      <c r="GL204" s="30"/>
      <c r="GM204" s="30"/>
      <c r="GN204" s="30" t="n">
        <v>150000</v>
      </c>
      <c r="GO204" s="30"/>
      <c r="GP204" s="30"/>
      <c r="GQ204" s="30"/>
      <c r="GR204" s="30" t="n">
        <v>150000</v>
      </c>
      <c r="GS204" s="30"/>
      <c r="GT204" s="30"/>
      <c r="GU204" s="30"/>
      <c r="GV204" s="30" t="n">
        <v>100000</v>
      </c>
      <c r="GW204" s="30" t="n">
        <v>150000</v>
      </c>
      <c r="GX204" s="30" t="n">
        <f aca="false">SUM(N204:GW204)</f>
        <v>1666000</v>
      </c>
      <c r="GY204" s="36" t="n">
        <f aca="false">SUM(L204-GX204)</f>
        <v>518000</v>
      </c>
      <c r="GZ204" s="32" t="n">
        <f aca="false">SUM( H204/5)</f>
        <v>30.5128205128205</v>
      </c>
      <c r="HA204" s="32" t="n">
        <f aca="false">SUM( I204/5)</f>
        <v>9.48717948717949</v>
      </c>
      <c r="HB204" s="33" t="n">
        <f aca="false">SUM(GZ204/4)</f>
        <v>7.62820512820513</v>
      </c>
      <c r="HC204" s="33" t="n">
        <f aca="false">SUM(HA204/4)</f>
        <v>2.37179487179487</v>
      </c>
    </row>
    <row r="205" customFormat="false" ht="28.5" hidden="true" customHeight="true" outlineLevel="0" collapsed="false">
      <c r="A205" s="26" t="n">
        <v>3821</v>
      </c>
      <c r="B205" s="34" t="s">
        <v>563</v>
      </c>
      <c r="C205" s="34" t="s">
        <v>564</v>
      </c>
      <c r="D205" s="34"/>
      <c r="E205" s="25" t="n">
        <v>46200</v>
      </c>
      <c r="F205" s="25" t="n">
        <f aca="false">WORKDAY(E205,G205)</f>
        <v>46423</v>
      </c>
      <c r="G205" s="26" t="n">
        <v>160</v>
      </c>
      <c r="H205" s="73" t="n">
        <v>72</v>
      </c>
      <c r="I205" s="73" t="n">
        <v>0</v>
      </c>
      <c r="J205" s="34" t="s">
        <v>332</v>
      </c>
      <c r="K205" s="36" t="n">
        <v>300000</v>
      </c>
      <c r="L205" s="36" t="n">
        <v>864000</v>
      </c>
      <c r="M205" s="29" t="n">
        <f aca="false">(L205/G205)*5</f>
        <v>27000</v>
      </c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  <c r="DX205" s="30"/>
      <c r="DY205" s="30"/>
      <c r="DZ205" s="30"/>
      <c r="EA205" s="30"/>
      <c r="EB205" s="30"/>
      <c r="EC205" s="30"/>
      <c r="ED205" s="30"/>
      <c r="EE205" s="30"/>
      <c r="EF205" s="30"/>
      <c r="EG205" s="30"/>
      <c r="EH205" s="30"/>
      <c r="EI205" s="30"/>
      <c r="EJ205" s="30"/>
      <c r="EK205" s="30" t="s">
        <v>214</v>
      </c>
      <c r="EL205" s="30"/>
      <c r="EM205" s="30" t="s">
        <v>214</v>
      </c>
      <c r="EN205" s="30" t="s">
        <v>214</v>
      </c>
      <c r="EO205" s="30"/>
      <c r="EP205" s="30"/>
      <c r="EQ205" s="30"/>
      <c r="ER205" s="30"/>
      <c r="ES205" s="30" t="s">
        <v>214</v>
      </c>
      <c r="ET205" s="30"/>
      <c r="EU205" s="30"/>
      <c r="EV205" s="30" t="s">
        <v>214</v>
      </c>
      <c r="EW205" s="30"/>
      <c r="EX205" s="30"/>
      <c r="EY205" s="30"/>
      <c r="EZ205" s="30"/>
      <c r="FA205" s="30"/>
      <c r="FB205" s="30"/>
      <c r="FC205" s="30" t="s">
        <v>214</v>
      </c>
      <c r="FD205" s="30"/>
      <c r="FE205" s="30"/>
      <c r="FF205" s="30"/>
      <c r="FG205" s="30"/>
      <c r="FH205" s="30"/>
      <c r="FI205" s="30"/>
      <c r="FJ205" s="30"/>
      <c r="FK205" s="30"/>
      <c r="FL205" s="30" t="s">
        <v>214</v>
      </c>
      <c r="FM205" s="30"/>
      <c r="FN205" s="30"/>
      <c r="FO205" s="30"/>
      <c r="FP205" s="30"/>
      <c r="FQ205" s="30"/>
      <c r="FR205" s="30"/>
      <c r="FS205" s="30"/>
      <c r="FT205" s="30"/>
      <c r="FU205" s="30"/>
      <c r="FV205" s="30"/>
      <c r="FW205" s="30"/>
      <c r="FX205" s="30"/>
      <c r="FY205" s="30"/>
      <c r="FZ205" s="30"/>
      <c r="GA205" s="30"/>
      <c r="GB205" s="30"/>
      <c r="GC205" s="30"/>
      <c r="GD205" s="30"/>
      <c r="GE205" s="30"/>
      <c r="GF205" s="30"/>
      <c r="GG205" s="30"/>
      <c r="GH205" s="30"/>
      <c r="GI205" s="30"/>
      <c r="GJ205" s="30"/>
      <c r="GK205" s="30"/>
      <c r="GL205" s="30"/>
      <c r="GM205" s="30"/>
      <c r="GN205" s="30"/>
      <c r="GO205" s="30"/>
      <c r="GP205" s="30"/>
      <c r="GQ205" s="30"/>
      <c r="GR205" s="30"/>
      <c r="GS205" s="30"/>
      <c r="GT205" s="30"/>
      <c r="GU205" s="30"/>
      <c r="GV205" s="30"/>
      <c r="GW205" s="30" t="n">
        <v>27000</v>
      </c>
      <c r="GX205" s="30" t="n">
        <f aca="false">SUM(N205:GW205)</f>
        <v>27000</v>
      </c>
      <c r="GY205" s="36" t="n">
        <f aca="false">SUM(L205-GX205)</f>
        <v>837000</v>
      </c>
      <c r="GZ205" s="32" t="n">
        <f aca="false">SUM( H205/5)</f>
        <v>14.4</v>
      </c>
      <c r="HA205" s="32" t="n">
        <f aca="false">SUM( I205/5)</f>
        <v>0</v>
      </c>
      <c r="HB205" s="33" t="n">
        <f aca="false">SUM(GZ205/4)</f>
        <v>3.6</v>
      </c>
      <c r="HC205" s="33" t="n">
        <f aca="false">SUM(HA205/4)</f>
        <v>0</v>
      </c>
    </row>
    <row r="206" customFormat="false" ht="28.5" hidden="true" customHeight="true" outlineLevel="0" collapsed="false">
      <c r="A206" s="26" t="n">
        <v>3769</v>
      </c>
      <c r="B206" s="21" t="s">
        <v>565</v>
      </c>
      <c r="C206" s="21" t="s">
        <v>566</v>
      </c>
      <c r="D206" s="44"/>
      <c r="E206" s="25" t="n">
        <v>46158</v>
      </c>
      <c r="F206" s="25" t="n">
        <f aca="false">WORKDAY(E206,G206)</f>
        <v>46325</v>
      </c>
      <c r="G206" s="26" t="n">
        <v>120</v>
      </c>
      <c r="H206" s="27" t="n">
        <v>120</v>
      </c>
      <c r="I206" s="27" t="n">
        <v>0</v>
      </c>
      <c r="J206" s="38" t="s">
        <v>567</v>
      </c>
      <c r="K206" s="36" t="n">
        <v>500000</v>
      </c>
      <c r="L206" s="36" t="n">
        <v>1320000</v>
      </c>
      <c r="M206" s="37" t="n">
        <v>55000</v>
      </c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30"/>
      <c r="DR206" s="30"/>
      <c r="DS206" s="30"/>
      <c r="DT206" s="30"/>
      <c r="DU206" s="30"/>
      <c r="DV206" s="30"/>
      <c r="DW206" s="30"/>
      <c r="DX206" s="30"/>
      <c r="DY206" s="30"/>
      <c r="DZ206" s="30"/>
      <c r="EA206" s="30"/>
      <c r="EB206" s="30"/>
      <c r="EC206" s="30"/>
      <c r="ED206" s="30"/>
      <c r="EE206" s="30"/>
      <c r="EF206" s="30"/>
      <c r="EG206" s="30"/>
      <c r="EH206" s="30"/>
      <c r="EI206" s="30"/>
      <c r="EJ206" s="30"/>
      <c r="EK206" s="30" t="s">
        <v>214</v>
      </c>
      <c r="EL206" s="30"/>
      <c r="EM206" s="30" t="s">
        <v>214</v>
      </c>
      <c r="EN206" s="30" t="s">
        <v>214</v>
      </c>
      <c r="EO206" s="30"/>
      <c r="EP206" s="30"/>
      <c r="EQ206" s="30"/>
      <c r="ER206" s="30"/>
      <c r="ES206" s="30" t="s">
        <v>214</v>
      </c>
      <c r="ET206" s="30"/>
      <c r="EU206" s="30"/>
      <c r="EV206" s="30" t="s">
        <v>214</v>
      </c>
      <c r="EW206" s="30"/>
      <c r="EX206" s="30"/>
      <c r="EY206" s="30"/>
      <c r="EZ206" s="30"/>
      <c r="FA206" s="30"/>
      <c r="FB206" s="30"/>
      <c r="FC206" s="30" t="s">
        <v>214</v>
      </c>
      <c r="FD206" s="30"/>
      <c r="FE206" s="30"/>
      <c r="FF206" s="30"/>
      <c r="FG206" s="30"/>
      <c r="FH206" s="30"/>
      <c r="FI206" s="30"/>
      <c r="FJ206" s="30"/>
      <c r="FK206" s="30"/>
      <c r="FL206" s="30" t="s">
        <v>214</v>
      </c>
      <c r="FM206" s="30"/>
      <c r="FN206" s="30"/>
      <c r="FO206" s="30"/>
      <c r="FP206" s="30"/>
      <c r="FQ206" s="30"/>
      <c r="FR206" s="30"/>
      <c r="FS206" s="30"/>
      <c r="FT206" s="30"/>
      <c r="FU206" s="30"/>
      <c r="FV206" s="30"/>
      <c r="FW206" s="30"/>
      <c r="FX206" s="30"/>
      <c r="FY206" s="30"/>
      <c r="FZ206" s="30"/>
      <c r="GA206" s="30"/>
      <c r="GB206" s="30"/>
      <c r="GC206" s="30"/>
      <c r="GD206" s="30"/>
      <c r="GE206" s="30"/>
      <c r="GF206" s="30"/>
      <c r="GG206" s="30"/>
      <c r="GH206" s="30"/>
      <c r="GI206" s="30"/>
      <c r="GJ206" s="30"/>
      <c r="GK206" s="30"/>
      <c r="GL206" s="30"/>
      <c r="GM206" s="30"/>
      <c r="GN206" s="30"/>
      <c r="GO206" s="30"/>
      <c r="GP206" s="30"/>
      <c r="GQ206" s="30"/>
      <c r="GR206" s="30"/>
      <c r="GS206" s="30" t="n">
        <v>220000</v>
      </c>
      <c r="GT206" s="30"/>
      <c r="GU206" s="30"/>
      <c r="GV206" s="30"/>
      <c r="GW206" s="30"/>
      <c r="GX206" s="30" t="n">
        <f aca="false">SUM(N206:GW206)</f>
        <v>220000</v>
      </c>
      <c r="GY206" s="36" t="n">
        <f aca="false">SUM(L206-GX206)</f>
        <v>1100000</v>
      </c>
      <c r="GZ206" s="32" t="n">
        <f aca="false">SUM( H206/5)</f>
        <v>24</v>
      </c>
      <c r="HA206" s="32" t="n">
        <f aca="false">SUM( I206/5)</f>
        <v>0</v>
      </c>
      <c r="HB206" s="33" t="n">
        <f aca="false">SUM(GZ206/4)</f>
        <v>6</v>
      </c>
      <c r="HC206" s="33" t="n">
        <f aca="false">SUM(HA206/4)</f>
        <v>0</v>
      </c>
    </row>
    <row r="207" customFormat="false" ht="28.5" hidden="true" customHeight="true" outlineLevel="0" collapsed="false">
      <c r="A207" s="26" t="n">
        <v>3568</v>
      </c>
      <c r="B207" s="21" t="s">
        <v>568</v>
      </c>
      <c r="C207" s="21" t="s">
        <v>569</v>
      </c>
      <c r="D207" s="34"/>
      <c r="E207" s="25" t="n">
        <v>45859</v>
      </c>
      <c r="F207" s="25" t="n">
        <f aca="false">WORKDAY(E207,G207)</f>
        <v>46139</v>
      </c>
      <c r="G207" s="26" t="n">
        <v>200</v>
      </c>
      <c r="H207" s="27" t="n">
        <f aca="false">(GX207* 5)/M207</f>
        <v>100</v>
      </c>
      <c r="I207" s="27" t="n">
        <f aca="false">G207-H207</f>
        <v>100</v>
      </c>
      <c r="J207" s="35" t="s">
        <v>570</v>
      </c>
      <c r="K207" s="36" t="n">
        <v>250000</v>
      </c>
      <c r="L207" s="36" t="n">
        <v>850000</v>
      </c>
      <c r="M207" s="29" t="n">
        <f aca="false">(L207/G207)*5</f>
        <v>21250</v>
      </c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  <c r="DX207" s="30"/>
      <c r="DY207" s="30"/>
      <c r="DZ207" s="30"/>
      <c r="EA207" s="30"/>
      <c r="EB207" s="30"/>
      <c r="EC207" s="30"/>
      <c r="ED207" s="30"/>
      <c r="EE207" s="30"/>
      <c r="EF207" s="30"/>
      <c r="EG207" s="30"/>
      <c r="EH207" s="30"/>
      <c r="EI207" s="30"/>
      <c r="EJ207" s="30"/>
      <c r="EK207" s="30" t="s">
        <v>214</v>
      </c>
      <c r="EL207" s="30"/>
      <c r="EM207" s="30" t="s">
        <v>214</v>
      </c>
      <c r="EN207" s="30" t="s">
        <v>214</v>
      </c>
      <c r="EO207" s="30"/>
      <c r="EP207" s="30"/>
      <c r="EQ207" s="30"/>
      <c r="ER207" s="30"/>
      <c r="ES207" s="30" t="s">
        <v>214</v>
      </c>
      <c r="ET207" s="30"/>
      <c r="EU207" s="30"/>
      <c r="EV207" s="30" t="s">
        <v>214</v>
      </c>
      <c r="EW207" s="30"/>
      <c r="EX207" s="30"/>
      <c r="EY207" s="30"/>
      <c r="EZ207" s="30"/>
      <c r="FA207" s="30"/>
      <c r="FB207" s="30"/>
      <c r="FC207" s="30"/>
      <c r="FD207" s="30" t="n">
        <v>85000</v>
      </c>
      <c r="FE207" s="30"/>
      <c r="FF207" s="30"/>
      <c r="FG207" s="30"/>
      <c r="FH207" s="30" t="n">
        <v>85000</v>
      </c>
      <c r="FI207" s="30"/>
      <c r="FJ207" s="30"/>
      <c r="FK207" s="30"/>
      <c r="FL207" s="30" t="n">
        <v>85000</v>
      </c>
      <c r="FM207" s="30"/>
      <c r="FN207" s="30"/>
      <c r="FO207" s="30"/>
      <c r="FP207" s="30"/>
      <c r="FQ207" s="30"/>
      <c r="FR207" s="30"/>
      <c r="FS207" s="30"/>
      <c r="FT207" s="30"/>
      <c r="FU207" s="30" t="n">
        <v>85000</v>
      </c>
      <c r="FV207" s="30"/>
      <c r="FW207" s="30"/>
      <c r="FX207" s="30"/>
      <c r="FY207" s="30"/>
      <c r="FZ207" s="30"/>
      <c r="GA207" s="30"/>
      <c r="GB207" s="30"/>
      <c r="GC207" s="30"/>
      <c r="GD207" s="30"/>
      <c r="GE207" s="30"/>
      <c r="GF207" s="30"/>
      <c r="GG207" s="30"/>
      <c r="GH207" s="30"/>
      <c r="GI207" s="30"/>
      <c r="GJ207" s="30"/>
      <c r="GK207" s="30" t="n">
        <v>85000</v>
      </c>
      <c r="GL207" s="30"/>
      <c r="GM207" s="30"/>
      <c r="GN207" s="30"/>
      <c r="GO207" s="30"/>
      <c r="GP207" s="30"/>
      <c r="GQ207" s="30"/>
      <c r="GR207" s="30"/>
      <c r="GS207" s="30"/>
      <c r="GT207" s="30"/>
      <c r="GU207" s="30"/>
      <c r="GV207" s="30"/>
      <c r="GW207" s="30"/>
      <c r="GX207" s="30" t="n">
        <f aca="false">SUM(N207:GW207)</f>
        <v>425000</v>
      </c>
      <c r="GY207" s="36" t="n">
        <f aca="false">SUM(L207-GX207)</f>
        <v>425000</v>
      </c>
      <c r="GZ207" s="32" t="n">
        <f aca="false">SUM( H207/5)</f>
        <v>20</v>
      </c>
      <c r="HA207" s="32" t="n">
        <f aca="false">SUM( I207/5)</f>
        <v>20</v>
      </c>
      <c r="HB207" s="33" t="n">
        <f aca="false">SUM(GZ207/4)</f>
        <v>5</v>
      </c>
      <c r="HC207" s="33" t="n">
        <f aca="false">SUM(HA207/4)</f>
        <v>5</v>
      </c>
    </row>
    <row r="208" customFormat="false" ht="28.5" hidden="true" customHeight="true" outlineLevel="0" collapsed="false">
      <c r="A208" s="26" t="n">
        <v>3545</v>
      </c>
      <c r="B208" s="21" t="s">
        <v>568</v>
      </c>
      <c r="C208" s="21" t="s">
        <v>569</v>
      </c>
      <c r="D208" s="34"/>
      <c r="E208" s="25" t="n">
        <v>45927</v>
      </c>
      <c r="F208" s="25" t="n">
        <f aca="false">WORKDAY(E208,G208)</f>
        <v>46206</v>
      </c>
      <c r="G208" s="26" t="n">
        <v>200</v>
      </c>
      <c r="H208" s="27" t="n">
        <f aca="false">(GX208* 5)/M208</f>
        <v>40</v>
      </c>
      <c r="I208" s="27" t="n">
        <f aca="false">G208-H208</f>
        <v>160</v>
      </c>
      <c r="J208" s="35" t="s">
        <v>571</v>
      </c>
      <c r="K208" s="31" t="n">
        <v>200000</v>
      </c>
      <c r="L208" s="31" t="n">
        <v>624000</v>
      </c>
      <c r="M208" s="29" t="n">
        <f aca="false">(L208/G208)*5</f>
        <v>15600</v>
      </c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30"/>
      <c r="DR208" s="30"/>
      <c r="DS208" s="30"/>
      <c r="DT208" s="30"/>
      <c r="DU208" s="30"/>
      <c r="DV208" s="30"/>
      <c r="DW208" s="30"/>
      <c r="DX208" s="30"/>
      <c r="DY208" s="30"/>
      <c r="DZ208" s="30"/>
      <c r="EA208" s="30"/>
      <c r="EB208" s="30"/>
      <c r="EC208" s="30"/>
      <c r="ED208" s="30"/>
      <c r="EE208" s="30"/>
      <c r="EF208" s="30"/>
      <c r="EG208" s="30"/>
      <c r="EH208" s="30"/>
      <c r="EI208" s="30"/>
      <c r="EJ208" s="30"/>
      <c r="EK208" s="30" t="s">
        <v>214</v>
      </c>
      <c r="EL208" s="30"/>
      <c r="EM208" s="30" t="s">
        <v>214</v>
      </c>
      <c r="EN208" s="30" t="s">
        <v>214</v>
      </c>
      <c r="EO208" s="30"/>
      <c r="EP208" s="30"/>
      <c r="EQ208" s="30"/>
      <c r="ER208" s="30"/>
      <c r="ES208" s="30" t="s">
        <v>214</v>
      </c>
      <c r="ET208" s="30"/>
      <c r="EU208" s="30"/>
      <c r="EV208" s="30" t="s">
        <v>214</v>
      </c>
      <c r="EW208" s="30"/>
      <c r="EX208" s="30"/>
      <c r="EY208" s="30"/>
      <c r="EZ208" s="30"/>
      <c r="FA208" s="30"/>
      <c r="FB208" s="30"/>
      <c r="FC208" s="30" t="s">
        <v>214</v>
      </c>
      <c r="FD208" s="30"/>
      <c r="FE208" s="30"/>
      <c r="FF208" s="30"/>
      <c r="FG208" s="30"/>
      <c r="FH208" s="30"/>
      <c r="FI208" s="30"/>
      <c r="FJ208" s="30"/>
      <c r="FK208" s="30"/>
      <c r="FL208" s="30" t="n">
        <v>62400</v>
      </c>
      <c r="FM208" s="30"/>
      <c r="FN208" s="30"/>
      <c r="FO208" s="30"/>
      <c r="FP208" s="30"/>
      <c r="FQ208" s="30"/>
      <c r="FR208" s="30"/>
      <c r="FS208" s="30"/>
      <c r="FT208" s="30"/>
      <c r="FU208" s="30" t="n">
        <v>62400</v>
      </c>
      <c r="FV208" s="30"/>
      <c r="FW208" s="30"/>
      <c r="FX208" s="30"/>
      <c r="FY208" s="30"/>
      <c r="FZ208" s="30"/>
      <c r="GA208" s="30"/>
      <c r="GB208" s="30"/>
      <c r="GC208" s="30"/>
      <c r="GD208" s="30"/>
      <c r="GE208" s="30"/>
      <c r="GF208" s="30"/>
      <c r="GG208" s="30"/>
      <c r="GH208" s="30"/>
      <c r="GI208" s="30"/>
      <c r="GJ208" s="30"/>
      <c r="GK208" s="30"/>
      <c r="GL208" s="30"/>
      <c r="GM208" s="30"/>
      <c r="GN208" s="30"/>
      <c r="GO208" s="30"/>
      <c r="GP208" s="30"/>
      <c r="GQ208" s="30"/>
      <c r="GR208" s="30"/>
      <c r="GS208" s="30"/>
      <c r="GT208" s="30"/>
      <c r="GU208" s="30"/>
      <c r="GV208" s="30"/>
      <c r="GW208" s="30"/>
      <c r="GX208" s="30" t="n">
        <f aca="false">SUM(N208:GW208)</f>
        <v>124800</v>
      </c>
      <c r="GY208" s="36" t="n">
        <f aca="false">SUM(L208-GX208)</f>
        <v>499200</v>
      </c>
      <c r="GZ208" s="32" t="n">
        <f aca="false">SUM( H208/5)</f>
        <v>8</v>
      </c>
      <c r="HA208" s="32" t="n">
        <f aca="false">SUM( I208/5)</f>
        <v>32</v>
      </c>
      <c r="HB208" s="33" t="n">
        <f aca="false">SUM(GZ208/4)</f>
        <v>2</v>
      </c>
      <c r="HC208" s="33" t="n">
        <f aca="false">SUM(HA208/4)</f>
        <v>8</v>
      </c>
    </row>
    <row r="209" customFormat="false" ht="28.5" hidden="true" customHeight="true" outlineLevel="0" collapsed="false">
      <c r="A209" s="26" t="n">
        <v>3571</v>
      </c>
      <c r="B209" s="21" t="s">
        <v>568</v>
      </c>
      <c r="C209" s="21" t="s">
        <v>569</v>
      </c>
      <c r="D209" s="34"/>
      <c r="E209" s="25" t="n">
        <v>45999</v>
      </c>
      <c r="F209" s="25" t="n">
        <f aca="false">WORKDAY(E209,G209)</f>
        <v>46447</v>
      </c>
      <c r="G209" s="26" t="n">
        <v>320</v>
      </c>
      <c r="H209" s="27" t="n">
        <f aca="false">(GX209* 5)/M209</f>
        <v>60</v>
      </c>
      <c r="I209" s="27" t="n">
        <f aca="false">G209-H209</f>
        <v>260</v>
      </c>
      <c r="J209" s="35" t="s">
        <v>572</v>
      </c>
      <c r="K209" s="36" t="n">
        <v>1000000</v>
      </c>
      <c r="L209" s="36" t="n">
        <v>3520000</v>
      </c>
      <c r="M209" s="29" t="n">
        <f aca="false">(L209/G209)*5</f>
        <v>55000</v>
      </c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0"/>
      <c r="DO209" s="30"/>
      <c r="DP209" s="30"/>
      <c r="DQ209" s="30"/>
      <c r="DR209" s="30"/>
      <c r="DS209" s="30"/>
      <c r="DT209" s="30"/>
      <c r="DU209" s="30"/>
      <c r="DV209" s="30"/>
      <c r="DW209" s="30"/>
      <c r="DX209" s="30"/>
      <c r="DY209" s="30"/>
      <c r="DZ209" s="30"/>
      <c r="EA209" s="30"/>
      <c r="EB209" s="30"/>
      <c r="EC209" s="30"/>
      <c r="ED209" s="30"/>
      <c r="EE209" s="30"/>
      <c r="EF209" s="30"/>
      <c r="EG209" s="30"/>
      <c r="EH209" s="30"/>
      <c r="EI209" s="30"/>
      <c r="EJ209" s="30"/>
      <c r="EK209" s="30" t="s">
        <v>214</v>
      </c>
      <c r="EL209" s="30"/>
      <c r="EM209" s="30" t="s">
        <v>214</v>
      </c>
      <c r="EN209" s="30" t="s">
        <v>214</v>
      </c>
      <c r="EO209" s="30"/>
      <c r="EP209" s="30"/>
      <c r="EQ209" s="30"/>
      <c r="ER209" s="30"/>
      <c r="ES209" s="30" t="s">
        <v>214</v>
      </c>
      <c r="ET209" s="30"/>
      <c r="EU209" s="30"/>
      <c r="EV209" s="30" t="s">
        <v>214</v>
      </c>
      <c r="EW209" s="30"/>
      <c r="EX209" s="30"/>
      <c r="EY209" s="30"/>
      <c r="EZ209" s="30"/>
      <c r="FA209" s="30"/>
      <c r="FB209" s="30"/>
      <c r="FC209" s="30" t="s">
        <v>214</v>
      </c>
      <c r="FD209" s="30"/>
      <c r="FE209" s="30"/>
      <c r="FF209" s="30"/>
      <c r="FG209" s="30"/>
      <c r="FH209" s="30"/>
      <c r="FI209" s="30"/>
      <c r="FJ209" s="30"/>
      <c r="FK209" s="30"/>
      <c r="FL209" s="30" t="s">
        <v>214</v>
      </c>
      <c r="FM209" s="30"/>
      <c r="FN209" s="30"/>
      <c r="FO209" s="30"/>
      <c r="FP209" s="30"/>
      <c r="FQ209" s="30"/>
      <c r="FR209" s="30"/>
      <c r="FS209" s="30"/>
      <c r="FT209" s="30"/>
      <c r="FU209" s="30"/>
      <c r="FV209" s="30"/>
      <c r="FW209" s="30"/>
      <c r="FX209" s="30"/>
      <c r="FY209" s="30" t="n">
        <v>220000</v>
      </c>
      <c r="FZ209" s="30"/>
      <c r="GA209" s="30"/>
      <c r="GB209" s="30"/>
      <c r="GC209" s="30"/>
      <c r="GD209" s="30"/>
      <c r="GE209" s="30"/>
      <c r="GF209" s="30"/>
      <c r="GG209" s="30"/>
      <c r="GH209" s="30"/>
      <c r="GI209" s="30"/>
      <c r="GJ209" s="30"/>
      <c r="GK209" s="30"/>
      <c r="GL209" s="30" t="n">
        <v>220000</v>
      </c>
      <c r="GM209" s="30"/>
      <c r="GN209" s="30"/>
      <c r="GO209" s="30"/>
      <c r="GP209" s="30"/>
      <c r="GQ209" s="30"/>
      <c r="GR209" s="30"/>
      <c r="GS209" s="30"/>
      <c r="GT209" s="30"/>
      <c r="GU209" s="30"/>
      <c r="GV209" s="30"/>
      <c r="GW209" s="30" t="n">
        <v>220000</v>
      </c>
      <c r="GX209" s="30" t="n">
        <f aca="false">SUM(N209:GW209)</f>
        <v>660000</v>
      </c>
      <c r="GY209" s="36" t="n">
        <f aca="false">SUM(L209-GX209)</f>
        <v>2860000</v>
      </c>
      <c r="GZ209" s="32" t="n">
        <f aca="false">SUM( H209/5)</f>
        <v>12</v>
      </c>
      <c r="HA209" s="32" t="n">
        <f aca="false">SUM( I209/5)</f>
        <v>52</v>
      </c>
      <c r="HB209" s="33" t="n">
        <f aca="false">SUM(GZ209/4)</f>
        <v>3</v>
      </c>
      <c r="HC209" s="33" t="n">
        <f aca="false">SUM(HA209/4)</f>
        <v>13</v>
      </c>
    </row>
    <row r="210" customFormat="false" ht="28.5" hidden="true" customHeight="true" outlineLevel="0" collapsed="false">
      <c r="A210" s="26" t="n">
        <v>3792</v>
      </c>
      <c r="B210" s="21" t="s">
        <v>568</v>
      </c>
      <c r="C210" s="21" t="s">
        <v>569</v>
      </c>
      <c r="D210" s="34"/>
      <c r="E210" s="25" t="n">
        <v>46177</v>
      </c>
      <c r="F210" s="25" t="n">
        <f aca="false">WORKDAY(E210,G210)</f>
        <v>46401</v>
      </c>
      <c r="G210" s="26" t="n">
        <v>160</v>
      </c>
      <c r="H210" s="27" t="n">
        <f aca="false">(GX210* 5)/M210</f>
        <v>20</v>
      </c>
      <c r="I210" s="27" t="n">
        <f aca="false">G210-H210</f>
        <v>140</v>
      </c>
      <c r="J210" s="22" t="s">
        <v>573</v>
      </c>
      <c r="K210" s="36" t="n">
        <v>250000</v>
      </c>
      <c r="L210" s="36" t="n">
        <v>720000</v>
      </c>
      <c r="M210" s="29" t="n">
        <f aca="false">(L210/G210)*5</f>
        <v>22500</v>
      </c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30"/>
      <c r="DR210" s="30"/>
      <c r="DS210" s="30"/>
      <c r="DT210" s="30"/>
      <c r="DU210" s="30"/>
      <c r="DV210" s="30"/>
      <c r="DW210" s="30"/>
      <c r="DX210" s="30"/>
      <c r="DY210" s="30"/>
      <c r="DZ210" s="30"/>
      <c r="EA210" s="30"/>
      <c r="EB210" s="30"/>
      <c r="EC210" s="30"/>
      <c r="ED210" s="30"/>
      <c r="EE210" s="30"/>
      <c r="EF210" s="30"/>
      <c r="EG210" s="30"/>
      <c r="EH210" s="30"/>
      <c r="EI210" s="30"/>
      <c r="EJ210" s="30"/>
      <c r="EK210" s="30" t="s">
        <v>214</v>
      </c>
      <c r="EL210" s="30"/>
      <c r="EM210" s="30" t="s">
        <v>214</v>
      </c>
      <c r="EN210" s="30" t="s">
        <v>214</v>
      </c>
      <c r="EO210" s="30"/>
      <c r="EP210" s="30"/>
      <c r="EQ210" s="30"/>
      <c r="ER210" s="30"/>
      <c r="ES210" s="30" t="s">
        <v>214</v>
      </c>
      <c r="ET210" s="30"/>
      <c r="EU210" s="30"/>
      <c r="EV210" s="30" t="s">
        <v>214</v>
      </c>
      <c r="EW210" s="30"/>
      <c r="EX210" s="30"/>
      <c r="EY210" s="30"/>
      <c r="EZ210" s="30"/>
      <c r="FA210" s="30"/>
      <c r="FB210" s="30"/>
      <c r="FC210" s="30" t="s">
        <v>214</v>
      </c>
      <c r="FD210" s="30"/>
      <c r="FE210" s="30"/>
      <c r="FF210" s="30"/>
      <c r="FG210" s="30"/>
      <c r="FH210" s="30"/>
      <c r="FI210" s="30"/>
      <c r="FJ210" s="30"/>
      <c r="FK210" s="30"/>
      <c r="FL210" s="30" t="s">
        <v>214</v>
      </c>
      <c r="FM210" s="30"/>
      <c r="FN210" s="30"/>
      <c r="FO210" s="30"/>
      <c r="FP210" s="30"/>
      <c r="FQ210" s="30"/>
      <c r="FR210" s="30"/>
      <c r="FS210" s="30"/>
      <c r="FT210" s="30"/>
      <c r="FU210" s="30"/>
      <c r="FV210" s="30"/>
      <c r="FW210" s="30"/>
      <c r="FX210" s="30"/>
      <c r="FY210" s="30"/>
      <c r="FZ210" s="30"/>
      <c r="GA210" s="30"/>
      <c r="GB210" s="30"/>
      <c r="GC210" s="30"/>
      <c r="GD210" s="30"/>
      <c r="GE210" s="30"/>
      <c r="GF210" s="30"/>
      <c r="GG210" s="30"/>
      <c r="GH210" s="30"/>
      <c r="GI210" s="30"/>
      <c r="GJ210" s="30"/>
      <c r="GK210" s="30"/>
      <c r="GL210" s="30"/>
      <c r="GM210" s="30"/>
      <c r="GN210" s="30"/>
      <c r="GO210" s="30"/>
      <c r="GP210" s="30"/>
      <c r="GQ210" s="30"/>
      <c r="GR210" s="30"/>
      <c r="GS210" s="30"/>
      <c r="GT210" s="30" t="n">
        <v>22500</v>
      </c>
      <c r="GU210" s="30" t="n">
        <v>22500</v>
      </c>
      <c r="GV210" s="30" t="n">
        <v>22500</v>
      </c>
      <c r="GW210" s="30" t="n">
        <v>22500</v>
      </c>
      <c r="GX210" s="30" t="n">
        <f aca="false">SUM(N210:GW210)</f>
        <v>90000</v>
      </c>
      <c r="GY210" s="36" t="n">
        <f aca="false">SUM(L210-GX210)</f>
        <v>630000</v>
      </c>
      <c r="GZ210" s="32" t="n">
        <f aca="false">SUM( H210/5)</f>
        <v>4</v>
      </c>
      <c r="HA210" s="32" t="n">
        <f aca="false">SUM( I210/5)</f>
        <v>28</v>
      </c>
      <c r="HB210" s="33" t="n">
        <f aca="false">SUM(GZ210/4)</f>
        <v>1</v>
      </c>
      <c r="HC210" s="33" t="n">
        <f aca="false">SUM(HA210/4)</f>
        <v>7</v>
      </c>
    </row>
    <row r="211" customFormat="false" ht="28.5" hidden="true" customHeight="true" outlineLevel="0" collapsed="false">
      <c r="A211" s="26" t="n">
        <v>3678</v>
      </c>
      <c r="B211" s="21" t="s">
        <v>574</v>
      </c>
      <c r="C211" s="21" t="s">
        <v>575</v>
      </c>
      <c r="D211" s="34"/>
      <c r="E211" s="25" t="n">
        <v>46093</v>
      </c>
      <c r="F211" s="25" t="n">
        <f aca="false">WORKDAY(E211,G211)</f>
        <v>46247</v>
      </c>
      <c r="G211" s="26" t="n">
        <v>110</v>
      </c>
      <c r="H211" s="27" t="n">
        <f aca="false">(GX211* 5)/M211</f>
        <v>65</v>
      </c>
      <c r="I211" s="27" t="n">
        <f aca="false">G211-H211</f>
        <v>45</v>
      </c>
      <c r="J211" s="22" t="s">
        <v>487</v>
      </c>
      <c r="K211" s="45" t="n">
        <v>150000</v>
      </c>
      <c r="L211" s="31" t="n">
        <v>396000</v>
      </c>
      <c r="M211" s="37" t="n">
        <f aca="false">(L211/G211)*5</f>
        <v>18000</v>
      </c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30"/>
      <c r="DO211" s="30"/>
      <c r="DP211" s="30"/>
      <c r="DQ211" s="30"/>
      <c r="DR211" s="30"/>
      <c r="DS211" s="30"/>
      <c r="DT211" s="30"/>
      <c r="DU211" s="30"/>
      <c r="DV211" s="30"/>
      <c r="DW211" s="30"/>
      <c r="DX211" s="30"/>
      <c r="DY211" s="30"/>
      <c r="DZ211" s="30"/>
      <c r="EA211" s="30"/>
      <c r="EB211" s="30"/>
      <c r="EC211" s="30"/>
      <c r="ED211" s="30"/>
      <c r="EE211" s="30"/>
      <c r="EF211" s="30"/>
      <c r="EG211" s="30"/>
      <c r="EH211" s="30"/>
      <c r="EI211" s="30"/>
      <c r="EJ211" s="30"/>
      <c r="EK211" s="30" t="s">
        <v>214</v>
      </c>
      <c r="EL211" s="30"/>
      <c r="EM211" s="30" t="s">
        <v>214</v>
      </c>
      <c r="EN211" s="30" t="s">
        <v>214</v>
      </c>
      <c r="EO211" s="30"/>
      <c r="EP211" s="30"/>
      <c r="EQ211" s="30"/>
      <c r="ER211" s="30"/>
      <c r="ES211" s="30" t="s">
        <v>214</v>
      </c>
      <c r="ET211" s="30"/>
      <c r="EU211" s="30"/>
      <c r="EV211" s="30" t="s">
        <v>214</v>
      </c>
      <c r="EW211" s="30"/>
      <c r="EX211" s="30"/>
      <c r="EY211" s="30"/>
      <c r="EZ211" s="30"/>
      <c r="FA211" s="30"/>
      <c r="FB211" s="30"/>
      <c r="FC211" s="30" t="s">
        <v>214</v>
      </c>
      <c r="FD211" s="30"/>
      <c r="FE211" s="30"/>
      <c r="FF211" s="30"/>
      <c r="FG211" s="30"/>
      <c r="FH211" s="30"/>
      <c r="FI211" s="30"/>
      <c r="FJ211" s="30"/>
      <c r="FK211" s="30"/>
      <c r="FL211" s="30" t="s">
        <v>214</v>
      </c>
      <c r="FM211" s="30"/>
      <c r="FN211" s="30"/>
      <c r="FO211" s="30"/>
      <c r="FP211" s="30"/>
      <c r="FQ211" s="30"/>
      <c r="FR211" s="30"/>
      <c r="FS211" s="30"/>
      <c r="FT211" s="30"/>
      <c r="FU211" s="30"/>
      <c r="FV211" s="30"/>
      <c r="FW211" s="30"/>
      <c r="FX211" s="30"/>
      <c r="FY211" s="30"/>
      <c r="FZ211" s="30"/>
      <c r="GA211" s="30"/>
      <c r="GB211" s="30"/>
      <c r="GC211" s="30"/>
      <c r="GD211" s="30"/>
      <c r="GE211" s="30"/>
      <c r="GF211" s="30"/>
      <c r="GG211" s="30"/>
      <c r="GH211" s="30"/>
      <c r="GI211" s="30" t="n">
        <v>18000</v>
      </c>
      <c r="GJ211" s="30" t="n">
        <v>18000</v>
      </c>
      <c r="GK211" s="30" t="n">
        <v>18000</v>
      </c>
      <c r="GL211" s="30" t="n">
        <v>18000</v>
      </c>
      <c r="GM211" s="30"/>
      <c r="GN211" s="30" t="n">
        <v>18000</v>
      </c>
      <c r="GO211" s="30" t="n">
        <v>18000</v>
      </c>
      <c r="GP211" s="30" t="n">
        <v>18000</v>
      </c>
      <c r="GQ211" s="30" t="n">
        <v>36000</v>
      </c>
      <c r="GR211" s="30"/>
      <c r="GS211" s="30" t="n">
        <v>18000</v>
      </c>
      <c r="GT211" s="30" t="n">
        <v>18000</v>
      </c>
      <c r="GU211" s="30" t="n">
        <v>18000</v>
      </c>
      <c r="GV211" s="30"/>
      <c r="GW211" s="30" t="n">
        <v>18000</v>
      </c>
      <c r="GX211" s="30" t="n">
        <f aca="false">SUM(N211:GW211)</f>
        <v>234000</v>
      </c>
      <c r="GY211" s="36" t="n">
        <f aca="false">SUM(L211-GX211)</f>
        <v>162000</v>
      </c>
      <c r="GZ211" s="32" t="n">
        <f aca="false">SUM( H211/5)</f>
        <v>13</v>
      </c>
      <c r="HA211" s="32" t="n">
        <f aca="false">SUM( I211/5)</f>
        <v>9</v>
      </c>
      <c r="HB211" s="33" t="n">
        <f aca="false">SUM(GZ211/4)</f>
        <v>3.25</v>
      </c>
      <c r="HC211" s="33" t="n">
        <f aca="false">SUM(HA211/4)</f>
        <v>2.25</v>
      </c>
    </row>
    <row r="212" customFormat="false" ht="28.5" hidden="true" customHeight="true" outlineLevel="0" collapsed="false">
      <c r="A212" s="26" t="n">
        <v>3715</v>
      </c>
      <c r="B212" s="21" t="s">
        <v>574</v>
      </c>
      <c r="C212" s="21" t="s">
        <v>575</v>
      </c>
      <c r="D212" s="34"/>
      <c r="E212" s="25" t="n">
        <v>46122</v>
      </c>
      <c r="F212" s="25" t="n">
        <f aca="false">WORKDAY(E212,G212)</f>
        <v>46276</v>
      </c>
      <c r="G212" s="26" t="n">
        <v>110</v>
      </c>
      <c r="H212" s="27" t="n">
        <f aca="false">(GX212* 5)/M212</f>
        <v>40</v>
      </c>
      <c r="I212" s="27" t="n">
        <f aca="false">G212-H212</f>
        <v>70</v>
      </c>
      <c r="J212" s="22" t="s">
        <v>487</v>
      </c>
      <c r="K212" s="46" t="n">
        <v>150000</v>
      </c>
      <c r="L212" s="36" t="n">
        <v>396000</v>
      </c>
      <c r="M212" s="37" t="n">
        <f aca="false">(L212/G212)*5</f>
        <v>18000</v>
      </c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30"/>
      <c r="DR212" s="30"/>
      <c r="DS212" s="30"/>
      <c r="DT212" s="30"/>
      <c r="DU212" s="30"/>
      <c r="DV212" s="30"/>
      <c r="DW212" s="30"/>
      <c r="DX212" s="30"/>
      <c r="DY212" s="30"/>
      <c r="DZ212" s="30"/>
      <c r="EA212" s="30"/>
      <c r="EB212" s="30"/>
      <c r="EC212" s="30"/>
      <c r="ED212" s="30"/>
      <c r="EE212" s="30"/>
      <c r="EF212" s="30"/>
      <c r="EG212" s="30"/>
      <c r="EH212" s="30"/>
      <c r="EI212" s="30"/>
      <c r="EJ212" s="30"/>
      <c r="EK212" s="30" t="s">
        <v>214</v>
      </c>
      <c r="EL212" s="30"/>
      <c r="EM212" s="30" t="s">
        <v>214</v>
      </c>
      <c r="EN212" s="30" t="s">
        <v>214</v>
      </c>
      <c r="EO212" s="30"/>
      <c r="EP212" s="30"/>
      <c r="EQ212" s="30"/>
      <c r="ER212" s="30"/>
      <c r="ES212" s="30" t="s">
        <v>214</v>
      </c>
      <c r="ET212" s="30"/>
      <c r="EU212" s="30"/>
      <c r="EV212" s="30" t="s">
        <v>214</v>
      </c>
      <c r="EW212" s="30"/>
      <c r="EX212" s="30"/>
      <c r="EY212" s="30"/>
      <c r="EZ212" s="30"/>
      <c r="FA212" s="30"/>
      <c r="FB212" s="30"/>
      <c r="FC212" s="30" t="s">
        <v>214</v>
      </c>
      <c r="FD212" s="30"/>
      <c r="FE212" s="30"/>
      <c r="FF212" s="30"/>
      <c r="FG212" s="30"/>
      <c r="FH212" s="30"/>
      <c r="FI212" s="30"/>
      <c r="FJ212" s="30"/>
      <c r="FK212" s="30"/>
      <c r="FL212" s="30" t="s">
        <v>214</v>
      </c>
      <c r="FM212" s="30"/>
      <c r="FN212" s="30"/>
      <c r="FO212" s="30"/>
      <c r="FP212" s="30"/>
      <c r="FQ212" s="30"/>
      <c r="FR212" s="30"/>
      <c r="FS212" s="30"/>
      <c r="FT212" s="30"/>
      <c r="FU212" s="30"/>
      <c r="FV212" s="30"/>
      <c r="FW212" s="30"/>
      <c r="FX212" s="30"/>
      <c r="FY212" s="30"/>
      <c r="FZ212" s="30"/>
      <c r="GA212" s="30"/>
      <c r="GB212" s="30"/>
      <c r="GC212" s="30"/>
      <c r="GD212" s="30"/>
      <c r="GE212" s="30"/>
      <c r="GF212" s="30"/>
      <c r="GG212" s="30"/>
      <c r="GH212" s="30"/>
      <c r="GI212" s="30"/>
      <c r="GJ212" s="30"/>
      <c r="GK212" s="30"/>
      <c r="GL212" s="30"/>
      <c r="GM212" s="30" t="n">
        <v>18000</v>
      </c>
      <c r="GN212" s="30" t="n">
        <v>18000</v>
      </c>
      <c r="GO212" s="30"/>
      <c r="GP212" s="30"/>
      <c r="GQ212" s="30" t="n">
        <v>36000</v>
      </c>
      <c r="GR212" s="30"/>
      <c r="GS212" s="30" t="n">
        <v>18000</v>
      </c>
      <c r="GT212" s="30" t="n">
        <v>18000</v>
      </c>
      <c r="GU212" s="30" t="n">
        <v>18000</v>
      </c>
      <c r="GV212" s="30"/>
      <c r="GW212" s="30" t="n">
        <v>18000</v>
      </c>
      <c r="GX212" s="30" t="n">
        <f aca="false">SUM(N212:GW212)</f>
        <v>144000</v>
      </c>
      <c r="GY212" s="36" t="n">
        <f aca="false">SUM(L212-GX212)</f>
        <v>252000</v>
      </c>
      <c r="GZ212" s="32" t="n">
        <f aca="false">SUM( H212/5)</f>
        <v>8</v>
      </c>
      <c r="HA212" s="32" t="n">
        <f aca="false">SUM( I212/5)</f>
        <v>14</v>
      </c>
      <c r="HB212" s="33" t="n">
        <f aca="false">SUM(GZ212/4)</f>
        <v>2</v>
      </c>
      <c r="HC212" s="33" t="n">
        <f aca="false">SUM(HA212/4)</f>
        <v>3.5</v>
      </c>
    </row>
    <row r="213" customFormat="false" ht="28.5" hidden="true" customHeight="true" outlineLevel="0" collapsed="false">
      <c r="A213" s="26" t="n">
        <v>3751</v>
      </c>
      <c r="B213" s="21" t="s">
        <v>574</v>
      </c>
      <c r="C213" s="21" t="s">
        <v>575</v>
      </c>
      <c r="D213" s="34"/>
      <c r="E213" s="25" t="n">
        <v>46144</v>
      </c>
      <c r="F213" s="25" t="n">
        <f aca="false">WORKDAY(E213,G213)</f>
        <v>46297</v>
      </c>
      <c r="G213" s="26" t="n">
        <v>110</v>
      </c>
      <c r="H213" s="27" t="n">
        <f aca="false">(GX213* 5)/M213</f>
        <v>25</v>
      </c>
      <c r="I213" s="27" t="n">
        <f aca="false">G213-H213</f>
        <v>85</v>
      </c>
      <c r="J213" s="22" t="s">
        <v>487</v>
      </c>
      <c r="K213" s="46" t="n">
        <v>150000</v>
      </c>
      <c r="L213" s="36" t="n">
        <v>396000</v>
      </c>
      <c r="M213" s="29" t="n">
        <f aca="false">(L213/G213)*5</f>
        <v>18000</v>
      </c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30"/>
      <c r="DR213" s="30"/>
      <c r="DS213" s="30"/>
      <c r="DT213" s="30"/>
      <c r="DU213" s="30"/>
      <c r="DV213" s="30"/>
      <c r="DW213" s="30"/>
      <c r="DX213" s="30"/>
      <c r="DY213" s="30"/>
      <c r="DZ213" s="30"/>
      <c r="EA213" s="30"/>
      <c r="EB213" s="30"/>
      <c r="EC213" s="30"/>
      <c r="ED213" s="30"/>
      <c r="EE213" s="30"/>
      <c r="EF213" s="30"/>
      <c r="EG213" s="30"/>
      <c r="EH213" s="30"/>
      <c r="EI213" s="30"/>
      <c r="EJ213" s="30"/>
      <c r="EK213" s="30" t="s">
        <v>214</v>
      </c>
      <c r="EL213" s="30"/>
      <c r="EM213" s="30" t="s">
        <v>214</v>
      </c>
      <c r="EN213" s="30" t="s">
        <v>214</v>
      </c>
      <c r="EO213" s="30"/>
      <c r="EP213" s="30"/>
      <c r="EQ213" s="30"/>
      <c r="ER213" s="30"/>
      <c r="ES213" s="30" t="s">
        <v>214</v>
      </c>
      <c r="ET213" s="30"/>
      <c r="EU213" s="30"/>
      <c r="EV213" s="30" t="s">
        <v>214</v>
      </c>
      <c r="EW213" s="30"/>
      <c r="EX213" s="30"/>
      <c r="EY213" s="30"/>
      <c r="EZ213" s="30"/>
      <c r="FA213" s="30"/>
      <c r="FB213" s="30"/>
      <c r="FC213" s="30" t="s">
        <v>214</v>
      </c>
      <c r="FD213" s="30"/>
      <c r="FE213" s="30"/>
      <c r="FF213" s="30"/>
      <c r="FG213" s="30"/>
      <c r="FH213" s="30"/>
      <c r="FI213" s="30"/>
      <c r="FJ213" s="30"/>
      <c r="FK213" s="30"/>
      <c r="FL213" s="30" t="s">
        <v>214</v>
      </c>
      <c r="FM213" s="30"/>
      <c r="FN213" s="30"/>
      <c r="FO213" s="30"/>
      <c r="FP213" s="30"/>
      <c r="FQ213" s="30"/>
      <c r="FR213" s="30"/>
      <c r="FS213" s="30"/>
      <c r="FT213" s="30"/>
      <c r="FU213" s="30"/>
      <c r="FV213" s="30"/>
      <c r="FW213" s="30"/>
      <c r="FX213" s="30"/>
      <c r="FY213" s="30"/>
      <c r="FZ213" s="30"/>
      <c r="GA213" s="30"/>
      <c r="GB213" s="30"/>
      <c r="GC213" s="30"/>
      <c r="GD213" s="30"/>
      <c r="GE213" s="30"/>
      <c r="GF213" s="30"/>
      <c r="GG213" s="30"/>
      <c r="GH213" s="30"/>
      <c r="GI213" s="30"/>
      <c r="GJ213" s="30"/>
      <c r="GK213" s="30"/>
      <c r="GL213" s="30"/>
      <c r="GM213" s="30"/>
      <c r="GN213" s="30"/>
      <c r="GO213" s="30"/>
      <c r="GP213" s="30" t="n">
        <v>18000</v>
      </c>
      <c r="GQ213" s="30" t="n">
        <v>18000</v>
      </c>
      <c r="GR213" s="30"/>
      <c r="GS213" s="30"/>
      <c r="GT213" s="30" t="n">
        <v>18000</v>
      </c>
      <c r="GU213" s="30" t="n">
        <v>18000</v>
      </c>
      <c r="GV213" s="30"/>
      <c r="GW213" s="30" t="n">
        <v>18000</v>
      </c>
      <c r="GX213" s="30" t="n">
        <f aca="false">SUM(N213:GW213)</f>
        <v>90000</v>
      </c>
      <c r="GY213" s="36" t="n">
        <f aca="false">SUM(L213-GX213)</f>
        <v>306000</v>
      </c>
      <c r="GZ213" s="32" t="n">
        <f aca="false">SUM( H213/5)</f>
        <v>5</v>
      </c>
      <c r="HA213" s="32" t="n">
        <f aca="false">SUM( I213/5)</f>
        <v>17</v>
      </c>
      <c r="HB213" s="33" t="n">
        <f aca="false">SUM(GZ213/4)</f>
        <v>1.25</v>
      </c>
      <c r="HC213" s="33" t="n">
        <f aca="false">SUM(HA213/4)</f>
        <v>4.25</v>
      </c>
    </row>
    <row r="214" customFormat="false" ht="28.5" hidden="true" customHeight="true" outlineLevel="0" collapsed="false">
      <c r="A214" s="26" t="n">
        <v>3772</v>
      </c>
      <c r="B214" s="21" t="s">
        <v>574</v>
      </c>
      <c r="C214" s="21" t="s">
        <v>575</v>
      </c>
      <c r="D214" s="34"/>
      <c r="E214" s="25" t="n">
        <v>46163</v>
      </c>
      <c r="F214" s="25" t="n">
        <f aca="false">WORKDAY(E214,G214)</f>
        <v>46317</v>
      </c>
      <c r="G214" s="26" t="n">
        <v>110</v>
      </c>
      <c r="H214" s="27" t="n">
        <f aca="false">(GX214* 5)/M214</f>
        <v>10</v>
      </c>
      <c r="I214" s="27" t="n">
        <f aca="false">G214-H214</f>
        <v>100</v>
      </c>
      <c r="J214" s="22" t="s">
        <v>487</v>
      </c>
      <c r="K214" s="36" t="n">
        <v>150000</v>
      </c>
      <c r="L214" s="36" t="n">
        <v>396000</v>
      </c>
      <c r="M214" s="37" t="n">
        <f aca="false">(L214/G214)*5</f>
        <v>18000</v>
      </c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  <c r="DX214" s="30"/>
      <c r="DY214" s="30"/>
      <c r="DZ214" s="30"/>
      <c r="EA214" s="30"/>
      <c r="EB214" s="30"/>
      <c r="EC214" s="30"/>
      <c r="ED214" s="30"/>
      <c r="EE214" s="30"/>
      <c r="EF214" s="30"/>
      <c r="EG214" s="30"/>
      <c r="EH214" s="30"/>
      <c r="EI214" s="30"/>
      <c r="EJ214" s="30"/>
      <c r="EK214" s="30" t="s">
        <v>214</v>
      </c>
      <c r="EL214" s="30"/>
      <c r="EM214" s="30" t="s">
        <v>214</v>
      </c>
      <c r="EN214" s="30" t="s">
        <v>214</v>
      </c>
      <c r="EO214" s="30"/>
      <c r="EP214" s="30"/>
      <c r="EQ214" s="30"/>
      <c r="ER214" s="30"/>
      <c r="ES214" s="30" t="s">
        <v>214</v>
      </c>
      <c r="ET214" s="30"/>
      <c r="EU214" s="30"/>
      <c r="EV214" s="30" t="s">
        <v>214</v>
      </c>
      <c r="EW214" s="30"/>
      <c r="EX214" s="30"/>
      <c r="EY214" s="30"/>
      <c r="EZ214" s="30"/>
      <c r="FA214" s="30"/>
      <c r="FB214" s="30"/>
      <c r="FC214" s="30" t="s">
        <v>214</v>
      </c>
      <c r="FD214" s="30"/>
      <c r="FE214" s="30"/>
      <c r="FF214" s="30"/>
      <c r="FG214" s="30"/>
      <c r="FH214" s="30"/>
      <c r="FI214" s="30"/>
      <c r="FJ214" s="30"/>
      <c r="FK214" s="30"/>
      <c r="FL214" s="30" t="s">
        <v>214</v>
      </c>
      <c r="FM214" s="30"/>
      <c r="FN214" s="30"/>
      <c r="FO214" s="30"/>
      <c r="FP214" s="30"/>
      <c r="FQ214" s="30"/>
      <c r="FR214" s="30"/>
      <c r="FS214" s="30"/>
      <c r="FT214" s="30"/>
      <c r="FU214" s="30"/>
      <c r="FV214" s="30"/>
      <c r="FW214" s="30"/>
      <c r="FX214" s="30"/>
      <c r="FY214" s="30"/>
      <c r="FZ214" s="30"/>
      <c r="GA214" s="30"/>
      <c r="GB214" s="30"/>
      <c r="GC214" s="30"/>
      <c r="GD214" s="30"/>
      <c r="GE214" s="30"/>
      <c r="GF214" s="30"/>
      <c r="GG214" s="30"/>
      <c r="GH214" s="30"/>
      <c r="GI214" s="30"/>
      <c r="GJ214" s="30"/>
      <c r="GK214" s="30"/>
      <c r="GL214" s="30"/>
      <c r="GM214" s="30"/>
      <c r="GN214" s="30"/>
      <c r="GO214" s="30"/>
      <c r="GP214" s="30"/>
      <c r="GQ214" s="30"/>
      <c r="GR214" s="30"/>
      <c r="GS214" s="30"/>
      <c r="GT214" s="30" t="n">
        <v>18000</v>
      </c>
      <c r="GU214" s="30"/>
      <c r="GV214" s="30" t="n">
        <v>18000</v>
      </c>
      <c r="GW214" s="30"/>
      <c r="GX214" s="30" t="n">
        <f aca="false">SUM(N214:GW214)</f>
        <v>36000</v>
      </c>
      <c r="GY214" s="36" t="n">
        <f aca="false">SUM(L214-GX214)</f>
        <v>360000</v>
      </c>
      <c r="GZ214" s="32" t="n">
        <f aca="false">SUM( H214/5)</f>
        <v>2</v>
      </c>
      <c r="HA214" s="32" t="n">
        <f aca="false">SUM( I214/5)</f>
        <v>20</v>
      </c>
      <c r="HB214" s="33" t="n">
        <f aca="false">SUM(GZ214/4)</f>
        <v>0.5</v>
      </c>
      <c r="HC214" s="33" t="n">
        <f aca="false">SUM(HA214/4)</f>
        <v>5</v>
      </c>
    </row>
    <row r="215" customFormat="false" ht="28.5" hidden="true" customHeight="true" outlineLevel="0" collapsed="false">
      <c r="A215" s="26" t="n">
        <v>3758</v>
      </c>
      <c r="B215" s="21" t="s">
        <v>576</v>
      </c>
      <c r="C215" s="21" t="s">
        <v>577</v>
      </c>
      <c r="D215" s="34"/>
      <c r="E215" s="25" t="n">
        <v>46151</v>
      </c>
      <c r="F215" s="25" t="n">
        <v>46098</v>
      </c>
      <c r="G215" s="26" t="n">
        <v>160</v>
      </c>
      <c r="H215" s="27" t="n">
        <f aca="false">(GX215* 5)/M215</f>
        <v>20</v>
      </c>
      <c r="I215" s="27" t="n">
        <f aca="false">G215-H215</f>
        <v>140</v>
      </c>
      <c r="J215" s="35" t="s">
        <v>395</v>
      </c>
      <c r="K215" s="31" t="n">
        <v>300000</v>
      </c>
      <c r="L215" s="31" t="n">
        <v>864000</v>
      </c>
      <c r="M215" s="37" t="n">
        <f aca="false">(L215/G215)*5</f>
        <v>27000</v>
      </c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30"/>
      <c r="DO215" s="30"/>
      <c r="DP215" s="30"/>
      <c r="DQ215" s="30"/>
      <c r="DR215" s="30"/>
      <c r="DS215" s="30"/>
      <c r="DT215" s="30"/>
      <c r="DU215" s="30"/>
      <c r="DV215" s="30"/>
      <c r="DW215" s="30"/>
      <c r="DX215" s="30"/>
      <c r="DY215" s="30"/>
      <c r="DZ215" s="30"/>
      <c r="EA215" s="30"/>
      <c r="EB215" s="30"/>
      <c r="EC215" s="30"/>
      <c r="ED215" s="30"/>
      <c r="EE215" s="30"/>
      <c r="EF215" s="30"/>
      <c r="EG215" s="30"/>
      <c r="EH215" s="30"/>
      <c r="EI215" s="30"/>
      <c r="EJ215" s="30"/>
      <c r="EK215" s="30" t="s">
        <v>214</v>
      </c>
      <c r="EL215" s="30"/>
      <c r="EM215" s="30" t="s">
        <v>214</v>
      </c>
      <c r="EN215" s="30" t="s">
        <v>214</v>
      </c>
      <c r="EO215" s="30"/>
      <c r="EP215" s="30"/>
      <c r="EQ215" s="30"/>
      <c r="ER215" s="30"/>
      <c r="ES215" s="30" t="s">
        <v>214</v>
      </c>
      <c r="ET215" s="30"/>
      <c r="EU215" s="30"/>
      <c r="EV215" s="30" t="s">
        <v>214</v>
      </c>
      <c r="EW215" s="30"/>
      <c r="EX215" s="30"/>
      <c r="EY215" s="30"/>
      <c r="EZ215" s="30"/>
      <c r="FA215" s="30"/>
      <c r="FB215" s="30"/>
      <c r="FC215" s="30" t="s">
        <v>214</v>
      </c>
      <c r="FD215" s="30"/>
      <c r="FE215" s="30"/>
      <c r="FF215" s="30"/>
      <c r="FG215" s="30"/>
      <c r="FH215" s="30"/>
      <c r="FI215" s="30"/>
      <c r="FJ215" s="30"/>
      <c r="FK215" s="30"/>
      <c r="FL215" s="30" t="s">
        <v>214</v>
      </c>
      <c r="FM215" s="30"/>
      <c r="FN215" s="30"/>
      <c r="FO215" s="30"/>
      <c r="FP215" s="30"/>
      <c r="FQ215" s="30"/>
      <c r="FR215" s="30"/>
      <c r="FS215" s="30"/>
      <c r="FT215" s="30"/>
      <c r="FU215" s="30"/>
      <c r="FV215" s="30"/>
      <c r="FW215" s="30"/>
      <c r="FX215" s="30"/>
      <c r="FY215" s="30"/>
      <c r="FZ215" s="30"/>
      <c r="GA215" s="30"/>
      <c r="GB215" s="30"/>
      <c r="GC215" s="30"/>
      <c r="GD215" s="30"/>
      <c r="GE215" s="30"/>
      <c r="GF215" s="30"/>
      <c r="GG215" s="30"/>
      <c r="GH215" s="30"/>
      <c r="GI215" s="30"/>
      <c r="GJ215" s="30"/>
      <c r="GK215" s="30"/>
      <c r="GL215" s="30"/>
      <c r="GM215" s="30"/>
      <c r="GN215" s="30"/>
      <c r="GO215" s="30"/>
      <c r="GP215" s="30"/>
      <c r="GQ215" s="30" t="s">
        <v>214</v>
      </c>
      <c r="GR215" s="30"/>
      <c r="GS215" s="30"/>
      <c r="GT215" s="30" t="n">
        <v>108000</v>
      </c>
      <c r="GU215" s="30"/>
      <c r="GV215" s="30"/>
      <c r="GW215" s="30"/>
      <c r="GX215" s="30" t="n">
        <f aca="false">SUM(N215:GW215)</f>
        <v>108000</v>
      </c>
      <c r="GY215" s="36" t="n">
        <f aca="false">SUM(L215-GX215)</f>
        <v>756000</v>
      </c>
      <c r="GZ215" s="32" t="n">
        <f aca="false">SUM( H215/5)</f>
        <v>4</v>
      </c>
      <c r="HA215" s="32" t="n">
        <f aca="false">SUM( I215/5)</f>
        <v>28</v>
      </c>
      <c r="HB215" s="33" t="n">
        <f aca="false">SUM(GZ215/4)</f>
        <v>1</v>
      </c>
      <c r="HC215" s="33" t="n">
        <f aca="false">SUM(HA215/4)</f>
        <v>7</v>
      </c>
    </row>
    <row r="216" customFormat="false" ht="28.5" hidden="true" customHeight="true" outlineLevel="0" collapsed="false">
      <c r="A216" s="26" t="n">
        <v>3666</v>
      </c>
      <c r="B216" s="21" t="s">
        <v>578</v>
      </c>
      <c r="C216" s="21" t="s">
        <v>579</v>
      </c>
      <c r="D216" s="34"/>
      <c r="E216" s="25" t="n">
        <v>46084</v>
      </c>
      <c r="F216" s="25" t="n">
        <f aca="false">WORKDAY(E216,G216)</f>
        <v>46184</v>
      </c>
      <c r="G216" s="26" t="n">
        <v>72</v>
      </c>
      <c r="H216" s="27" t="n">
        <f aca="false">(GX216* 5)/M216</f>
        <v>55</v>
      </c>
      <c r="I216" s="27" t="n">
        <f aca="false">G216-H216</f>
        <v>17</v>
      </c>
      <c r="J216" s="22" t="s">
        <v>244</v>
      </c>
      <c r="K216" s="36" t="n">
        <v>200000</v>
      </c>
      <c r="L216" s="36" t="n">
        <v>432000</v>
      </c>
      <c r="M216" s="29" t="n">
        <f aca="false">(L216/G216)*5</f>
        <v>30000</v>
      </c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30"/>
      <c r="DO216" s="30"/>
      <c r="DP216" s="30"/>
      <c r="DQ216" s="30"/>
      <c r="DR216" s="30"/>
      <c r="DS216" s="30"/>
      <c r="DT216" s="30"/>
      <c r="DU216" s="30"/>
      <c r="DV216" s="30"/>
      <c r="DW216" s="30"/>
      <c r="DX216" s="30"/>
      <c r="DY216" s="30"/>
      <c r="DZ216" s="30"/>
      <c r="EA216" s="30"/>
      <c r="EB216" s="30"/>
      <c r="EC216" s="30"/>
      <c r="ED216" s="30"/>
      <c r="EE216" s="30"/>
      <c r="EF216" s="30"/>
      <c r="EG216" s="30"/>
      <c r="EH216" s="30"/>
      <c r="EI216" s="30"/>
      <c r="EJ216" s="30"/>
      <c r="EK216" s="30" t="s">
        <v>214</v>
      </c>
      <c r="EL216" s="30"/>
      <c r="EM216" s="30" t="s">
        <v>214</v>
      </c>
      <c r="EN216" s="30" t="s">
        <v>214</v>
      </c>
      <c r="EO216" s="30"/>
      <c r="EP216" s="30"/>
      <c r="EQ216" s="30"/>
      <c r="ER216" s="30"/>
      <c r="ES216" s="30" t="s">
        <v>214</v>
      </c>
      <c r="ET216" s="30"/>
      <c r="EU216" s="30"/>
      <c r="EV216" s="30" t="s">
        <v>214</v>
      </c>
      <c r="EW216" s="30"/>
      <c r="EX216" s="30"/>
      <c r="EY216" s="30"/>
      <c r="EZ216" s="30"/>
      <c r="FA216" s="30"/>
      <c r="FB216" s="30"/>
      <c r="FC216" s="30" t="s">
        <v>214</v>
      </c>
      <c r="FD216" s="30"/>
      <c r="FE216" s="30"/>
      <c r="FF216" s="30"/>
      <c r="FG216" s="30"/>
      <c r="FH216" s="30"/>
      <c r="FI216" s="30"/>
      <c r="FJ216" s="30"/>
      <c r="FK216" s="30"/>
      <c r="FL216" s="30" t="s">
        <v>214</v>
      </c>
      <c r="FM216" s="30"/>
      <c r="FN216" s="30"/>
      <c r="FO216" s="30"/>
      <c r="FP216" s="30"/>
      <c r="FQ216" s="30"/>
      <c r="FR216" s="30"/>
      <c r="FS216" s="30"/>
      <c r="FT216" s="30"/>
      <c r="FU216" s="30"/>
      <c r="FV216" s="30"/>
      <c r="FW216" s="30"/>
      <c r="FX216" s="30"/>
      <c r="FY216" s="30"/>
      <c r="FZ216" s="30"/>
      <c r="GA216" s="30"/>
      <c r="GB216" s="30"/>
      <c r="GC216" s="30"/>
      <c r="GD216" s="30"/>
      <c r="GE216" s="30"/>
      <c r="GF216" s="30"/>
      <c r="GG216" s="30"/>
      <c r="GH216" s="30" t="n">
        <v>30000</v>
      </c>
      <c r="GI216" s="30" t="n">
        <v>30000</v>
      </c>
      <c r="GJ216" s="30" t="n">
        <v>30000</v>
      </c>
      <c r="GK216" s="30" t="n">
        <v>30000</v>
      </c>
      <c r="GL216" s="30" t="n">
        <v>30000</v>
      </c>
      <c r="GM216" s="30" t="n">
        <v>30000</v>
      </c>
      <c r="GN216" s="30" t="n">
        <v>30000</v>
      </c>
      <c r="GO216" s="30"/>
      <c r="GP216" s="30" t="n">
        <v>30000</v>
      </c>
      <c r="GQ216" s="30" t="n">
        <v>30000</v>
      </c>
      <c r="GR216" s="30"/>
      <c r="GS216" s="30" t="n">
        <v>30000</v>
      </c>
      <c r="GT216" s="30"/>
      <c r="GU216" s="30" t="n">
        <v>30000</v>
      </c>
      <c r="GV216" s="30"/>
      <c r="GW216" s="30"/>
      <c r="GX216" s="30" t="n">
        <f aca="false">SUM(N216:GW216)</f>
        <v>330000</v>
      </c>
      <c r="GY216" s="36" t="n">
        <f aca="false">SUM(L216-GX216)</f>
        <v>102000</v>
      </c>
      <c r="GZ216" s="32" t="n">
        <f aca="false">SUM( H216/5)</f>
        <v>11</v>
      </c>
      <c r="HA216" s="32" t="n">
        <f aca="false">SUM( I216/5)</f>
        <v>3.4</v>
      </c>
      <c r="HB216" s="33" t="n">
        <f aca="false">SUM(GZ216/4)</f>
        <v>2.75</v>
      </c>
      <c r="HC216" s="33" t="n">
        <f aca="false">SUM(HA216/4)</f>
        <v>0.85</v>
      </c>
    </row>
    <row r="217" customFormat="false" ht="28.5" hidden="true" customHeight="true" outlineLevel="0" collapsed="false">
      <c r="A217" s="26" t="n">
        <v>3717</v>
      </c>
      <c r="B217" s="21" t="s">
        <v>578</v>
      </c>
      <c r="C217" s="21" t="s">
        <v>579</v>
      </c>
      <c r="D217" s="34"/>
      <c r="E217" s="25" t="n">
        <v>46123</v>
      </c>
      <c r="F217" s="25" t="n">
        <f aca="false">WORKDAY(E217,G217)</f>
        <v>46224</v>
      </c>
      <c r="G217" s="26" t="n">
        <v>72</v>
      </c>
      <c r="H217" s="27" t="n">
        <f aca="false">(GX217* 5)/M217</f>
        <v>25</v>
      </c>
      <c r="I217" s="27" t="n">
        <f aca="false">G217-H217</f>
        <v>47</v>
      </c>
      <c r="J217" s="22" t="s">
        <v>245</v>
      </c>
      <c r="K217" s="36" t="n">
        <v>300000</v>
      </c>
      <c r="L217" s="36" t="n">
        <v>648000</v>
      </c>
      <c r="M217" s="29" t="n">
        <f aca="false">(L217/G217)*5</f>
        <v>45000</v>
      </c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74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  <c r="DK217" s="74"/>
      <c r="DL217" s="74"/>
      <c r="DM217" s="74"/>
      <c r="DN217" s="74"/>
      <c r="DO217" s="74"/>
      <c r="DP217" s="74"/>
      <c r="DQ217" s="74"/>
      <c r="DR217" s="74"/>
      <c r="DS217" s="74"/>
      <c r="DT217" s="74"/>
      <c r="DU217" s="74"/>
      <c r="DV217" s="74"/>
      <c r="DW217" s="74"/>
      <c r="DX217" s="74"/>
      <c r="DY217" s="74"/>
      <c r="DZ217" s="74"/>
      <c r="EA217" s="74"/>
      <c r="EB217" s="74"/>
      <c r="EC217" s="74"/>
      <c r="ED217" s="74"/>
      <c r="EE217" s="74"/>
      <c r="EF217" s="74"/>
      <c r="EG217" s="74"/>
      <c r="EH217" s="74"/>
      <c r="EI217" s="74"/>
      <c r="EJ217" s="74"/>
      <c r="EK217" s="74" t="s">
        <v>214</v>
      </c>
      <c r="EL217" s="74"/>
      <c r="EM217" s="74" t="s">
        <v>214</v>
      </c>
      <c r="EN217" s="74" t="s">
        <v>214</v>
      </c>
      <c r="EO217" s="74"/>
      <c r="EP217" s="74"/>
      <c r="EQ217" s="74"/>
      <c r="ER217" s="74"/>
      <c r="ES217" s="74" t="s">
        <v>214</v>
      </c>
      <c r="ET217" s="74"/>
      <c r="EU217" s="74"/>
      <c r="EV217" s="74" t="s">
        <v>214</v>
      </c>
      <c r="EW217" s="74"/>
      <c r="EX217" s="74"/>
      <c r="EY217" s="74"/>
      <c r="EZ217" s="74"/>
      <c r="FA217" s="74"/>
      <c r="FB217" s="74"/>
      <c r="FC217" s="74" t="s">
        <v>214</v>
      </c>
      <c r="FD217" s="74"/>
      <c r="FE217" s="74"/>
      <c r="FF217" s="74"/>
      <c r="FG217" s="74"/>
      <c r="FH217" s="74"/>
      <c r="FI217" s="74"/>
      <c r="FJ217" s="74"/>
      <c r="FK217" s="74"/>
      <c r="FL217" s="74" t="s">
        <v>214</v>
      </c>
      <c r="FM217" s="74"/>
      <c r="FN217" s="74"/>
      <c r="FO217" s="74"/>
      <c r="FP217" s="74"/>
      <c r="FQ217" s="74"/>
      <c r="FR217" s="74"/>
      <c r="FS217" s="74"/>
      <c r="FT217" s="74"/>
      <c r="FU217" s="74"/>
      <c r="FV217" s="74"/>
      <c r="FW217" s="74"/>
      <c r="FX217" s="74"/>
      <c r="FY217" s="74"/>
      <c r="FZ217" s="74"/>
      <c r="GA217" s="74"/>
      <c r="GB217" s="74"/>
      <c r="GC217" s="74"/>
      <c r="GD217" s="74"/>
      <c r="GE217" s="74"/>
      <c r="GF217" s="74"/>
      <c r="GG217" s="74"/>
      <c r="GH217" s="74"/>
      <c r="GI217" s="74"/>
      <c r="GJ217" s="74"/>
      <c r="GK217" s="74"/>
      <c r="GL217" s="74"/>
      <c r="GM217" s="74"/>
      <c r="GN217" s="74" t="n">
        <v>45000</v>
      </c>
      <c r="GO217" s="74"/>
      <c r="GP217" s="74" t="n">
        <v>45000</v>
      </c>
      <c r="GQ217" s="74" t="n">
        <v>45000</v>
      </c>
      <c r="GR217" s="74"/>
      <c r="GS217" s="74" t="n">
        <v>45000</v>
      </c>
      <c r="GT217" s="74" t="n">
        <v>45000</v>
      </c>
      <c r="GU217" s="74"/>
      <c r="GV217" s="74"/>
      <c r="GW217" s="74"/>
      <c r="GX217" s="30" t="n">
        <f aca="false">SUM(N217:GW217)</f>
        <v>225000</v>
      </c>
      <c r="GY217" s="36" t="n">
        <f aca="false">SUM(L217-GX217)</f>
        <v>423000</v>
      </c>
      <c r="GZ217" s="75" t="n">
        <f aca="false">SUM( H217/5)</f>
        <v>5</v>
      </c>
      <c r="HA217" s="75" t="n">
        <f aca="false">SUM( I217/5)</f>
        <v>9.4</v>
      </c>
      <c r="HB217" s="76" t="n">
        <f aca="false">SUM(GZ217/4)</f>
        <v>1.25</v>
      </c>
      <c r="HC217" s="76" t="n">
        <f aca="false">SUM(HA217/4)</f>
        <v>2.35</v>
      </c>
    </row>
    <row r="218" customFormat="false" ht="28.5" hidden="true" customHeight="true" outlineLevel="0" collapsed="false">
      <c r="A218" s="26" t="n">
        <v>3823</v>
      </c>
      <c r="B218" s="21" t="s">
        <v>578</v>
      </c>
      <c r="C218" s="21" t="s">
        <v>579</v>
      </c>
      <c r="D218" s="34"/>
      <c r="E218" s="25" t="n">
        <v>46200</v>
      </c>
      <c r="F218" s="25" t="n">
        <v>46064</v>
      </c>
      <c r="G218" s="26" t="n">
        <v>18</v>
      </c>
      <c r="H218" s="27" t="e">
        <f aca="false">(GX218* 5)/M218</f>
        <v>#DIV/0!</v>
      </c>
      <c r="I218" s="27" t="e">
        <f aca="false">G218-H218</f>
        <v>#DIV/0!</v>
      </c>
      <c r="J218" s="22" t="s">
        <v>580</v>
      </c>
      <c r="K218" s="36" t="n">
        <v>250000</v>
      </c>
      <c r="L218" s="36" t="n">
        <v>350000</v>
      </c>
      <c r="M218" s="29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30"/>
      <c r="DO218" s="30"/>
      <c r="DP218" s="30"/>
      <c r="DQ218" s="30"/>
      <c r="DR218" s="30"/>
      <c r="DS218" s="30"/>
      <c r="DT218" s="30"/>
      <c r="DU218" s="30"/>
      <c r="DV218" s="30"/>
      <c r="DW218" s="30"/>
      <c r="DX218" s="30"/>
      <c r="DY218" s="30"/>
      <c r="DZ218" s="30"/>
      <c r="EA218" s="30"/>
      <c r="EB218" s="30"/>
      <c r="EC218" s="30"/>
      <c r="ED218" s="30"/>
      <c r="EE218" s="30"/>
      <c r="EF218" s="30"/>
      <c r="EG218" s="30"/>
      <c r="EH218" s="30"/>
      <c r="EI218" s="30"/>
      <c r="EJ218" s="30"/>
      <c r="EK218" s="30" t="s">
        <v>214</v>
      </c>
      <c r="EL218" s="30"/>
      <c r="EM218" s="30" t="s">
        <v>214</v>
      </c>
      <c r="EN218" s="30" t="s">
        <v>214</v>
      </c>
      <c r="EO218" s="30"/>
      <c r="EP218" s="30"/>
      <c r="EQ218" s="30"/>
      <c r="ER218" s="30"/>
      <c r="ES218" s="30" t="s">
        <v>214</v>
      </c>
      <c r="ET218" s="30"/>
      <c r="EU218" s="30"/>
      <c r="EV218" s="30" t="s">
        <v>214</v>
      </c>
      <c r="EW218" s="30"/>
      <c r="EX218" s="30"/>
      <c r="EY218" s="30"/>
      <c r="EZ218" s="30"/>
      <c r="FA218" s="30"/>
      <c r="FB218" s="30"/>
      <c r="FC218" s="30" t="s">
        <v>214</v>
      </c>
      <c r="FD218" s="30"/>
      <c r="FE218" s="30"/>
      <c r="FF218" s="30"/>
      <c r="FG218" s="30"/>
      <c r="FH218" s="30"/>
      <c r="FI218" s="30"/>
      <c r="FJ218" s="30"/>
      <c r="FK218" s="30"/>
      <c r="FL218" s="30" t="s">
        <v>214</v>
      </c>
      <c r="FM218" s="30"/>
      <c r="FN218" s="30"/>
      <c r="FO218" s="30"/>
      <c r="FP218" s="30"/>
      <c r="FQ218" s="30"/>
      <c r="FR218" s="30"/>
      <c r="FS218" s="30"/>
      <c r="FT218" s="30"/>
      <c r="FU218" s="30"/>
      <c r="FV218" s="30"/>
      <c r="FW218" s="30"/>
      <c r="FX218" s="30"/>
      <c r="FY218" s="30"/>
      <c r="FZ218" s="30"/>
      <c r="GA218" s="30"/>
      <c r="GB218" s="30"/>
      <c r="GC218" s="30"/>
      <c r="GD218" s="30"/>
      <c r="GE218" s="30"/>
      <c r="GF218" s="30"/>
      <c r="GG218" s="30"/>
      <c r="GH218" s="30"/>
      <c r="GI218" s="30"/>
      <c r="GJ218" s="30"/>
      <c r="GK218" s="30"/>
      <c r="GL218" s="30"/>
      <c r="GM218" s="30"/>
      <c r="GN218" s="30"/>
      <c r="GO218" s="30"/>
      <c r="GP218" s="30"/>
      <c r="GQ218" s="30"/>
      <c r="GR218" s="30"/>
      <c r="GS218" s="30"/>
      <c r="GT218" s="30"/>
      <c r="GU218" s="30"/>
      <c r="GV218" s="30"/>
      <c r="GW218" s="30"/>
      <c r="GX218" s="30" t="n">
        <f aca="false">SUM(N218:GW218)</f>
        <v>0</v>
      </c>
      <c r="GY218" s="36" t="n">
        <f aca="false">SUM(L218-GX218)</f>
        <v>350000</v>
      </c>
      <c r="GZ218" s="32" t="e">
        <f aca="false">SUM( H218/5)</f>
        <v>#DIV/0!</v>
      </c>
      <c r="HA218" s="32" t="e">
        <f aca="false">SUM( I218/5)</f>
        <v>#DIV/0!</v>
      </c>
      <c r="HB218" s="33" t="e">
        <f aca="false">SUM(GZ218/4)</f>
        <v>#DIV/0!</v>
      </c>
      <c r="HC218" s="33" t="e">
        <f aca="false">SUM(HA218/4)</f>
        <v>#DIV/0!</v>
      </c>
    </row>
    <row r="219" customFormat="false" ht="28.5" hidden="true" customHeight="true" outlineLevel="0" collapsed="false">
      <c r="A219" s="26" t="n">
        <v>3445</v>
      </c>
      <c r="B219" s="21" t="s">
        <v>581</v>
      </c>
      <c r="C219" s="21" t="s">
        <v>582</v>
      </c>
      <c r="D219" s="44"/>
      <c r="E219" s="25" t="n">
        <v>45950</v>
      </c>
      <c r="F219" s="25" t="n">
        <f aca="false">WORKDAY(E219,G219)</f>
        <v>46174</v>
      </c>
      <c r="G219" s="26" t="n">
        <v>160</v>
      </c>
      <c r="H219" s="27" t="n">
        <f aca="false">(GX219* 5)/M219</f>
        <v>125</v>
      </c>
      <c r="I219" s="27" t="n">
        <f aca="false">G219-H219</f>
        <v>35</v>
      </c>
      <c r="J219" s="22" t="s">
        <v>583</v>
      </c>
      <c r="K219" s="36" t="n">
        <v>400000</v>
      </c>
      <c r="L219" s="36" t="n">
        <v>1152000</v>
      </c>
      <c r="M219" s="29" t="n">
        <f aca="false">(L219/G219)*5</f>
        <v>36000</v>
      </c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  <c r="DU219" s="30"/>
      <c r="DV219" s="30"/>
      <c r="DW219" s="30"/>
      <c r="DX219" s="30"/>
      <c r="DY219" s="30"/>
      <c r="DZ219" s="30"/>
      <c r="EA219" s="30"/>
      <c r="EB219" s="30"/>
      <c r="EC219" s="30"/>
      <c r="ED219" s="30"/>
      <c r="EE219" s="30"/>
      <c r="EF219" s="30"/>
      <c r="EG219" s="30"/>
      <c r="EH219" s="30"/>
      <c r="EI219" s="30"/>
      <c r="EJ219" s="30"/>
      <c r="EK219" s="30" t="s">
        <v>214</v>
      </c>
      <c r="EL219" s="30"/>
      <c r="EM219" s="30" t="s">
        <v>214</v>
      </c>
      <c r="EN219" s="30" t="s">
        <v>214</v>
      </c>
      <c r="EO219" s="30"/>
      <c r="EP219" s="30"/>
      <c r="EQ219" s="30"/>
      <c r="ER219" s="30"/>
      <c r="ES219" s="30" t="s">
        <v>214</v>
      </c>
      <c r="ET219" s="30"/>
      <c r="EU219" s="30"/>
      <c r="EV219" s="30" t="s">
        <v>214</v>
      </c>
      <c r="EW219" s="30"/>
      <c r="EX219" s="30"/>
      <c r="EY219" s="30"/>
      <c r="EZ219" s="30"/>
      <c r="FA219" s="30"/>
      <c r="FB219" s="30"/>
      <c r="FC219" s="30" t="s">
        <v>214</v>
      </c>
      <c r="FD219" s="30"/>
      <c r="FE219" s="30"/>
      <c r="FF219" s="30"/>
      <c r="FG219" s="30"/>
      <c r="FH219" s="30"/>
      <c r="FI219" s="30"/>
      <c r="FJ219" s="30"/>
      <c r="FK219" s="30"/>
      <c r="FL219" s="30" t="s">
        <v>214</v>
      </c>
      <c r="FM219" s="30"/>
      <c r="FN219" s="30"/>
      <c r="FO219" s="30"/>
      <c r="FP219" s="30" t="n">
        <v>36000</v>
      </c>
      <c r="FQ219" s="30" t="n">
        <v>36000</v>
      </c>
      <c r="FR219" s="30" t="n">
        <v>36000</v>
      </c>
      <c r="FS219" s="30" t="n">
        <v>36000</v>
      </c>
      <c r="FT219" s="30" t="n">
        <v>36000</v>
      </c>
      <c r="FU219" s="30" t="n">
        <v>36000</v>
      </c>
      <c r="FV219" s="30" t="n">
        <v>36000</v>
      </c>
      <c r="FW219" s="30"/>
      <c r="FX219" s="30" t="n">
        <v>36000</v>
      </c>
      <c r="FY219" s="30" t="n">
        <v>72000</v>
      </c>
      <c r="FZ219" s="30" t="n">
        <v>36000</v>
      </c>
      <c r="GA219" s="30"/>
      <c r="GB219" s="30" t="n">
        <v>36000</v>
      </c>
      <c r="GC219" s="30" t="n">
        <v>72000</v>
      </c>
      <c r="GD219" s="30"/>
      <c r="GE219" s="30" t="n">
        <v>36000</v>
      </c>
      <c r="GF219" s="30" t="n">
        <v>36000</v>
      </c>
      <c r="GG219" s="30"/>
      <c r="GH219" s="30"/>
      <c r="GI219" s="30" t="n">
        <v>36000</v>
      </c>
      <c r="GJ219" s="30"/>
      <c r="GK219" s="30" t="n">
        <v>36000</v>
      </c>
      <c r="GL219" s="30" t="n">
        <v>72000</v>
      </c>
      <c r="GM219" s="30"/>
      <c r="GN219" s="30"/>
      <c r="GO219" s="30" t="n">
        <v>36000</v>
      </c>
      <c r="GP219" s="30"/>
      <c r="GQ219" s="30" t="n">
        <v>36000</v>
      </c>
      <c r="GR219" s="30"/>
      <c r="GS219" s="30" t="n">
        <v>36000</v>
      </c>
      <c r="GT219" s="30" t="n">
        <v>36000</v>
      </c>
      <c r="GU219" s="30"/>
      <c r="GV219" s="30" t="n">
        <v>36000</v>
      </c>
      <c r="GW219" s="30"/>
      <c r="GX219" s="30" t="n">
        <f aca="false">SUM(N219:GW219)</f>
        <v>900000</v>
      </c>
      <c r="GY219" s="36" t="n">
        <f aca="false">SUM(L219-GX219)</f>
        <v>252000</v>
      </c>
      <c r="GZ219" s="32" t="n">
        <f aca="false">SUM( H219/5)</f>
        <v>25</v>
      </c>
      <c r="HA219" s="32" t="n">
        <f aca="false">SUM( I219/5)</f>
        <v>7</v>
      </c>
      <c r="HB219" s="33" t="n">
        <f aca="false">SUM(GZ219/4)</f>
        <v>6.25</v>
      </c>
      <c r="HC219" s="33" t="n">
        <f aca="false">SUM(HA219/4)</f>
        <v>1.75</v>
      </c>
    </row>
    <row r="220" customFormat="false" ht="28.5" hidden="true" customHeight="true" outlineLevel="0" collapsed="false">
      <c r="A220" s="26" t="n">
        <v>2526</v>
      </c>
      <c r="B220" s="21" t="s">
        <v>584</v>
      </c>
      <c r="C220" s="21" t="s">
        <v>585</v>
      </c>
      <c r="D220" s="34"/>
      <c r="E220" s="25" t="n">
        <v>45569</v>
      </c>
      <c r="F220" s="25" t="n">
        <f aca="false">WORKDAY(E220,G220)</f>
        <v>46017</v>
      </c>
      <c r="G220" s="26" t="n">
        <v>320</v>
      </c>
      <c r="H220" s="27" t="n">
        <f aca="false">(GX220* 5)/M220</f>
        <v>204.784533333333</v>
      </c>
      <c r="I220" s="27" t="n">
        <f aca="false">G220-H220</f>
        <v>115.215466666667</v>
      </c>
      <c r="J220" s="35" t="s">
        <v>586</v>
      </c>
      <c r="K220" s="36" t="n">
        <v>3000000</v>
      </c>
      <c r="L220" s="36" t="n">
        <v>12000000</v>
      </c>
      <c r="M220" s="37" t="n">
        <f aca="false">(L220/G220)*5</f>
        <v>187500</v>
      </c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0"/>
      <c r="DK220" s="30"/>
      <c r="DL220" s="30"/>
      <c r="DM220" s="30"/>
      <c r="DN220" s="30"/>
      <c r="DO220" s="30" t="n">
        <v>750000</v>
      </c>
      <c r="DP220" s="30"/>
      <c r="DQ220" s="30"/>
      <c r="DR220" s="30"/>
      <c r="DS220" s="30"/>
      <c r="DT220" s="30" t="n">
        <v>750000</v>
      </c>
      <c r="DU220" s="30"/>
      <c r="DV220" s="30"/>
      <c r="DW220" s="30"/>
      <c r="DX220" s="30"/>
      <c r="DY220" s="30" t="n">
        <v>750000</v>
      </c>
      <c r="DZ220" s="30"/>
      <c r="EA220" s="30"/>
      <c r="EB220" s="30"/>
      <c r="EC220" s="30"/>
      <c r="ED220" s="30"/>
      <c r="EE220" s="30"/>
      <c r="EF220" s="30"/>
      <c r="EG220" s="30"/>
      <c r="EH220" s="30"/>
      <c r="EI220" s="30"/>
      <c r="EJ220" s="30"/>
      <c r="EK220" s="30"/>
      <c r="EL220" s="30"/>
      <c r="EM220" s="30"/>
      <c r="EN220" s="30"/>
      <c r="EO220" s="30"/>
      <c r="EP220" s="30" t="n">
        <v>500000</v>
      </c>
      <c r="EQ220" s="30"/>
      <c r="ER220" s="30"/>
      <c r="ES220" s="30"/>
      <c r="ET220" s="30"/>
      <c r="EU220" s="30"/>
      <c r="EV220" s="30"/>
      <c r="EW220" s="30"/>
      <c r="EX220" s="30"/>
      <c r="EY220" s="30"/>
      <c r="EZ220" s="30"/>
      <c r="FA220" s="30"/>
      <c r="FB220" s="30"/>
      <c r="FC220" s="30"/>
      <c r="FD220" s="30"/>
      <c r="FE220" s="30" t="n">
        <v>250000</v>
      </c>
      <c r="FF220" s="30"/>
      <c r="FG220" s="30"/>
      <c r="FH220" s="30"/>
      <c r="FI220" s="30" t="n">
        <v>230000</v>
      </c>
      <c r="FJ220" s="30" t="n">
        <v>230000</v>
      </c>
      <c r="FK220" s="30"/>
      <c r="FL220" s="30"/>
      <c r="FM220" s="30"/>
      <c r="FN220" s="30" t="n">
        <v>230000</v>
      </c>
      <c r="FO220" s="30"/>
      <c r="FP220" s="30" t="n">
        <v>460000</v>
      </c>
      <c r="FQ220" s="30"/>
      <c r="FR220" s="30" t="n">
        <v>460000</v>
      </c>
      <c r="FS220" s="30"/>
      <c r="FT220" s="30"/>
      <c r="FU220" s="30" t="n">
        <v>460000</v>
      </c>
      <c r="FV220" s="30" t="n">
        <v>230000</v>
      </c>
      <c r="FW220" s="30"/>
      <c r="FX220" s="30" t="n">
        <v>230000</v>
      </c>
      <c r="FY220" s="30" t="n">
        <v>230000</v>
      </c>
      <c r="FZ220" s="30"/>
      <c r="GA220" s="30"/>
      <c r="GB220" s="30"/>
      <c r="GC220" s="30"/>
      <c r="GD220" s="30"/>
      <c r="GE220" s="30"/>
      <c r="GF220" s="30" t="n">
        <v>230000</v>
      </c>
      <c r="GG220" s="30"/>
      <c r="GH220" s="30"/>
      <c r="GI220" s="30"/>
      <c r="GJ220" s="30"/>
      <c r="GK220" s="30"/>
      <c r="GL220" s="30" t="n">
        <v>230000</v>
      </c>
      <c r="GM220" s="30" t="n">
        <v>150000</v>
      </c>
      <c r="GN220" s="30"/>
      <c r="GO220" s="30"/>
      <c r="GP220" s="30" t="n">
        <v>230000</v>
      </c>
      <c r="GQ220" s="30" t="n">
        <v>230000</v>
      </c>
      <c r="GR220" s="30" t="n">
        <v>230000</v>
      </c>
      <c r="GS220" s="30"/>
      <c r="GT220" s="30" t="n">
        <v>384710</v>
      </c>
      <c r="GU220" s="30"/>
      <c r="GV220" s="30" t="n">
        <v>234710</v>
      </c>
      <c r="GW220" s="30"/>
      <c r="GX220" s="30" t="n">
        <f aca="false">SUM(N220:GW220)</f>
        <v>7679420</v>
      </c>
      <c r="GY220" s="36" t="n">
        <f aca="false">SUM(L220-GX220)</f>
        <v>4320580</v>
      </c>
      <c r="GZ220" s="32" t="n">
        <f aca="false">SUM( H220/5)</f>
        <v>40.9569066666667</v>
      </c>
      <c r="HA220" s="32" t="n">
        <f aca="false">SUM( I220/5)</f>
        <v>23.0430933333333</v>
      </c>
      <c r="HB220" s="33" t="n">
        <f aca="false">SUM(GZ220/4)</f>
        <v>10.2392266666667</v>
      </c>
      <c r="HC220" s="33" t="n">
        <f aca="false">SUM(HA220/4)</f>
        <v>5.76077333333333</v>
      </c>
    </row>
    <row r="221" customFormat="false" ht="28.5" hidden="true" customHeight="true" outlineLevel="0" collapsed="false">
      <c r="A221" s="26" t="n">
        <v>3563</v>
      </c>
      <c r="B221" s="21" t="s">
        <v>584</v>
      </c>
      <c r="C221" s="21" t="s">
        <v>585</v>
      </c>
      <c r="D221" s="34"/>
      <c r="E221" s="25" t="n">
        <v>46000</v>
      </c>
      <c r="F221" s="25" t="n">
        <f aca="false">WORKDAY(E221,G221)</f>
        <v>46448</v>
      </c>
      <c r="G221" s="26" t="n">
        <v>320</v>
      </c>
      <c r="H221" s="27" t="n">
        <f aca="false">(GX221* 5)/M221</f>
        <v>113.989454545455</v>
      </c>
      <c r="I221" s="27" t="n">
        <f aca="false">G221-H221</f>
        <v>206.010545454545</v>
      </c>
      <c r="J221" s="35" t="s">
        <v>587</v>
      </c>
      <c r="K221" s="36" t="n">
        <v>2500000</v>
      </c>
      <c r="L221" s="36" t="n">
        <v>8800000</v>
      </c>
      <c r="M221" s="29" t="n">
        <f aca="false">(L221/G221)*5</f>
        <v>137500</v>
      </c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  <c r="DU221" s="30"/>
      <c r="DV221" s="30"/>
      <c r="DW221" s="30"/>
      <c r="DX221" s="30"/>
      <c r="DY221" s="30"/>
      <c r="DZ221" s="30"/>
      <c r="EA221" s="30"/>
      <c r="EB221" s="30"/>
      <c r="EC221" s="30"/>
      <c r="ED221" s="30"/>
      <c r="EE221" s="30"/>
      <c r="EF221" s="30"/>
      <c r="EG221" s="30"/>
      <c r="EH221" s="30"/>
      <c r="EI221" s="30"/>
      <c r="EJ221" s="30"/>
      <c r="EK221" s="30" t="s">
        <v>214</v>
      </c>
      <c r="EL221" s="30"/>
      <c r="EM221" s="30" t="s">
        <v>214</v>
      </c>
      <c r="EN221" s="30" t="s">
        <v>214</v>
      </c>
      <c r="EO221" s="30"/>
      <c r="EP221" s="30"/>
      <c r="EQ221" s="30"/>
      <c r="ER221" s="30"/>
      <c r="ES221" s="30" t="s">
        <v>214</v>
      </c>
      <c r="ET221" s="30"/>
      <c r="EU221" s="30"/>
      <c r="EV221" s="30" t="s">
        <v>214</v>
      </c>
      <c r="EW221" s="30"/>
      <c r="EX221" s="30"/>
      <c r="EY221" s="30"/>
      <c r="EZ221" s="30"/>
      <c r="FA221" s="30"/>
      <c r="FB221" s="30"/>
      <c r="FC221" s="30" t="s">
        <v>214</v>
      </c>
      <c r="FD221" s="30"/>
      <c r="FE221" s="30"/>
      <c r="FF221" s="30"/>
      <c r="FG221" s="30"/>
      <c r="FH221" s="30"/>
      <c r="FI221" s="30"/>
      <c r="FJ221" s="30"/>
      <c r="FK221" s="30"/>
      <c r="FL221" s="30" t="s">
        <v>214</v>
      </c>
      <c r="FM221" s="30"/>
      <c r="FN221" s="30"/>
      <c r="FO221" s="30"/>
      <c r="FP221" s="30"/>
      <c r="FQ221" s="30"/>
      <c r="FR221" s="30"/>
      <c r="FS221" s="30"/>
      <c r="FT221" s="30"/>
      <c r="FU221" s="30"/>
      <c r="FV221" s="30"/>
      <c r="FW221" s="30"/>
      <c r="FX221" s="30"/>
      <c r="FY221" s="30"/>
      <c r="FZ221" s="30" t="n">
        <v>550000</v>
      </c>
      <c r="GA221" s="30"/>
      <c r="GB221" s="30"/>
      <c r="GC221" s="30"/>
      <c r="GD221" s="30"/>
      <c r="GE221" s="30" t="n">
        <v>550000</v>
      </c>
      <c r="GF221" s="30"/>
      <c r="GG221" s="30"/>
      <c r="GH221" s="30"/>
      <c r="GI221" s="30" t="n">
        <v>550000</v>
      </c>
      <c r="GJ221" s="30"/>
      <c r="GK221" s="30"/>
      <c r="GL221" s="30"/>
      <c r="GM221" s="30" t="n">
        <v>550000</v>
      </c>
      <c r="GN221" s="30"/>
      <c r="GO221" s="30"/>
      <c r="GP221" s="30"/>
      <c r="GQ221" s="30"/>
      <c r="GR221" s="30"/>
      <c r="GS221" s="30" t="n">
        <v>550000</v>
      </c>
      <c r="GT221" s="30"/>
      <c r="GU221" s="30" t="n">
        <v>384710</v>
      </c>
      <c r="GV221" s="30"/>
      <c r="GW221" s="30"/>
      <c r="GX221" s="30" t="n">
        <f aca="false">SUM(N221:GW221)</f>
        <v>3134710</v>
      </c>
      <c r="GY221" s="36" t="n">
        <f aca="false">SUM(L221-GX221)</f>
        <v>5665290</v>
      </c>
      <c r="GZ221" s="32" t="n">
        <f aca="false">SUM( H221/5)</f>
        <v>22.7978909090909</v>
      </c>
      <c r="HA221" s="32" t="n">
        <f aca="false">SUM( I221/5)</f>
        <v>41.2021090909091</v>
      </c>
      <c r="HB221" s="33" t="n">
        <f aca="false">SUM(GZ221/4)</f>
        <v>5.69947272727273</v>
      </c>
      <c r="HC221" s="33" t="n">
        <f aca="false">SUM(HA221/4)</f>
        <v>10.3005272727273</v>
      </c>
    </row>
    <row r="222" customFormat="false" ht="28.5" hidden="true" customHeight="true" outlineLevel="0" collapsed="false">
      <c r="A222" s="26" t="n">
        <v>3620</v>
      </c>
      <c r="B222" s="21" t="s">
        <v>584</v>
      </c>
      <c r="C222" s="21" t="s">
        <v>585</v>
      </c>
      <c r="D222" s="34"/>
      <c r="E222" s="25" t="n">
        <v>46048</v>
      </c>
      <c r="F222" s="25" t="n">
        <f aca="false">WORKDAY(E222,G222)</f>
        <v>46272</v>
      </c>
      <c r="G222" s="26" t="n">
        <v>160</v>
      </c>
      <c r="H222" s="27" t="n">
        <f aca="false">(GX222* 5)/M222</f>
        <v>59.8148148148148</v>
      </c>
      <c r="I222" s="27" t="n">
        <f aca="false">G222-H222</f>
        <v>100.185185185185</v>
      </c>
      <c r="J222" s="35" t="s">
        <v>588</v>
      </c>
      <c r="K222" s="57" t="n">
        <v>1500000</v>
      </c>
      <c r="L222" s="36" t="n">
        <v>4320000</v>
      </c>
      <c r="M222" s="37" t="n">
        <f aca="false">(L222/G222)*5</f>
        <v>135000</v>
      </c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30"/>
      <c r="DO222" s="30"/>
      <c r="DP222" s="30"/>
      <c r="DQ222" s="30"/>
      <c r="DR222" s="30"/>
      <c r="DS222" s="30"/>
      <c r="DT222" s="30"/>
      <c r="DU222" s="30"/>
      <c r="DV222" s="30"/>
      <c r="DW222" s="30"/>
      <c r="DX222" s="30"/>
      <c r="DY222" s="30"/>
      <c r="DZ222" s="30"/>
      <c r="EA222" s="30"/>
      <c r="EB222" s="30"/>
      <c r="EC222" s="30"/>
      <c r="ED222" s="30"/>
      <c r="EE222" s="30"/>
      <c r="EF222" s="30"/>
      <c r="EG222" s="30"/>
      <c r="EH222" s="30"/>
      <c r="EI222" s="30"/>
      <c r="EJ222" s="30"/>
      <c r="EK222" s="30" t="s">
        <v>214</v>
      </c>
      <c r="EL222" s="30"/>
      <c r="EM222" s="30" t="s">
        <v>214</v>
      </c>
      <c r="EN222" s="30" t="s">
        <v>214</v>
      </c>
      <c r="EO222" s="30"/>
      <c r="EP222" s="30"/>
      <c r="EQ222" s="30"/>
      <c r="ER222" s="30"/>
      <c r="ES222" s="30" t="s">
        <v>214</v>
      </c>
      <c r="ET222" s="30"/>
      <c r="EU222" s="30"/>
      <c r="EV222" s="30" t="s">
        <v>214</v>
      </c>
      <c r="EW222" s="30"/>
      <c r="EX222" s="30"/>
      <c r="EY222" s="30"/>
      <c r="EZ222" s="30"/>
      <c r="FA222" s="30"/>
      <c r="FB222" s="30"/>
      <c r="FC222" s="30" t="s">
        <v>214</v>
      </c>
      <c r="FD222" s="30"/>
      <c r="FE222" s="30"/>
      <c r="FF222" s="30"/>
      <c r="FG222" s="30"/>
      <c r="FH222" s="30"/>
      <c r="FI222" s="30"/>
      <c r="FJ222" s="30"/>
      <c r="FK222" s="30"/>
      <c r="FL222" s="30" t="s">
        <v>214</v>
      </c>
      <c r="FM222" s="30"/>
      <c r="FN222" s="30"/>
      <c r="FO222" s="30"/>
      <c r="FP222" s="30"/>
      <c r="FQ222" s="30"/>
      <c r="FR222" s="30"/>
      <c r="FS222" s="30"/>
      <c r="FT222" s="30"/>
      <c r="FU222" s="30"/>
      <c r="FV222" s="30"/>
      <c r="FW222" s="30"/>
      <c r="FX222" s="30"/>
      <c r="FY222" s="30"/>
      <c r="FZ222" s="30"/>
      <c r="GA222" s="30"/>
      <c r="GB222" s="30"/>
      <c r="GC222" s="30"/>
      <c r="GD222" s="30"/>
      <c r="GE222" s="30"/>
      <c r="GF222" s="30" t="n">
        <v>135000</v>
      </c>
      <c r="GG222" s="30" t="n">
        <v>135000</v>
      </c>
      <c r="GH222" s="30" t="n">
        <v>135000</v>
      </c>
      <c r="GI222" s="30"/>
      <c r="GJ222" s="30"/>
      <c r="GK222" s="30" t="n">
        <v>135000</v>
      </c>
      <c r="GL222" s="30" t="n">
        <v>130000</v>
      </c>
      <c r="GM222" s="30"/>
      <c r="GN222" s="30"/>
      <c r="GO222" s="30" t="n">
        <v>135000</v>
      </c>
      <c r="GP222" s="30" t="n">
        <v>135000</v>
      </c>
      <c r="GQ222" s="30" t="n">
        <v>135000</v>
      </c>
      <c r="GR222" s="30" t="n">
        <v>135000</v>
      </c>
      <c r="GS222" s="30"/>
      <c r="GT222" s="30" t="n">
        <v>135000</v>
      </c>
      <c r="GU222" s="30" t="n">
        <v>135000</v>
      </c>
      <c r="GV222" s="30" t="n">
        <v>135000</v>
      </c>
      <c r="GW222" s="30"/>
      <c r="GX222" s="30" t="n">
        <f aca="false">SUM(N222:GW222)</f>
        <v>1615000</v>
      </c>
      <c r="GY222" s="36" t="n">
        <f aca="false">SUM(L222-GX222)</f>
        <v>2705000</v>
      </c>
      <c r="GZ222" s="32" t="n">
        <f aca="false">SUM( H222/5)</f>
        <v>11.962962962963</v>
      </c>
      <c r="HA222" s="32" t="n">
        <f aca="false">SUM( I222/5)</f>
        <v>20.037037037037</v>
      </c>
      <c r="HB222" s="33" t="n">
        <f aca="false">SUM(GZ222/4)</f>
        <v>2.99074074074074</v>
      </c>
      <c r="HC222" s="33" t="n">
        <f aca="false">SUM(HA222/4)</f>
        <v>5.00925925925926</v>
      </c>
    </row>
    <row r="223" customFormat="false" ht="28.5" hidden="true" customHeight="true" outlineLevel="0" collapsed="false">
      <c r="A223" s="26" t="n">
        <v>3731</v>
      </c>
      <c r="B223" s="21" t="s">
        <v>584</v>
      </c>
      <c r="C223" s="21" t="s">
        <v>585</v>
      </c>
      <c r="D223" s="34"/>
      <c r="E223" s="25" t="n">
        <v>46134</v>
      </c>
      <c r="F223" s="25" t="n">
        <f aca="false">WORKDAY(E223,G223)</f>
        <v>46211</v>
      </c>
      <c r="G223" s="26" t="n">
        <v>55</v>
      </c>
      <c r="H223" s="27" t="n">
        <f aca="false">(GX223* 5)/M223</f>
        <v>34.9996037137681</v>
      </c>
      <c r="I223" s="27" t="n">
        <f aca="false">G223-H223</f>
        <v>20.0003962862319</v>
      </c>
      <c r="J223" s="22" t="s">
        <v>589</v>
      </c>
      <c r="K223" s="36" t="n">
        <v>460000</v>
      </c>
      <c r="L223" s="36" t="n">
        <v>883200</v>
      </c>
      <c r="M223" s="77" t="n">
        <f aca="false">(L223/G223)*5</f>
        <v>80290.9090909091</v>
      </c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  <c r="DU223" s="30"/>
      <c r="DV223" s="30"/>
      <c r="DW223" s="30"/>
      <c r="DX223" s="30"/>
      <c r="DY223" s="30"/>
      <c r="DZ223" s="30"/>
      <c r="EA223" s="30"/>
      <c r="EB223" s="30"/>
      <c r="EC223" s="30"/>
      <c r="ED223" s="30"/>
      <c r="EE223" s="30"/>
      <c r="EF223" s="30"/>
      <c r="EG223" s="30"/>
      <c r="EH223" s="30"/>
      <c r="EI223" s="30"/>
      <c r="EJ223" s="30"/>
      <c r="EK223" s="30" t="s">
        <v>214</v>
      </c>
      <c r="EL223" s="30"/>
      <c r="EM223" s="30" t="s">
        <v>214</v>
      </c>
      <c r="EN223" s="30" t="s">
        <v>214</v>
      </c>
      <c r="EO223" s="30"/>
      <c r="EP223" s="30"/>
      <c r="EQ223" s="30"/>
      <c r="ER223" s="30"/>
      <c r="ES223" s="30" t="s">
        <v>214</v>
      </c>
      <c r="ET223" s="30"/>
      <c r="EU223" s="30"/>
      <c r="EV223" s="30" t="s">
        <v>214</v>
      </c>
      <c r="EW223" s="30"/>
      <c r="EX223" s="30"/>
      <c r="EY223" s="30"/>
      <c r="EZ223" s="30"/>
      <c r="FA223" s="30"/>
      <c r="FB223" s="30"/>
      <c r="FC223" s="30" t="s">
        <v>214</v>
      </c>
      <c r="FD223" s="30"/>
      <c r="FE223" s="30"/>
      <c r="FF223" s="30"/>
      <c r="FG223" s="30"/>
      <c r="FH223" s="30"/>
      <c r="FI223" s="30"/>
      <c r="FJ223" s="30"/>
      <c r="FK223" s="30"/>
      <c r="FL223" s="30" t="s">
        <v>214</v>
      </c>
      <c r="FM223" s="30"/>
      <c r="FN223" s="30"/>
      <c r="FO223" s="30"/>
      <c r="FP223" s="30"/>
      <c r="FQ223" s="30"/>
      <c r="FR223" s="30"/>
      <c r="FS223" s="30"/>
      <c r="FT223" s="30"/>
      <c r="FU223" s="30"/>
      <c r="FV223" s="30"/>
      <c r="FW223" s="30"/>
      <c r="FX223" s="30"/>
      <c r="FY223" s="30"/>
      <c r="FZ223" s="30"/>
      <c r="GA223" s="30"/>
      <c r="GB223" s="30"/>
      <c r="GC223" s="30"/>
      <c r="GD223" s="30"/>
      <c r="GE223" s="30"/>
      <c r="GF223" s="30"/>
      <c r="GG223" s="30"/>
      <c r="GH223" s="30"/>
      <c r="GI223" s="30"/>
      <c r="GJ223" s="30"/>
      <c r="GK223" s="30"/>
      <c r="GL223" s="30"/>
      <c r="GM223" s="30"/>
      <c r="GN223" s="30"/>
      <c r="GO223" s="30" t="n">
        <v>80290</v>
      </c>
      <c r="GP223" s="30" t="n">
        <v>80290</v>
      </c>
      <c r="GQ223" s="30" t="n">
        <v>80290</v>
      </c>
      <c r="GR223" s="30" t="n">
        <v>80290</v>
      </c>
      <c r="GS223" s="30"/>
      <c r="GT223" s="30" t="n">
        <v>80290</v>
      </c>
      <c r="GU223" s="30" t="n">
        <v>80290</v>
      </c>
      <c r="GV223" s="30" t="n">
        <v>80290</v>
      </c>
      <c r="GW223" s="30"/>
      <c r="GX223" s="30" t="n">
        <f aca="false">SUM(N223:GW223)</f>
        <v>562030</v>
      </c>
      <c r="GY223" s="36" t="n">
        <f aca="false">SUM(L223-GX223)</f>
        <v>321170</v>
      </c>
      <c r="GZ223" s="32" t="n">
        <f aca="false">SUM( H223/5)</f>
        <v>6.99992074275362</v>
      </c>
      <c r="HA223" s="32" t="n">
        <f aca="false">SUM( I223/5)</f>
        <v>4.00007925724638</v>
      </c>
      <c r="HB223" s="33" t="n">
        <f aca="false">SUM(GZ223/4)</f>
        <v>1.74998018568841</v>
      </c>
      <c r="HC223" s="33" t="n">
        <f aca="false">SUM(HA223/4)</f>
        <v>1.00001981431159</v>
      </c>
    </row>
    <row r="224" customFormat="false" ht="28.5" hidden="true" customHeight="true" outlineLevel="0" collapsed="false">
      <c r="A224" s="26" t="n">
        <v>3213</v>
      </c>
      <c r="B224" s="21" t="s">
        <v>590</v>
      </c>
      <c r="C224" s="21" t="s">
        <v>591</v>
      </c>
      <c r="D224" s="34" t="s">
        <v>592</v>
      </c>
      <c r="E224" s="25" t="n">
        <v>45221</v>
      </c>
      <c r="F224" s="25" t="n">
        <f aca="false">WORKDAY(E224,G224)</f>
        <v>45321</v>
      </c>
      <c r="G224" s="26" t="n">
        <v>72</v>
      </c>
      <c r="H224" s="27" t="n">
        <f aca="false">(GX224* 5)/M224</f>
        <v>5.55555555555556</v>
      </c>
      <c r="I224" s="27" t="n">
        <f aca="false">G224-H224</f>
        <v>66.4444444444444</v>
      </c>
      <c r="J224" s="22" t="s">
        <v>245</v>
      </c>
      <c r="K224" s="36" t="n">
        <v>300000</v>
      </c>
      <c r="L224" s="36" t="n">
        <v>648000</v>
      </c>
      <c r="M224" s="29" t="n">
        <f aca="false">(L224/G224)*5</f>
        <v>45000</v>
      </c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 t="s">
        <v>214</v>
      </c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 t="s">
        <v>214</v>
      </c>
      <c r="BI224" s="30"/>
      <c r="BJ224" s="30"/>
      <c r="BK224" s="30"/>
      <c r="BL224" s="30"/>
      <c r="BM224" s="30" t="n">
        <v>50000</v>
      </c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30"/>
      <c r="DO224" s="30"/>
      <c r="DP224" s="30"/>
      <c r="DQ224" s="30"/>
      <c r="DR224" s="30"/>
      <c r="DS224" s="30"/>
      <c r="DT224" s="30"/>
      <c r="DU224" s="30"/>
      <c r="DV224" s="30"/>
      <c r="DW224" s="30"/>
      <c r="DX224" s="30"/>
      <c r="DY224" s="30"/>
      <c r="DZ224" s="30"/>
      <c r="EA224" s="30"/>
      <c r="EB224" s="30"/>
      <c r="EC224" s="30"/>
      <c r="ED224" s="30"/>
      <c r="EE224" s="30"/>
      <c r="EF224" s="30"/>
      <c r="EG224" s="30"/>
      <c r="EH224" s="30"/>
      <c r="EI224" s="30"/>
      <c r="EJ224" s="30"/>
      <c r="EK224" s="30"/>
      <c r="EL224" s="30"/>
      <c r="EM224" s="30"/>
      <c r="EN224" s="30"/>
      <c r="EO224" s="30"/>
      <c r="EP224" s="30"/>
      <c r="EQ224" s="30"/>
      <c r="ER224" s="30"/>
      <c r="ES224" s="30"/>
      <c r="ET224" s="30"/>
      <c r="EU224" s="30"/>
      <c r="EV224" s="30"/>
      <c r="EW224" s="30"/>
      <c r="EX224" s="30"/>
      <c r="EY224" s="30"/>
      <c r="EZ224" s="30"/>
      <c r="FA224" s="30"/>
      <c r="FB224" s="30"/>
      <c r="FC224" s="30"/>
      <c r="FD224" s="30"/>
      <c r="FE224" s="30"/>
      <c r="FF224" s="30"/>
      <c r="FG224" s="30"/>
      <c r="FH224" s="30"/>
      <c r="FI224" s="30"/>
      <c r="FJ224" s="30"/>
      <c r="FK224" s="30"/>
      <c r="FL224" s="30"/>
      <c r="FM224" s="30"/>
      <c r="FN224" s="30"/>
      <c r="FO224" s="30"/>
      <c r="FP224" s="30"/>
      <c r="FQ224" s="30"/>
      <c r="FR224" s="30"/>
      <c r="FS224" s="30"/>
      <c r="FT224" s="30"/>
      <c r="FU224" s="30"/>
      <c r="FV224" s="30"/>
      <c r="FW224" s="30"/>
      <c r="FX224" s="30"/>
      <c r="FY224" s="30"/>
      <c r="FZ224" s="30"/>
      <c r="GA224" s="30"/>
      <c r="GB224" s="30"/>
      <c r="GC224" s="30"/>
      <c r="GD224" s="30"/>
      <c r="GE224" s="30"/>
      <c r="GF224" s="30"/>
      <c r="GG224" s="30"/>
      <c r="GH224" s="30"/>
      <c r="GI224" s="30"/>
      <c r="GJ224" s="30"/>
      <c r="GK224" s="30"/>
      <c r="GL224" s="30"/>
      <c r="GM224" s="30"/>
      <c r="GN224" s="30"/>
      <c r="GO224" s="30"/>
      <c r="GP224" s="30"/>
      <c r="GQ224" s="30"/>
      <c r="GR224" s="30"/>
      <c r="GS224" s="30"/>
      <c r="GT224" s="30"/>
      <c r="GU224" s="30"/>
      <c r="GV224" s="30"/>
      <c r="GW224" s="30"/>
      <c r="GX224" s="30" t="n">
        <f aca="false">SUM(N224:GW224)</f>
        <v>50000</v>
      </c>
      <c r="GY224" s="36" t="n">
        <f aca="false">SUM(L224-GX224)</f>
        <v>598000</v>
      </c>
      <c r="GZ224" s="32" t="n">
        <f aca="false">SUM( H224/5)</f>
        <v>1.11111111111111</v>
      </c>
      <c r="HA224" s="32" t="n">
        <f aca="false">SUM( I224/5)</f>
        <v>13.2888888888889</v>
      </c>
      <c r="HB224" s="33" t="n">
        <f aca="false">SUM(GZ224/4)</f>
        <v>0.277777777777778</v>
      </c>
      <c r="HC224" s="33" t="n">
        <f aca="false">SUM(HA224/4)</f>
        <v>3.32222222222222</v>
      </c>
    </row>
    <row r="225" customFormat="false" ht="28.5" hidden="true" customHeight="true" outlineLevel="0" collapsed="false">
      <c r="A225" s="26" t="n">
        <v>3690</v>
      </c>
      <c r="B225" s="21" t="s">
        <v>593</v>
      </c>
      <c r="C225" s="21" t="s">
        <v>594</v>
      </c>
      <c r="D225" s="34"/>
      <c r="E225" s="25" t="n">
        <v>46100</v>
      </c>
      <c r="F225" s="25" t="n">
        <v>46057</v>
      </c>
      <c r="G225" s="26" t="n">
        <v>120</v>
      </c>
      <c r="H225" s="27" t="n">
        <f aca="false">(GX225* 5)/M225</f>
        <v>60</v>
      </c>
      <c r="I225" s="27" t="n">
        <f aca="false">G225-H225</f>
        <v>60</v>
      </c>
      <c r="J225" s="35" t="s">
        <v>595</v>
      </c>
      <c r="K225" s="36" t="n">
        <v>150000</v>
      </c>
      <c r="L225" s="36" t="n">
        <v>396000</v>
      </c>
      <c r="M225" s="29" t="n">
        <f aca="false">(L225/G225)*5</f>
        <v>16500</v>
      </c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  <c r="DX225" s="30"/>
      <c r="DY225" s="30"/>
      <c r="DZ225" s="30"/>
      <c r="EA225" s="30"/>
      <c r="EB225" s="30"/>
      <c r="EC225" s="30"/>
      <c r="ED225" s="30"/>
      <c r="EE225" s="30"/>
      <c r="EF225" s="30"/>
      <c r="EG225" s="30"/>
      <c r="EH225" s="30"/>
      <c r="EI225" s="30"/>
      <c r="EJ225" s="30"/>
      <c r="EK225" s="30" t="s">
        <v>214</v>
      </c>
      <c r="EL225" s="30"/>
      <c r="EM225" s="30" t="s">
        <v>214</v>
      </c>
      <c r="EN225" s="30" t="s">
        <v>214</v>
      </c>
      <c r="EO225" s="30"/>
      <c r="EP225" s="30"/>
      <c r="EQ225" s="30"/>
      <c r="ER225" s="30"/>
      <c r="ES225" s="30" t="s">
        <v>214</v>
      </c>
      <c r="ET225" s="30"/>
      <c r="EU225" s="30"/>
      <c r="EV225" s="30" t="s">
        <v>214</v>
      </c>
      <c r="EW225" s="30"/>
      <c r="EX225" s="30"/>
      <c r="EY225" s="30"/>
      <c r="EZ225" s="30"/>
      <c r="FA225" s="30"/>
      <c r="FB225" s="30"/>
      <c r="FC225" s="30" t="s">
        <v>214</v>
      </c>
      <c r="FD225" s="30"/>
      <c r="FE225" s="30"/>
      <c r="FF225" s="30"/>
      <c r="FG225" s="30"/>
      <c r="FH225" s="30"/>
      <c r="FI225" s="30"/>
      <c r="FJ225" s="30"/>
      <c r="FK225" s="30"/>
      <c r="FL225" s="30" t="s">
        <v>214</v>
      </c>
      <c r="FM225" s="30"/>
      <c r="FN225" s="30"/>
      <c r="FO225" s="30"/>
      <c r="FP225" s="30"/>
      <c r="FQ225" s="30"/>
      <c r="FR225" s="30"/>
      <c r="FS225" s="30"/>
      <c r="FT225" s="30"/>
      <c r="FU225" s="30"/>
      <c r="FV225" s="30"/>
      <c r="FW225" s="30"/>
      <c r="FX225" s="30"/>
      <c r="FY225" s="30"/>
      <c r="FZ225" s="30"/>
      <c r="GA225" s="30"/>
      <c r="GB225" s="30"/>
      <c r="GC225" s="30"/>
      <c r="GD225" s="30"/>
      <c r="GE225" s="30"/>
      <c r="GF225" s="30"/>
      <c r="GG225" s="30"/>
      <c r="GH225" s="30"/>
      <c r="GI225" s="30"/>
      <c r="GJ225" s="30"/>
      <c r="GK225" s="30" t="n">
        <v>66000</v>
      </c>
      <c r="GL225" s="30"/>
      <c r="GM225" s="30"/>
      <c r="GN225" s="30"/>
      <c r="GO225" s="30"/>
      <c r="GP225" s="30" t="n">
        <v>66000</v>
      </c>
      <c r="GQ225" s="30"/>
      <c r="GR225" s="30"/>
      <c r="GS225" s="30"/>
      <c r="GT225" s="30" t="n">
        <v>66000</v>
      </c>
      <c r="GU225" s="30"/>
      <c r="GV225" s="30"/>
      <c r="GW225" s="30"/>
      <c r="GX225" s="30" t="n">
        <f aca="false">SUM(N225:GW225)</f>
        <v>198000</v>
      </c>
      <c r="GY225" s="36" t="n">
        <f aca="false">SUM(L225-GX225)</f>
        <v>198000</v>
      </c>
      <c r="GZ225" s="32" t="n">
        <f aca="false">SUM( H225/5)</f>
        <v>12</v>
      </c>
      <c r="HA225" s="32" t="n">
        <f aca="false">SUM( I225/5)</f>
        <v>12</v>
      </c>
      <c r="HB225" s="33" t="n">
        <f aca="false">SUM(GZ225/4)</f>
        <v>3</v>
      </c>
      <c r="HC225" s="33" t="n">
        <f aca="false">SUM(HA225/4)</f>
        <v>3</v>
      </c>
    </row>
    <row r="226" customFormat="false" ht="28.5" hidden="true" customHeight="true" outlineLevel="0" collapsed="false">
      <c r="A226" s="26" t="n">
        <v>3553</v>
      </c>
      <c r="B226" s="21" t="s">
        <v>596</v>
      </c>
      <c r="C226" s="21" t="s">
        <v>597</v>
      </c>
      <c r="D226" s="34" t="n">
        <v>13141036</v>
      </c>
      <c r="E226" s="25" t="n">
        <v>45369</v>
      </c>
      <c r="F226" s="25" t="n">
        <f aca="false">WORKDAY(E226,G226)</f>
        <v>45523</v>
      </c>
      <c r="G226" s="26" t="n">
        <v>110</v>
      </c>
      <c r="H226" s="27" t="n">
        <f aca="false">(GX226* 5)/M226</f>
        <v>83.7986111111111</v>
      </c>
      <c r="I226" s="27" t="n">
        <f aca="false">G226-H226</f>
        <v>26.2013888888889</v>
      </c>
      <c r="J226" s="22" t="s">
        <v>598</v>
      </c>
      <c r="K226" s="36" t="n">
        <v>250000</v>
      </c>
      <c r="L226" s="36" t="n">
        <v>720000</v>
      </c>
      <c r="M226" s="56" t="n">
        <f aca="false">(L226/G226)*5</f>
        <v>32727.2727272727</v>
      </c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 t="s">
        <v>214</v>
      </c>
      <c r="CB226" s="30" t="s">
        <v>214</v>
      </c>
      <c r="CC226" s="30"/>
      <c r="CD226" s="30"/>
      <c r="CE226" s="30"/>
      <c r="CF226" s="30" t="n">
        <v>37000</v>
      </c>
      <c r="CG226" s="30" t="n">
        <v>37500</v>
      </c>
      <c r="CH226" s="30"/>
      <c r="CI226" s="30"/>
      <c r="CJ226" s="30"/>
      <c r="CK226" s="30"/>
      <c r="CL226" s="30"/>
      <c r="CM226" s="30"/>
      <c r="CN226" s="30"/>
      <c r="CO226" s="30"/>
      <c r="CP226" s="30" t="n">
        <v>30000</v>
      </c>
      <c r="CQ226" s="30"/>
      <c r="CR226" s="30" t="n">
        <v>30000</v>
      </c>
      <c r="CS226" s="30" t="n">
        <v>30000</v>
      </c>
      <c r="CT226" s="30"/>
      <c r="CU226" s="30"/>
      <c r="CV226" s="30"/>
      <c r="CW226" s="30" t="n">
        <v>30000</v>
      </c>
      <c r="CX226" s="30"/>
      <c r="CY226" s="30"/>
      <c r="CZ226" s="30" t="n">
        <v>30000</v>
      </c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0"/>
      <c r="DL226" s="30" t="n">
        <v>14000</v>
      </c>
      <c r="DM226" s="30"/>
      <c r="DN226" s="30" t="n">
        <v>18000</v>
      </c>
      <c r="DO226" s="30"/>
      <c r="DP226" s="30"/>
      <c r="DQ226" s="30"/>
      <c r="DR226" s="30" t="n">
        <v>30000</v>
      </c>
      <c r="DS226" s="30"/>
      <c r="DT226" s="30"/>
      <c r="DU226" s="30" t="n">
        <v>13000</v>
      </c>
      <c r="DV226" s="30"/>
      <c r="DW226" s="30"/>
      <c r="DX226" s="30" t="n">
        <v>18000</v>
      </c>
      <c r="DY226" s="30"/>
      <c r="DZ226" s="30"/>
      <c r="EA226" s="30"/>
      <c r="EB226" s="30"/>
      <c r="EC226" s="30" t="n">
        <v>13000</v>
      </c>
      <c r="ED226" s="30"/>
      <c r="EE226" s="30"/>
      <c r="EF226" s="30"/>
      <c r="EG226" s="30"/>
      <c r="EH226" s="30"/>
      <c r="EI226" s="30"/>
      <c r="EJ226" s="30"/>
      <c r="EK226" s="30"/>
      <c r="EL226" s="30"/>
      <c r="EM226" s="30"/>
      <c r="EN226" s="30"/>
      <c r="EO226" s="30"/>
      <c r="EP226" s="30"/>
      <c r="EQ226" s="30"/>
      <c r="ER226" s="30" t="n">
        <v>30000</v>
      </c>
      <c r="ES226" s="30"/>
      <c r="ET226" s="30"/>
      <c r="EU226" s="30"/>
      <c r="EV226" s="30"/>
      <c r="EW226" s="30"/>
      <c r="EX226" s="30" t="n">
        <v>28000</v>
      </c>
      <c r="EY226" s="30"/>
      <c r="EZ226" s="30"/>
      <c r="FA226" s="30"/>
      <c r="FB226" s="30" t="n">
        <v>30000</v>
      </c>
      <c r="FC226" s="30"/>
      <c r="FD226" s="30"/>
      <c r="FE226" s="30"/>
      <c r="FF226" s="30"/>
      <c r="FG226" s="30"/>
      <c r="FH226" s="30"/>
      <c r="FI226" s="30"/>
      <c r="FJ226" s="30"/>
      <c r="FK226" s="30"/>
      <c r="FL226" s="30"/>
      <c r="FM226" s="30"/>
      <c r="FN226" s="30"/>
      <c r="FO226" s="30"/>
      <c r="FP226" s="30"/>
      <c r="FQ226" s="30" t="n">
        <v>30000</v>
      </c>
      <c r="FR226" s="30"/>
      <c r="FS226" s="30"/>
      <c r="FT226" s="30"/>
      <c r="FU226" s="30" t="n">
        <v>30000</v>
      </c>
      <c r="FV226" s="30"/>
      <c r="FW226" s="30"/>
      <c r="FX226" s="30"/>
      <c r="FY226" s="30"/>
      <c r="FZ226" s="30" t="n">
        <v>25000</v>
      </c>
      <c r="GA226" s="30"/>
      <c r="GB226" s="30"/>
      <c r="GC226" s="30"/>
      <c r="GD226" s="30"/>
      <c r="GE226" s="30"/>
      <c r="GF226" s="30"/>
      <c r="GG226" s="30"/>
      <c r="GH226" s="30"/>
      <c r="GI226" s="30"/>
      <c r="GJ226" s="30"/>
      <c r="GK226" s="30"/>
      <c r="GL226" s="30"/>
      <c r="GM226" s="30"/>
      <c r="GN226" s="30"/>
      <c r="GO226" s="30"/>
      <c r="GP226" s="30"/>
      <c r="GQ226" s="30" t="n">
        <v>20000</v>
      </c>
      <c r="GR226" s="30"/>
      <c r="GS226" s="30"/>
      <c r="GT226" s="30" t="s">
        <v>214</v>
      </c>
      <c r="GU226" s="30" t="n">
        <v>25000</v>
      </c>
      <c r="GV226" s="30"/>
      <c r="GW226" s="30"/>
      <c r="GX226" s="30" t="n">
        <f aca="false">SUM(N226:GW226)</f>
        <v>548500</v>
      </c>
      <c r="GY226" s="36" t="n">
        <f aca="false">SUM(L226-GX226)</f>
        <v>171500</v>
      </c>
      <c r="GZ226" s="32" t="n">
        <f aca="false">SUM( H226/5)</f>
        <v>16.7597222222222</v>
      </c>
      <c r="HA226" s="32" t="n">
        <f aca="false">SUM( I226/5)</f>
        <v>5.24027777777778</v>
      </c>
      <c r="HB226" s="33" t="n">
        <f aca="false">SUM(GZ226/4)</f>
        <v>4.18993055555556</v>
      </c>
      <c r="HC226" s="33" t="n">
        <f aca="false">SUM(HA226/4)</f>
        <v>1.31006944444444</v>
      </c>
    </row>
    <row r="227" customFormat="false" ht="28.5" hidden="true" customHeight="true" outlineLevel="0" collapsed="false">
      <c r="A227" s="26" t="n">
        <v>3664</v>
      </c>
      <c r="B227" s="21" t="s">
        <v>599</v>
      </c>
      <c r="C227" s="21"/>
      <c r="D227" s="34"/>
      <c r="E227" s="25" t="n">
        <v>46083</v>
      </c>
      <c r="F227" s="25" t="n">
        <f aca="false">WORKDAY(E227,G227)</f>
        <v>46195</v>
      </c>
      <c r="G227" s="26" t="n">
        <v>80</v>
      </c>
      <c r="H227" s="27" t="n">
        <f aca="false">(GX227* 5)/M227</f>
        <v>59.5238095238095</v>
      </c>
      <c r="I227" s="27" t="n">
        <f aca="false">G227-H227</f>
        <v>20.4761904761905</v>
      </c>
      <c r="J227" s="35" t="s">
        <v>600</v>
      </c>
      <c r="K227" s="55" t="n">
        <v>140000</v>
      </c>
      <c r="L227" s="31" t="n">
        <v>302400</v>
      </c>
      <c r="M227" s="29" t="n">
        <f aca="false">(L227/G227)*5</f>
        <v>18900</v>
      </c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  <c r="DU227" s="30"/>
      <c r="DV227" s="30"/>
      <c r="DW227" s="30"/>
      <c r="DX227" s="30"/>
      <c r="DY227" s="30"/>
      <c r="DZ227" s="30"/>
      <c r="EA227" s="30"/>
      <c r="EB227" s="30"/>
      <c r="EC227" s="30"/>
      <c r="ED227" s="30"/>
      <c r="EE227" s="30"/>
      <c r="EF227" s="30"/>
      <c r="EG227" s="30"/>
      <c r="EH227" s="30"/>
      <c r="EI227" s="30"/>
      <c r="EJ227" s="30"/>
      <c r="EK227" s="30" t="s">
        <v>214</v>
      </c>
      <c r="EL227" s="30"/>
      <c r="EM227" s="30" t="s">
        <v>214</v>
      </c>
      <c r="EN227" s="30" t="s">
        <v>214</v>
      </c>
      <c r="EO227" s="30"/>
      <c r="EP227" s="30"/>
      <c r="EQ227" s="30"/>
      <c r="ER227" s="30"/>
      <c r="ES227" s="30" t="s">
        <v>214</v>
      </c>
      <c r="ET227" s="30"/>
      <c r="EU227" s="30"/>
      <c r="EV227" s="30" t="s">
        <v>214</v>
      </c>
      <c r="EW227" s="30"/>
      <c r="EX227" s="30"/>
      <c r="EY227" s="30"/>
      <c r="EZ227" s="30"/>
      <c r="FA227" s="30"/>
      <c r="FB227" s="30"/>
      <c r="FC227" s="30" t="s">
        <v>214</v>
      </c>
      <c r="FD227" s="30"/>
      <c r="FE227" s="30"/>
      <c r="FF227" s="30"/>
      <c r="FG227" s="30"/>
      <c r="FH227" s="30"/>
      <c r="FI227" s="30"/>
      <c r="FJ227" s="30"/>
      <c r="FK227" s="30"/>
      <c r="FL227" s="30" t="s">
        <v>214</v>
      </c>
      <c r="FM227" s="30"/>
      <c r="FN227" s="30"/>
      <c r="FO227" s="30"/>
      <c r="FP227" s="30"/>
      <c r="FQ227" s="30"/>
      <c r="FR227" s="30"/>
      <c r="FS227" s="30"/>
      <c r="FT227" s="30"/>
      <c r="FU227" s="30"/>
      <c r="FV227" s="30"/>
      <c r="FW227" s="30"/>
      <c r="FX227" s="30"/>
      <c r="FY227" s="30"/>
      <c r="FZ227" s="30"/>
      <c r="GA227" s="30"/>
      <c r="GB227" s="30"/>
      <c r="GC227" s="30"/>
      <c r="GD227" s="30"/>
      <c r="GE227" s="30"/>
      <c r="GF227" s="30"/>
      <c r="GG227" s="30"/>
      <c r="GH227" s="30" t="n">
        <v>75000</v>
      </c>
      <c r="GI227" s="30"/>
      <c r="GJ227" s="30"/>
      <c r="GK227" s="30"/>
      <c r="GL227" s="30"/>
      <c r="GM227" s="30" t="n">
        <v>75000</v>
      </c>
      <c r="GN227" s="30"/>
      <c r="GO227" s="30"/>
      <c r="GP227" s="30"/>
      <c r="GQ227" s="30" t="n">
        <v>75000</v>
      </c>
      <c r="GR227" s="30"/>
      <c r="GS227" s="30"/>
      <c r="GT227" s="30"/>
      <c r="GU227" s="30"/>
      <c r="GV227" s="30"/>
      <c r="GW227" s="30"/>
      <c r="GX227" s="30" t="n">
        <f aca="false">SUM(N227:GW227)</f>
        <v>225000</v>
      </c>
      <c r="GY227" s="36" t="n">
        <f aca="false">SUM(L227-GX227)</f>
        <v>77400</v>
      </c>
      <c r="GZ227" s="32" t="n">
        <f aca="false">SUM( H227/5)</f>
        <v>11.9047619047619</v>
      </c>
      <c r="HA227" s="32" t="n">
        <f aca="false">SUM( I227/5)</f>
        <v>4.0952380952381</v>
      </c>
      <c r="HB227" s="33" t="n">
        <f aca="false">SUM(GZ227/4)</f>
        <v>2.97619047619048</v>
      </c>
      <c r="HC227" s="33" t="n">
        <f aca="false">SUM(HA227/4)</f>
        <v>1.02380952380952</v>
      </c>
    </row>
    <row r="228" customFormat="false" ht="28.5" hidden="true" customHeight="true" outlineLevel="0" collapsed="false">
      <c r="A228" s="26" t="n">
        <v>3790</v>
      </c>
      <c r="B228" s="21" t="s">
        <v>599</v>
      </c>
      <c r="C228" s="21"/>
      <c r="D228" s="34"/>
      <c r="E228" s="25" t="n">
        <v>46176</v>
      </c>
      <c r="F228" s="25" t="n">
        <f aca="false">WORKDAY(E228,G228)</f>
        <v>46288</v>
      </c>
      <c r="G228" s="26" t="n">
        <v>80</v>
      </c>
      <c r="H228" s="27" t="n">
        <f aca="false">(GX228* 5)/M228</f>
        <v>0</v>
      </c>
      <c r="I228" s="27" t="n">
        <f aca="false">G228-H228</f>
        <v>80</v>
      </c>
      <c r="J228" s="35" t="s">
        <v>601</v>
      </c>
      <c r="K228" s="36" t="n">
        <v>100000</v>
      </c>
      <c r="L228" s="36" t="n">
        <v>216000</v>
      </c>
      <c r="M228" s="29" t="n">
        <f aca="false">(L228/G228)*5</f>
        <v>13500</v>
      </c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30"/>
      <c r="DO228" s="30"/>
      <c r="DP228" s="30"/>
      <c r="DQ228" s="30"/>
      <c r="DR228" s="30"/>
      <c r="DS228" s="30"/>
      <c r="DT228" s="30"/>
      <c r="DU228" s="30"/>
      <c r="DV228" s="30"/>
      <c r="DW228" s="30"/>
      <c r="DX228" s="30"/>
      <c r="DY228" s="30"/>
      <c r="DZ228" s="30"/>
      <c r="EA228" s="30"/>
      <c r="EB228" s="30"/>
      <c r="EC228" s="30"/>
      <c r="ED228" s="30"/>
      <c r="EE228" s="30"/>
      <c r="EF228" s="30"/>
      <c r="EG228" s="30"/>
      <c r="EH228" s="30"/>
      <c r="EI228" s="30"/>
      <c r="EJ228" s="30"/>
      <c r="EK228" s="30" t="s">
        <v>214</v>
      </c>
      <c r="EL228" s="30"/>
      <c r="EM228" s="30" t="s">
        <v>214</v>
      </c>
      <c r="EN228" s="30" t="s">
        <v>214</v>
      </c>
      <c r="EO228" s="30"/>
      <c r="EP228" s="30"/>
      <c r="EQ228" s="30"/>
      <c r="ER228" s="30"/>
      <c r="ES228" s="30" t="s">
        <v>214</v>
      </c>
      <c r="ET228" s="30"/>
      <c r="EU228" s="30"/>
      <c r="EV228" s="30" t="s">
        <v>214</v>
      </c>
      <c r="EW228" s="30"/>
      <c r="EX228" s="30"/>
      <c r="EY228" s="30"/>
      <c r="EZ228" s="30"/>
      <c r="FA228" s="30"/>
      <c r="FB228" s="30"/>
      <c r="FC228" s="30" t="s">
        <v>214</v>
      </c>
      <c r="FD228" s="30"/>
      <c r="FE228" s="30"/>
      <c r="FF228" s="30"/>
      <c r="FG228" s="30"/>
      <c r="FH228" s="30"/>
      <c r="FI228" s="30"/>
      <c r="FJ228" s="30"/>
      <c r="FK228" s="30"/>
      <c r="FL228" s="30" t="s">
        <v>214</v>
      </c>
      <c r="FM228" s="30"/>
      <c r="FN228" s="30"/>
      <c r="FO228" s="30"/>
      <c r="FP228" s="30"/>
      <c r="FQ228" s="30"/>
      <c r="FR228" s="30"/>
      <c r="FS228" s="30"/>
      <c r="FT228" s="30"/>
      <c r="FU228" s="30"/>
      <c r="FV228" s="30"/>
      <c r="FW228" s="30"/>
      <c r="FX228" s="30"/>
      <c r="FY228" s="30"/>
      <c r="FZ228" s="30"/>
      <c r="GA228" s="30"/>
      <c r="GB228" s="30"/>
      <c r="GC228" s="30"/>
      <c r="GD228" s="30"/>
      <c r="GE228" s="30"/>
      <c r="GF228" s="30"/>
      <c r="GG228" s="30"/>
      <c r="GH228" s="30"/>
      <c r="GI228" s="30"/>
      <c r="GJ228" s="30"/>
      <c r="GK228" s="30"/>
      <c r="GL228" s="30"/>
      <c r="GM228" s="30"/>
      <c r="GN228" s="30"/>
      <c r="GO228" s="30"/>
      <c r="GP228" s="30"/>
      <c r="GQ228" s="30"/>
      <c r="GR228" s="30"/>
      <c r="GS228" s="30"/>
      <c r="GT228" s="30"/>
      <c r="GU228" s="30"/>
      <c r="GV228" s="30"/>
      <c r="GW228" s="30"/>
      <c r="GX228" s="30" t="n">
        <f aca="false">SUM(N228:GW228)</f>
        <v>0</v>
      </c>
      <c r="GY228" s="36" t="n">
        <f aca="false">SUM(L228-GX228)</f>
        <v>216000</v>
      </c>
      <c r="GZ228" s="32" t="n">
        <f aca="false">SUM( H228/5)</f>
        <v>0</v>
      </c>
      <c r="HA228" s="32" t="n">
        <f aca="false">SUM( I228/5)</f>
        <v>16</v>
      </c>
      <c r="HB228" s="33" t="n">
        <f aca="false">SUM(GZ228/4)</f>
        <v>0</v>
      </c>
      <c r="HC228" s="33" t="n">
        <f aca="false">SUM(HA228/4)</f>
        <v>4</v>
      </c>
    </row>
    <row r="229" customFormat="false" ht="28.5" hidden="true" customHeight="true" outlineLevel="0" collapsed="false">
      <c r="A229" s="26" t="n">
        <v>3702</v>
      </c>
      <c r="B229" s="21" t="s">
        <v>602</v>
      </c>
      <c r="C229" s="21"/>
      <c r="D229" s="34"/>
      <c r="E229" s="25" t="n">
        <v>46108</v>
      </c>
      <c r="F229" s="25" t="n">
        <f aca="false">WORKDAY(E229,G229)</f>
        <v>46220</v>
      </c>
      <c r="G229" s="26" t="n">
        <v>80</v>
      </c>
      <c r="H229" s="27" t="n">
        <f aca="false">(GX229* 5)/M229</f>
        <v>40</v>
      </c>
      <c r="I229" s="27" t="n">
        <f aca="false">G229-H229</f>
        <v>40</v>
      </c>
      <c r="J229" s="35" t="s">
        <v>603</v>
      </c>
      <c r="K229" s="36" t="n">
        <v>200000</v>
      </c>
      <c r="L229" s="36" t="n">
        <v>453600</v>
      </c>
      <c r="M229" s="29" t="n">
        <f aca="false">(L229/G229)*5</f>
        <v>28350</v>
      </c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30"/>
      <c r="DO229" s="30"/>
      <c r="DP229" s="30"/>
      <c r="DQ229" s="30"/>
      <c r="DR229" s="30"/>
      <c r="DS229" s="30"/>
      <c r="DT229" s="30"/>
      <c r="DU229" s="30"/>
      <c r="DV229" s="30"/>
      <c r="DW229" s="30"/>
      <c r="DX229" s="30"/>
      <c r="DY229" s="30"/>
      <c r="DZ229" s="30"/>
      <c r="EA229" s="30"/>
      <c r="EB229" s="30"/>
      <c r="EC229" s="30"/>
      <c r="ED229" s="30"/>
      <c r="EE229" s="30"/>
      <c r="EF229" s="30"/>
      <c r="EG229" s="30"/>
      <c r="EH229" s="30"/>
      <c r="EI229" s="30"/>
      <c r="EJ229" s="30"/>
      <c r="EK229" s="30" t="s">
        <v>214</v>
      </c>
      <c r="EL229" s="30"/>
      <c r="EM229" s="30" t="s">
        <v>214</v>
      </c>
      <c r="EN229" s="30" t="s">
        <v>214</v>
      </c>
      <c r="EO229" s="30"/>
      <c r="EP229" s="30"/>
      <c r="EQ229" s="30"/>
      <c r="ER229" s="30"/>
      <c r="ES229" s="30" t="s">
        <v>214</v>
      </c>
      <c r="ET229" s="30"/>
      <c r="EU229" s="30"/>
      <c r="EV229" s="30" t="s">
        <v>214</v>
      </c>
      <c r="EW229" s="30"/>
      <c r="EX229" s="30"/>
      <c r="EY229" s="30"/>
      <c r="EZ229" s="30"/>
      <c r="FA229" s="30"/>
      <c r="FB229" s="30"/>
      <c r="FC229" s="30" t="s">
        <v>214</v>
      </c>
      <c r="FD229" s="30"/>
      <c r="FE229" s="30"/>
      <c r="FF229" s="30"/>
      <c r="FG229" s="30"/>
      <c r="FH229" s="30"/>
      <c r="FI229" s="30"/>
      <c r="FJ229" s="30"/>
      <c r="FK229" s="30"/>
      <c r="FL229" s="30" t="s">
        <v>214</v>
      </c>
      <c r="FM229" s="30"/>
      <c r="FN229" s="30"/>
      <c r="FO229" s="30"/>
      <c r="FP229" s="30"/>
      <c r="FQ229" s="30"/>
      <c r="FR229" s="30"/>
      <c r="FS229" s="30"/>
      <c r="FT229" s="30"/>
      <c r="FU229" s="30"/>
      <c r="FV229" s="30"/>
      <c r="FW229" s="30"/>
      <c r="FX229" s="30"/>
      <c r="FY229" s="30"/>
      <c r="FZ229" s="30"/>
      <c r="GA229" s="30"/>
      <c r="GB229" s="30"/>
      <c r="GC229" s="30"/>
      <c r="GD229" s="30"/>
      <c r="GE229" s="30"/>
      <c r="GF229" s="30"/>
      <c r="GG229" s="30"/>
      <c r="GH229" s="30"/>
      <c r="GI229" s="30"/>
      <c r="GJ229" s="30"/>
      <c r="GK229" s="30"/>
      <c r="GL229" s="30"/>
      <c r="GM229" s="30" t="n">
        <v>113400</v>
      </c>
      <c r="GN229" s="30"/>
      <c r="GO229" s="30"/>
      <c r="GP229" s="30"/>
      <c r="GQ229" s="30" t="n">
        <v>113400</v>
      </c>
      <c r="GR229" s="30"/>
      <c r="GS229" s="30"/>
      <c r="GT229" s="30"/>
      <c r="GU229" s="30"/>
      <c r="GV229" s="30"/>
      <c r="GW229" s="30"/>
      <c r="GX229" s="30" t="n">
        <f aca="false">SUM(N229:GW229)</f>
        <v>226800</v>
      </c>
      <c r="GY229" s="36" t="n">
        <f aca="false">SUM(L229-GX229)</f>
        <v>226800</v>
      </c>
      <c r="GZ229" s="32" t="n">
        <f aca="false">SUM( H229/5)</f>
        <v>8</v>
      </c>
      <c r="HA229" s="32" t="n">
        <f aca="false">SUM( I229/5)</f>
        <v>8</v>
      </c>
      <c r="HB229" s="33" t="n">
        <f aca="false">SUM(GZ229/4)</f>
        <v>2</v>
      </c>
      <c r="HC229" s="33" t="n">
        <f aca="false">SUM(HA229/4)</f>
        <v>2</v>
      </c>
    </row>
    <row r="230" customFormat="false" ht="28.5" hidden="true" customHeight="true" outlineLevel="0" collapsed="false">
      <c r="A230" s="26" t="n">
        <v>3668</v>
      </c>
      <c r="B230" s="21" t="s">
        <v>604</v>
      </c>
      <c r="C230" s="21" t="s">
        <v>605</v>
      </c>
      <c r="D230" s="34" t="n">
        <v>32346342</v>
      </c>
      <c r="E230" s="25" t="n">
        <v>46084</v>
      </c>
      <c r="F230" s="25" t="n">
        <f aca="false">WORKDAY(E230,G230)</f>
        <v>46196</v>
      </c>
      <c r="G230" s="26" t="n">
        <v>80</v>
      </c>
      <c r="H230" s="27" t="n">
        <f aca="false">(GX230* 5)/M230</f>
        <v>60</v>
      </c>
      <c r="I230" s="27" t="n">
        <f aca="false">G230-H230</f>
        <v>20</v>
      </c>
      <c r="J230" s="22" t="s">
        <v>606</v>
      </c>
      <c r="K230" s="31" t="n">
        <v>100000</v>
      </c>
      <c r="L230" s="31" t="n">
        <v>216000</v>
      </c>
      <c r="M230" s="37" t="n">
        <f aca="false">(L230/G230)*5</f>
        <v>13500</v>
      </c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30"/>
      <c r="DO230" s="30"/>
      <c r="DP230" s="30"/>
      <c r="DQ230" s="30"/>
      <c r="DR230" s="30"/>
      <c r="DS230" s="30"/>
      <c r="DT230" s="30"/>
      <c r="DU230" s="30"/>
      <c r="DV230" s="30"/>
      <c r="DW230" s="30"/>
      <c r="DX230" s="30"/>
      <c r="DY230" s="30"/>
      <c r="DZ230" s="30"/>
      <c r="EA230" s="30"/>
      <c r="EB230" s="30"/>
      <c r="EC230" s="30"/>
      <c r="ED230" s="30"/>
      <c r="EE230" s="30"/>
      <c r="EF230" s="30"/>
      <c r="EG230" s="30"/>
      <c r="EH230" s="30"/>
      <c r="EI230" s="30"/>
      <c r="EJ230" s="30"/>
      <c r="EK230" s="30" t="s">
        <v>214</v>
      </c>
      <c r="EL230" s="30"/>
      <c r="EM230" s="30" t="s">
        <v>214</v>
      </c>
      <c r="EN230" s="30" t="s">
        <v>214</v>
      </c>
      <c r="EO230" s="30"/>
      <c r="EP230" s="30"/>
      <c r="EQ230" s="30"/>
      <c r="ER230" s="30"/>
      <c r="ES230" s="30" t="s">
        <v>214</v>
      </c>
      <c r="ET230" s="30"/>
      <c r="EU230" s="30"/>
      <c r="EV230" s="30" t="s">
        <v>214</v>
      </c>
      <c r="EW230" s="30"/>
      <c r="EX230" s="30"/>
      <c r="EY230" s="30"/>
      <c r="EZ230" s="30"/>
      <c r="FA230" s="30"/>
      <c r="FB230" s="30"/>
      <c r="FC230" s="30" t="s">
        <v>214</v>
      </c>
      <c r="FD230" s="30"/>
      <c r="FE230" s="30"/>
      <c r="FF230" s="30"/>
      <c r="FG230" s="30"/>
      <c r="FH230" s="30"/>
      <c r="FI230" s="30"/>
      <c r="FJ230" s="30"/>
      <c r="FK230" s="30"/>
      <c r="FL230" s="30" t="s">
        <v>214</v>
      </c>
      <c r="FM230" s="30"/>
      <c r="FN230" s="30"/>
      <c r="FO230" s="30"/>
      <c r="FP230" s="30"/>
      <c r="FQ230" s="30"/>
      <c r="FR230" s="30"/>
      <c r="FS230" s="30"/>
      <c r="FT230" s="30"/>
      <c r="FU230" s="30"/>
      <c r="FV230" s="30"/>
      <c r="FW230" s="30"/>
      <c r="FX230" s="30"/>
      <c r="FY230" s="30"/>
      <c r="FZ230" s="30"/>
      <c r="GA230" s="30"/>
      <c r="GB230" s="30"/>
      <c r="GC230" s="30"/>
      <c r="GD230" s="30"/>
      <c r="GE230" s="30"/>
      <c r="GF230" s="30"/>
      <c r="GG230" s="30"/>
      <c r="GH230" s="30"/>
      <c r="GI230" s="30"/>
      <c r="GJ230" s="30"/>
      <c r="GK230" s="30"/>
      <c r="GL230" s="30" t="n">
        <v>54000</v>
      </c>
      <c r="GM230" s="30"/>
      <c r="GN230" s="30"/>
      <c r="GO230" s="30" t="n">
        <v>54000</v>
      </c>
      <c r="GP230" s="30"/>
      <c r="GQ230" s="30"/>
      <c r="GR230" s="30"/>
      <c r="GS230" s="30"/>
      <c r="GT230" s="30" t="n">
        <v>54000</v>
      </c>
      <c r="GU230" s="30"/>
      <c r="GV230" s="30"/>
      <c r="GW230" s="30"/>
      <c r="GX230" s="30" t="n">
        <f aca="false">SUM(N230:GW230)</f>
        <v>162000</v>
      </c>
      <c r="GY230" s="36" t="n">
        <f aca="false">SUM(L230-GX230)</f>
        <v>54000</v>
      </c>
      <c r="GZ230" s="32" t="n">
        <f aca="false">SUM( H230/5)</f>
        <v>12</v>
      </c>
      <c r="HA230" s="32" t="n">
        <f aca="false">SUM( I230/5)</f>
        <v>4</v>
      </c>
      <c r="HB230" s="33" t="n">
        <f aca="false">SUM(GZ230/4)</f>
        <v>3</v>
      </c>
      <c r="HC230" s="33" t="n">
        <f aca="false">SUM(HA230/4)</f>
        <v>1</v>
      </c>
    </row>
    <row r="231" customFormat="false" ht="28.5" hidden="true" customHeight="true" outlineLevel="0" collapsed="false">
      <c r="A231" s="26" t="n">
        <v>3493</v>
      </c>
      <c r="B231" s="21" t="s">
        <v>607</v>
      </c>
      <c r="C231" s="21" t="s">
        <v>608</v>
      </c>
      <c r="D231" s="34" t="n">
        <v>35869349</v>
      </c>
      <c r="E231" s="25" t="n">
        <v>45803</v>
      </c>
      <c r="F231" s="25" t="n">
        <f aca="false">WORKDAY(E231,G231)</f>
        <v>45957</v>
      </c>
      <c r="G231" s="26" t="n">
        <v>110</v>
      </c>
      <c r="H231" s="27" t="n">
        <f aca="false">(GX231* 5)/M231</f>
        <v>103.75</v>
      </c>
      <c r="I231" s="27" t="n">
        <f aca="false">G231-H231</f>
        <v>6.25</v>
      </c>
      <c r="J231" s="49" t="s">
        <v>609</v>
      </c>
      <c r="K231" s="57" t="n">
        <v>200000</v>
      </c>
      <c r="L231" s="36" t="n">
        <v>528000</v>
      </c>
      <c r="M231" s="37" t="n">
        <f aca="false">(L231/G231)*5</f>
        <v>24000</v>
      </c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30"/>
      <c r="DO231" s="30"/>
      <c r="DP231" s="30"/>
      <c r="DQ231" s="30"/>
      <c r="DR231" s="30"/>
      <c r="DS231" s="30"/>
      <c r="DT231" s="30"/>
      <c r="DU231" s="30"/>
      <c r="DV231" s="30"/>
      <c r="DW231" s="30"/>
      <c r="DX231" s="30"/>
      <c r="DY231" s="30"/>
      <c r="DZ231" s="30"/>
      <c r="EA231" s="30"/>
      <c r="EB231" s="30"/>
      <c r="EC231" s="30"/>
      <c r="ED231" s="30"/>
      <c r="EE231" s="30"/>
      <c r="EF231" s="30"/>
      <c r="EG231" s="30"/>
      <c r="EH231" s="30"/>
      <c r="EI231" s="30"/>
      <c r="EJ231" s="30"/>
      <c r="EK231" s="30" t="s">
        <v>214</v>
      </c>
      <c r="EL231" s="30"/>
      <c r="EM231" s="30" t="s">
        <v>214</v>
      </c>
      <c r="EN231" s="30" t="s">
        <v>214</v>
      </c>
      <c r="EO231" s="30"/>
      <c r="EP231" s="30"/>
      <c r="EQ231" s="30"/>
      <c r="ER231" s="30"/>
      <c r="ES231" s="30" t="n">
        <v>48000</v>
      </c>
      <c r="ET231" s="30"/>
      <c r="EU231" s="30" t="n">
        <v>48000</v>
      </c>
      <c r="EV231" s="30"/>
      <c r="EW231" s="30"/>
      <c r="EX231" s="30"/>
      <c r="EY231" s="30"/>
      <c r="EZ231" s="30" t="n">
        <v>48000</v>
      </c>
      <c r="FA231" s="30"/>
      <c r="FB231" s="30"/>
      <c r="FC231" s="30"/>
      <c r="FD231" s="30"/>
      <c r="FE231" s="30"/>
      <c r="FF231" s="30"/>
      <c r="FG231" s="30"/>
      <c r="FH231" s="30" t="n">
        <v>48000</v>
      </c>
      <c r="FI231" s="30"/>
      <c r="FJ231" s="30" t="n">
        <v>48000</v>
      </c>
      <c r="FK231" s="30"/>
      <c r="FL231" s="30"/>
      <c r="FM231" s="30" t="n">
        <v>48000</v>
      </c>
      <c r="FN231" s="30"/>
      <c r="FO231" s="30" t="n">
        <v>10000</v>
      </c>
      <c r="FP231" s="30"/>
      <c r="FQ231" s="30"/>
      <c r="FR231" s="30"/>
      <c r="FS231" s="30" t="n">
        <v>10000</v>
      </c>
      <c r="FT231" s="30"/>
      <c r="FU231" s="30"/>
      <c r="FV231" s="30"/>
      <c r="FW231" s="30"/>
      <c r="FX231" s="30"/>
      <c r="FY231" s="30"/>
      <c r="FZ231" s="30" t="n">
        <v>3000</v>
      </c>
      <c r="GA231" s="30"/>
      <c r="GB231" s="30" t="n">
        <v>42000</v>
      </c>
      <c r="GC231" s="30"/>
      <c r="GD231" s="30"/>
      <c r="GE231" s="30"/>
      <c r="GF231" s="30"/>
      <c r="GG231" s="30"/>
      <c r="GH231" s="30"/>
      <c r="GI231" s="30"/>
      <c r="GJ231" s="30"/>
      <c r="GK231" s="30"/>
      <c r="GL231" s="30"/>
      <c r="GM231" s="30"/>
      <c r="GN231" s="30"/>
      <c r="GO231" s="30"/>
      <c r="GP231" s="30"/>
      <c r="GQ231" s="30"/>
      <c r="GR231" s="30"/>
      <c r="GS231" s="30"/>
      <c r="GT231" s="30" t="n">
        <v>5000</v>
      </c>
      <c r="GU231" s="30"/>
      <c r="GV231" s="30"/>
      <c r="GW231" s="30" t="n">
        <v>140000</v>
      </c>
      <c r="GX231" s="30" t="n">
        <f aca="false">SUM(N231:GW231)</f>
        <v>498000</v>
      </c>
      <c r="GY231" s="36" t="n">
        <f aca="false">SUM(L231-GX231)</f>
        <v>30000</v>
      </c>
      <c r="GZ231" s="32" t="n">
        <f aca="false">SUM( H231/5)</f>
        <v>20.75</v>
      </c>
      <c r="HA231" s="32" t="n">
        <f aca="false">SUM( I231/5)</f>
        <v>1.25</v>
      </c>
      <c r="HB231" s="33" t="n">
        <f aca="false">SUM(GZ231/4)</f>
        <v>5.1875</v>
      </c>
      <c r="HC231" s="33" t="n">
        <f aca="false">SUM(HA231/4)</f>
        <v>0.3125</v>
      </c>
    </row>
    <row r="232" customFormat="false" ht="28.5" hidden="true" customHeight="true" outlineLevel="0" collapsed="false">
      <c r="A232" s="26" t="n">
        <v>3748</v>
      </c>
      <c r="B232" s="21" t="s">
        <v>610</v>
      </c>
      <c r="C232" s="21" t="s">
        <v>611</v>
      </c>
      <c r="D232" s="34"/>
      <c r="E232" s="25" t="n">
        <v>47237</v>
      </c>
      <c r="F232" s="25" t="n">
        <f aca="false">WORKDAY(E232,G232)</f>
        <v>47347</v>
      </c>
      <c r="G232" s="26" t="n">
        <v>80</v>
      </c>
      <c r="H232" s="27" t="n">
        <f aca="false">(GX232* 5)/M232</f>
        <v>20</v>
      </c>
      <c r="I232" s="27" t="n">
        <f aca="false">G232-H232</f>
        <v>60</v>
      </c>
      <c r="J232" s="35" t="s">
        <v>612</v>
      </c>
      <c r="K232" s="31" t="n">
        <v>150000</v>
      </c>
      <c r="L232" s="31" t="n">
        <v>324000</v>
      </c>
      <c r="M232" s="37" t="n">
        <f aca="false">(L232/G232)*5</f>
        <v>20250</v>
      </c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30"/>
      <c r="DO232" s="30"/>
      <c r="DP232" s="30"/>
      <c r="DQ232" s="30"/>
      <c r="DR232" s="30"/>
      <c r="DS232" s="30"/>
      <c r="DT232" s="30"/>
      <c r="DU232" s="30"/>
      <c r="DV232" s="30"/>
      <c r="DW232" s="30"/>
      <c r="DX232" s="30"/>
      <c r="DY232" s="30"/>
      <c r="DZ232" s="30"/>
      <c r="EA232" s="30"/>
      <c r="EB232" s="30"/>
      <c r="EC232" s="30"/>
      <c r="ED232" s="30"/>
      <c r="EE232" s="30"/>
      <c r="EF232" s="30"/>
      <c r="EG232" s="30"/>
      <c r="EH232" s="30"/>
      <c r="EI232" s="30"/>
      <c r="EJ232" s="30"/>
      <c r="EK232" s="30" t="s">
        <v>214</v>
      </c>
      <c r="EL232" s="30"/>
      <c r="EM232" s="30" t="s">
        <v>214</v>
      </c>
      <c r="EN232" s="30" t="s">
        <v>214</v>
      </c>
      <c r="EO232" s="30"/>
      <c r="EP232" s="30"/>
      <c r="EQ232" s="30"/>
      <c r="ER232" s="30"/>
      <c r="ES232" s="30" t="s">
        <v>214</v>
      </c>
      <c r="ET232" s="30"/>
      <c r="EU232" s="30"/>
      <c r="EV232" s="30" t="s">
        <v>214</v>
      </c>
      <c r="EW232" s="30"/>
      <c r="EX232" s="30"/>
      <c r="EY232" s="30"/>
      <c r="EZ232" s="30"/>
      <c r="FA232" s="30"/>
      <c r="FB232" s="30"/>
      <c r="FC232" s="30" t="s">
        <v>214</v>
      </c>
      <c r="FD232" s="30"/>
      <c r="FE232" s="30"/>
      <c r="FF232" s="30"/>
      <c r="FG232" s="30"/>
      <c r="FH232" s="30"/>
      <c r="FI232" s="30"/>
      <c r="FJ232" s="30"/>
      <c r="FK232" s="30"/>
      <c r="FL232" s="30" t="s">
        <v>214</v>
      </c>
      <c r="FM232" s="30"/>
      <c r="FN232" s="30"/>
      <c r="FO232" s="30"/>
      <c r="FP232" s="30"/>
      <c r="FQ232" s="30"/>
      <c r="FR232" s="30"/>
      <c r="FS232" s="30"/>
      <c r="FT232" s="30"/>
      <c r="FU232" s="30"/>
      <c r="FV232" s="30"/>
      <c r="FW232" s="30"/>
      <c r="FX232" s="30"/>
      <c r="FY232" s="30"/>
      <c r="FZ232" s="30"/>
      <c r="GA232" s="30"/>
      <c r="GB232" s="30"/>
      <c r="GC232" s="30"/>
      <c r="GD232" s="30"/>
      <c r="GE232" s="30"/>
      <c r="GF232" s="30"/>
      <c r="GG232" s="30"/>
      <c r="GH232" s="30"/>
      <c r="GI232" s="30"/>
      <c r="GJ232" s="30"/>
      <c r="GK232" s="30"/>
      <c r="GL232" s="30"/>
      <c r="GM232" s="30"/>
      <c r="GN232" s="30"/>
      <c r="GO232" s="30"/>
      <c r="GP232" s="30"/>
      <c r="GQ232" s="30"/>
      <c r="GR232" s="30"/>
      <c r="GS232" s="30" t="n">
        <v>81000</v>
      </c>
      <c r="GT232" s="30"/>
      <c r="GU232" s="30"/>
      <c r="GV232" s="30"/>
      <c r="GW232" s="30"/>
      <c r="GX232" s="30" t="n">
        <f aca="false">SUM(N232:GW232)</f>
        <v>81000</v>
      </c>
      <c r="GY232" s="36" t="n">
        <f aca="false">SUM(L232-GX232)</f>
        <v>243000</v>
      </c>
      <c r="GZ232" s="32" t="n">
        <f aca="false">SUM( H232/5)</f>
        <v>4</v>
      </c>
      <c r="HA232" s="32" t="n">
        <f aca="false">SUM( I232/5)</f>
        <v>12</v>
      </c>
      <c r="HB232" s="33" t="n">
        <f aca="false">SUM(GZ232/4)</f>
        <v>1</v>
      </c>
      <c r="HC232" s="33" t="n">
        <f aca="false">SUM(HA232/4)</f>
        <v>3</v>
      </c>
    </row>
    <row r="233" customFormat="false" ht="28.5" hidden="true" customHeight="true" outlineLevel="0" collapsed="false">
      <c r="A233" s="26" t="n">
        <v>3214</v>
      </c>
      <c r="B233" s="34" t="s">
        <v>613</v>
      </c>
      <c r="C233" s="34" t="s">
        <v>292</v>
      </c>
      <c r="D233" s="34"/>
      <c r="E233" s="25" t="n">
        <v>45983</v>
      </c>
      <c r="F233" s="25" t="n">
        <f aca="false">WORKDAY(E233,G233)</f>
        <v>46262</v>
      </c>
      <c r="G233" s="26" t="n">
        <v>200</v>
      </c>
      <c r="H233" s="27" t="n">
        <f aca="false">(GX233* 5)/M233</f>
        <v>120</v>
      </c>
      <c r="I233" s="27" t="n">
        <f aca="false">G233-H233</f>
        <v>80</v>
      </c>
      <c r="J233" s="35" t="s">
        <v>293</v>
      </c>
      <c r="K233" s="36" t="n">
        <v>200000</v>
      </c>
      <c r="L233" s="36" t="n">
        <v>624000</v>
      </c>
      <c r="M233" s="29" t="n">
        <f aca="false">(L233/G233)*5</f>
        <v>15600</v>
      </c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30"/>
      <c r="DO233" s="30"/>
      <c r="DP233" s="30"/>
      <c r="DQ233" s="30"/>
      <c r="DR233" s="30"/>
      <c r="DS233" s="30"/>
      <c r="DT233" s="30"/>
      <c r="DU233" s="30"/>
      <c r="DV233" s="30"/>
      <c r="DW233" s="30"/>
      <c r="DX233" s="30"/>
      <c r="DY233" s="30"/>
      <c r="DZ233" s="30"/>
      <c r="EA233" s="30"/>
      <c r="EB233" s="30"/>
      <c r="EC233" s="30"/>
      <c r="ED233" s="30"/>
      <c r="EE233" s="30"/>
      <c r="EF233" s="30"/>
      <c r="EG233" s="30"/>
      <c r="EH233" s="30"/>
      <c r="EI233" s="30"/>
      <c r="EJ233" s="30"/>
      <c r="EK233" s="30" t="s">
        <v>214</v>
      </c>
      <c r="EL233" s="30"/>
      <c r="EM233" s="30" t="s">
        <v>214</v>
      </c>
      <c r="EN233" s="30" t="s">
        <v>214</v>
      </c>
      <c r="EO233" s="30"/>
      <c r="EP233" s="30"/>
      <c r="EQ233" s="30"/>
      <c r="ER233" s="30"/>
      <c r="ES233" s="30" t="s">
        <v>214</v>
      </c>
      <c r="ET233" s="30"/>
      <c r="EU233" s="30"/>
      <c r="EV233" s="30" t="s">
        <v>214</v>
      </c>
      <c r="EW233" s="30"/>
      <c r="EX233" s="30"/>
      <c r="EY233" s="30"/>
      <c r="EZ233" s="30"/>
      <c r="FA233" s="30"/>
      <c r="FB233" s="30"/>
      <c r="FC233" s="30" t="s">
        <v>214</v>
      </c>
      <c r="FD233" s="30"/>
      <c r="FE233" s="30"/>
      <c r="FF233" s="30"/>
      <c r="FG233" s="30"/>
      <c r="FH233" s="30"/>
      <c r="FI233" s="30"/>
      <c r="FJ233" s="30"/>
      <c r="FK233" s="30"/>
      <c r="FL233" s="30" t="s">
        <v>214</v>
      </c>
      <c r="FM233" s="30"/>
      <c r="FN233" s="30"/>
      <c r="FO233" s="30"/>
      <c r="FP233" s="30"/>
      <c r="FQ233" s="30"/>
      <c r="FR233" s="30"/>
      <c r="FS233" s="30"/>
      <c r="FT233" s="30"/>
      <c r="FU233" s="30"/>
      <c r="FV233" s="30"/>
      <c r="FW233" s="30" t="n">
        <v>62400</v>
      </c>
      <c r="FX233" s="30"/>
      <c r="FY233" s="30"/>
      <c r="FZ233" s="30"/>
      <c r="GA233" s="30" t="n">
        <v>62400</v>
      </c>
      <c r="GB233" s="30"/>
      <c r="GC233" s="30"/>
      <c r="GD233" s="30"/>
      <c r="GE233" s="30" t="n">
        <v>62400</v>
      </c>
      <c r="GF233" s="30"/>
      <c r="GG233" s="30"/>
      <c r="GH233" s="30"/>
      <c r="GI233" s="30"/>
      <c r="GJ233" s="30" t="n">
        <v>62400</v>
      </c>
      <c r="GK233" s="30"/>
      <c r="GL233" s="30"/>
      <c r="GM233" s="30"/>
      <c r="GN233" s="30" t="n">
        <v>62400</v>
      </c>
      <c r="GO233" s="30"/>
      <c r="GP233" s="30"/>
      <c r="GQ233" s="30"/>
      <c r="GR233" s="30" t="n">
        <v>62400</v>
      </c>
      <c r="GS233" s="30"/>
      <c r="GT233" s="30"/>
      <c r="GU233" s="30"/>
      <c r="GV233" s="30"/>
      <c r="GW233" s="30"/>
      <c r="GX233" s="30" t="n">
        <f aca="false">SUM(N233:GW233)</f>
        <v>374400</v>
      </c>
      <c r="GY233" s="36" t="n">
        <f aca="false">SUM(L233-GX233)</f>
        <v>249600</v>
      </c>
      <c r="GZ233" s="32" t="n">
        <f aca="false">SUM( H233/5)</f>
        <v>24</v>
      </c>
      <c r="HA233" s="32" t="n">
        <f aca="false">SUM( I233/5)</f>
        <v>16</v>
      </c>
      <c r="HB233" s="33" t="n">
        <f aca="false">SUM(GZ233/4)</f>
        <v>6</v>
      </c>
      <c r="HC233" s="33" t="n">
        <f aca="false">SUM(HA233/4)</f>
        <v>4</v>
      </c>
    </row>
    <row r="234" customFormat="false" ht="28.5" hidden="true" customHeight="true" outlineLevel="0" collapsed="false">
      <c r="A234" s="26" t="n">
        <v>3340</v>
      </c>
      <c r="B234" s="34" t="s">
        <v>613</v>
      </c>
      <c r="C234" s="34" t="s">
        <v>292</v>
      </c>
      <c r="D234" s="34"/>
      <c r="E234" s="25" t="n">
        <v>46032</v>
      </c>
      <c r="F234" s="25" t="n">
        <f aca="false">WORKDAY(E234,G234)</f>
        <v>46185</v>
      </c>
      <c r="G234" s="26" t="n">
        <v>110</v>
      </c>
      <c r="H234" s="27" t="n">
        <f aca="false">(GX234* 5)/M234</f>
        <v>59.7916666666667</v>
      </c>
      <c r="I234" s="27" t="n">
        <f aca="false">G234-H234</f>
        <v>50.2083333333333</v>
      </c>
      <c r="J234" s="35" t="s">
        <v>614</v>
      </c>
      <c r="K234" s="36" t="n">
        <v>120000</v>
      </c>
      <c r="L234" s="36" t="n">
        <v>316800</v>
      </c>
      <c r="M234" s="29" t="n">
        <f aca="false">(L234/G234)*5</f>
        <v>14400</v>
      </c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  <c r="DU234" s="30"/>
      <c r="DV234" s="30"/>
      <c r="DW234" s="30"/>
      <c r="DX234" s="30"/>
      <c r="DY234" s="30"/>
      <c r="DZ234" s="30"/>
      <c r="EA234" s="30"/>
      <c r="EB234" s="30"/>
      <c r="EC234" s="30"/>
      <c r="ED234" s="30"/>
      <c r="EE234" s="30"/>
      <c r="EF234" s="30"/>
      <c r="EG234" s="30"/>
      <c r="EH234" s="30"/>
      <c r="EI234" s="30"/>
      <c r="EJ234" s="30"/>
      <c r="EK234" s="30" t="s">
        <v>214</v>
      </c>
      <c r="EL234" s="30"/>
      <c r="EM234" s="30" t="s">
        <v>214</v>
      </c>
      <c r="EN234" s="30" t="s">
        <v>214</v>
      </c>
      <c r="EO234" s="30"/>
      <c r="EP234" s="30"/>
      <c r="EQ234" s="30"/>
      <c r="ER234" s="30"/>
      <c r="ES234" s="30" t="s">
        <v>214</v>
      </c>
      <c r="ET234" s="30"/>
      <c r="EU234" s="30"/>
      <c r="EV234" s="30" t="s">
        <v>214</v>
      </c>
      <c r="EW234" s="30"/>
      <c r="EX234" s="30"/>
      <c r="EY234" s="30"/>
      <c r="EZ234" s="30"/>
      <c r="FA234" s="30"/>
      <c r="FB234" s="30"/>
      <c r="FC234" s="30" t="s">
        <v>214</v>
      </c>
      <c r="FD234" s="30"/>
      <c r="FE234" s="30"/>
      <c r="FF234" s="30"/>
      <c r="FG234" s="30"/>
      <c r="FH234" s="30"/>
      <c r="FI234" s="30"/>
      <c r="FJ234" s="30"/>
      <c r="FK234" s="30"/>
      <c r="FL234" s="30" t="s">
        <v>214</v>
      </c>
      <c r="FM234" s="30"/>
      <c r="FN234" s="30"/>
      <c r="FO234" s="30"/>
      <c r="FP234" s="30"/>
      <c r="FQ234" s="30"/>
      <c r="FR234" s="30"/>
      <c r="FS234" s="30"/>
      <c r="FT234" s="30"/>
      <c r="FU234" s="30"/>
      <c r="FV234" s="30"/>
      <c r="FW234" s="30"/>
      <c r="FX234" s="30"/>
      <c r="FY234" s="30"/>
      <c r="FZ234" s="30" t="n">
        <v>29400</v>
      </c>
      <c r="GA234" s="30"/>
      <c r="GB234" s="30" t="n">
        <v>28500</v>
      </c>
      <c r="GC234" s="30"/>
      <c r="GD234" s="30" t="n">
        <v>28500</v>
      </c>
      <c r="GE234" s="30"/>
      <c r="GF234" s="30"/>
      <c r="GG234" s="30"/>
      <c r="GH234" s="30"/>
      <c r="GI234" s="30"/>
      <c r="GJ234" s="30" t="n">
        <v>28500</v>
      </c>
      <c r="GK234" s="30"/>
      <c r="GL234" s="30" t="n">
        <v>28800</v>
      </c>
      <c r="GM234" s="30"/>
      <c r="GN234" s="30"/>
      <c r="GO234" s="30" t="n">
        <v>28500</v>
      </c>
      <c r="GP234" s="30"/>
      <c r="GQ234" s="30"/>
      <c r="GR234" s="30"/>
      <c r="GS234" s="30"/>
      <c r="GT234" s="30"/>
      <c r="GU234" s="30"/>
      <c r="GV234" s="30"/>
      <c r="GW234" s="30"/>
      <c r="GX234" s="30" t="n">
        <f aca="false">SUM(N234:GW234)</f>
        <v>172200</v>
      </c>
      <c r="GY234" s="36" t="n">
        <f aca="false">SUM(L234-GX234)</f>
        <v>144600</v>
      </c>
      <c r="GZ234" s="32" t="n">
        <f aca="false">SUM( H234/5)</f>
        <v>11.9583333333333</v>
      </c>
      <c r="HA234" s="32" t="n">
        <f aca="false">SUM( I234/5)</f>
        <v>10.0416666666667</v>
      </c>
      <c r="HB234" s="33" t="n">
        <f aca="false">SUM(GZ234/4)</f>
        <v>2.98958333333333</v>
      </c>
      <c r="HC234" s="33" t="n">
        <f aca="false">SUM(HA234/4)</f>
        <v>2.51041666666667</v>
      </c>
    </row>
    <row r="235" customFormat="false" ht="28.5" hidden="true" customHeight="true" outlineLevel="0" collapsed="false">
      <c r="A235" s="26" t="n">
        <v>3632</v>
      </c>
      <c r="B235" s="34" t="s">
        <v>613</v>
      </c>
      <c r="C235" s="34" t="s">
        <v>292</v>
      </c>
      <c r="D235" s="34"/>
      <c r="E235" s="25" t="n">
        <v>46062</v>
      </c>
      <c r="F235" s="25" t="n">
        <f aca="false">WORKDAY(E235,G235)</f>
        <v>46286</v>
      </c>
      <c r="G235" s="26" t="n">
        <v>160</v>
      </c>
      <c r="H235" s="27" t="n">
        <f aca="false">(GX235* 5)/M235</f>
        <v>80</v>
      </c>
      <c r="I235" s="27" t="n">
        <f aca="false">G235-H235</f>
        <v>80</v>
      </c>
      <c r="J235" s="35" t="s">
        <v>615</v>
      </c>
      <c r="K235" s="57" t="n">
        <v>1000000</v>
      </c>
      <c r="L235" s="36" t="n">
        <v>2880000</v>
      </c>
      <c r="M235" s="29" t="n">
        <f aca="false">(L235/G235)*5</f>
        <v>90000</v>
      </c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30"/>
      <c r="DO235" s="30"/>
      <c r="DP235" s="30"/>
      <c r="DQ235" s="30"/>
      <c r="DR235" s="30"/>
      <c r="DS235" s="30"/>
      <c r="DT235" s="30"/>
      <c r="DU235" s="30"/>
      <c r="DV235" s="30"/>
      <c r="DW235" s="30"/>
      <c r="DX235" s="30"/>
      <c r="DY235" s="30"/>
      <c r="DZ235" s="30"/>
      <c r="EA235" s="30"/>
      <c r="EB235" s="30"/>
      <c r="EC235" s="30"/>
      <c r="ED235" s="30"/>
      <c r="EE235" s="30"/>
      <c r="EF235" s="30"/>
      <c r="EG235" s="30"/>
      <c r="EH235" s="30"/>
      <c r="EI235" s="30"/>
      <c r="EJ235" s="30"/>
      <c r="EK235" s="30" t="s">
        <v>214</v>
      </c>
      <c r="EL235" s="30"/>
      <c r="EM235" s="30" t="s">
        <v>214</v>
      </c>
      <c r="EN235" s="30" t="s">
        <v>214</v>
      </c>
      <c r="EO235" s="30"/>
      <c r="EP235" s="30"/>
      <c r="EQ235" s="30"/>
      <c r="ER235" s="30"/>
      <c r="ES235" s="30" t="s">
        <v>214</v>
      </c>
      <c r="ET235" s="30"/>
      <c r="EU235" s="30"/>
      <c r="EV235" s="30" t="s">
        <v>214</v>
      </c>
      <c r="EW235" s="30"/>
      <c r="EX235" s="30"/>
      <c r="EY235" s="30"/>
      <c r="EZ235" s="30"/>
      <c r="FA235" s="30"/>
      <c r="FB235" s="30"/>
      <c r="FC235" s="30" t="s">
        <v>214</v>
      </c>
      <c r="FD235" s="30"/>
      <c r="FE235" s="30"/>
      <c r="FF235" s="30"/>
      <c r="FG235" s="30"/>
      <c r="FH235" s="30"/>
      <c r="FI235" s="30"/>
      <c r="FJ235" s="30"/>
      <c r="FK235" s="30"/>
      <c r="FL235" s="30" t="s">
        <v>214</v>
      </c>
      <c r="FM235" s="30"/>
      <c r="FN235" s="30"/>
      <c r="FO235" s="30"/>
      <c r="FP235" s="30"/>
      <c r="FQ235" s="30"/>
      <c r="FR235" s="30"/>
      <c r="FS235" s="30"/>
      <c r="FT235" s="30"/>
      <c r="FU235" s="30"/>
      <c r="FV235" s="30"/>
      <c r="FW235" s="30"/>
      <c r="FX235" s="30"/>
      <c r="FY235" s="30"/>
      <c r="FZ235" s="30"/>
      <c r="GA235" s="30"/>
      <c r="GB235" s="30"/>
      <c r="GC235" s="30"/>
      <c r="GD235" s="30"/>
      <c r="GE235" s="30"/>
      <c r="GF235" s="30"/>
      <c r="GG235" s="30"/>
      <c r="GH235" s="30" t="n">
        <v>360000</v>
      </c>
      <c r="GI235" s="30"/>
      <c r="GJ235" s="30"/>
      <c r="GK235" s="30"/>
      <c r="GL235" s="30"/>
      <c r="GM235" s="30" t="n">
        <v>360000</v>
      </c>
      <c r="GN235" s="30"/>
      <c r="GO235" s="30"/>
      <c r="GP235" s="30"/>
      <c r="GQ235" s="30" t="n">
        <v>360000</v>
      </c>
      <c r="GR235" s="30"/>
      <c r="GS235" s="30"/>
      <c r="GT235" s="30"/>
      <c r="GU235" s="30"/>
      <c r="GV235" s="30"/>
      <c r="GW235" s="30" t="n">
        <v>360000</v>
      </c>
      <c r="GX235" s="30" t="n">
        <f aca="false">SUM(N235:GW235)</f>
        <v>1440000</v>
      </c>
      <c r="GY235" s="36" t="n">
        <f aca="false">SUM(L235-GX235)</f>
        <v>1440000</v>
      </c>
      <c r="GZ235" s="32" t="n">
        <f aca="false">SUM( H235/5)</f>
        <v>16</v>
      </c>
      <c r="HA235" s="32" t="n">
        <f aca="false">SUM( I235/5)</f>
        <v>16</v>
      </c>
      <c r="HB235" s="33" t="n">
        <f aca="false">SUM(GZ235/4)</f>
        <v>4</v>
      </c>
      <c r="HC235" s="33" t="n">
        <f aca="false">SUM(HA235/4)</f>
        <v>4</v>
      </c>
    </row>
    <row r="236" customFormat="false" ht="28.5" hidden="true" customHeight="true" outlineLevel="0" collapsed="false">
      <c r="A236" s="26" t="n">
        <v>3475</v>
      </c>
      <c r="B236" s="21" t="s">
        <v>616</v>
      </c>
      <c r="C236" s="21" t="s">
        <v>617</v>
      </c>
      <c r="D236" s="34"/>
      <c r="E236" s="25" t="n">
        <v>45553</v>
      </c>
      <c r="F236" s="25" t="n">
        <f aca="false">WORKDAY(E236,G236)</f>
        <v>45721</v>
      </c>
      <c r="G236" s="26" t="n">
        <v>120</v>
      </c>
      <c r="H236" s="27" t="n">
        <f aca="false">(GX236* 5)/M236</f>
        <v>44.3939393939394</v>
      </c>
      <c r="I236" s="27" t="n">
        <f aca="false">G236-H236</f>
        <v>75.6060606060606</v>
      </c>
      <c r="J236" s="35" t="s">
        <v>618</v>
      </c>
      <c r="K236" s="36" t="n">
        <v>300000</v>
      </c>
      <c r="L236" s="36" t="n">
        <v>792000</v>
      </c>
      <c r="M236" s="37" t="n">
        <f aca="false">(L236/G236)*5</f>
        <v>33000</v>
      </c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30"/>
      <c r="DO236" s="30" t="n">
        <v>133000</v>
      </c>
      <c r="DP236" s="30"/>
      <c r="DQ236" s="30"/>
      <c r="DR236" s="30" t="n">
        <v>100000</v>
      </c>
      <c r="DS236" s="30"/>
      <c r="DT236" s="30"/>
      <c r="DU236" s="30"/>
      <c r="DV236" s="30"/>
      <c r="DW236" s="30"/>
      <c r="DX236" s="30"/>
      <c r="DY236" s="30"/>
      <c r="DZ236" s="30"/>
      <c r="EA236" s="30"/>
      <c r="EB236" s="30"/>
      <c r="EC236" s="30"/>
      <c r="ED236" s="30"/>
      <c r="EE236" s="30"/>
      <c r="EF236" s="30"/>
      <c r="EG236" s="30"/>
      <c r="EH236" s="30"/>
      <c r="EI236" s="30"/>
      <c r="EJ236" s="30"/>
      <c r="EK236" s="30"/>
      <c r="EL236" s="30"/>
      <c r="EM236" s="30"/>
      <c r="EN236" s="30"/>
      <c r="EO236" s="30" t="n">
        <v>30000</v>
      </c>
      <c r="EP236" s="30"/>
      <c r="EQ236" s="30" t="n">
        <v>30000</v>
      </c>
      <c r="ER236" s="30"/>
      <c r="ES236" s="30"/>
      <c r="ET236" s="30"/>
      <c r="EU236" s="30"/>
      <c r="EV236" s="30"/>
      <c r="EW236" s="30"/>
      <c r="EX236" s="30"/>
      <c r="EY236" s="30"/>
      <c r="EZ236" s="30"/>
      <c r="FA236" s="30"/>
      <c r="FB236" s="30"/>
      <c r="FC236" s="30"/>
      <c r="FD236" s="30"/>
      <c r="FE236" s="30"/>
      <c r="FF236" s="30"/>
      <c r="FG236" s="30"/>
      <c r="FH236" s="30"/>
      <c r="FI236" s="30"/>
      <c r="FJ236" s="30"/>
      <c r="FK236" s="30"/>
      <c r="FL236" s="30"/>
      <c r="FM236" s="30"/>
      <c r="FN236" s="30"/>
      <c r="FO236" s="30"/>
      <c r="FP236" s="30"/>
      <c r="FQ236" s="30"/>
      <c r="FR236" s="30"/>
      <c r="FS236" s="30"/>
      <c r="FT236" s="30"/>
      <c r="FU236" s="30"/>
      <c r="FV236" s="30"/>
      <c r="FW236" s="30"/>
      <c r="FX236" s="30"/>
      <c r="FY236" s="30"/>
      <c r="FZ236" s="30"/>
      <c r="GA236" s="30"/>
      <c r="GB236" s="30"/>
      <c r="GC236" s="30"/>
      <c r="GD236" s="30"/>
      <c r="GE236" s="30"/>
      <c r="GF236" s="30"/>
      <c r="GG236" s="30"/>
      <c r="GH236" s="30"/>
      <c r="GI236" s="30"/>
      <c r="GJ236" s="30"/>
      <c r="GK236" s="30"/>
      <c r="GL236" s="30"/>
      <c r="GM236" s="30"/>
      <c r="GN236" s="30"/>
      <c r="GO236" s="30"/>
      <c r="GP236" s="30"/>
      <c r="GQ236" s="30"/>
      <c r="GR236" s="30"/>
      <c r="GS236" s="30"/>
      <c r="GT236" s="30"/>
      <c r="GU236" s="30"/>
      <c r="GV236" s="30"/>
      <c r="GW236" s="30"/>
      <c r="GX236" s="30" t="n">
        <f aca="false">SUM(N236:GW236)</f>
        <v>293000</v>
      </c>
      <c r="GY236" s="36" t="n">
        <f aca="false">SUM(L236-GX236)</f>
        <v>499000</v>
      </c>
      <c r="GZ236" s="32" t="n">
        <f aca="false">SUM( H236/5)</f>
        <v>8.87878787878788</v>
      </c>
      <c r="HA236" s="32" t="n">
        <f aca="false">SUM( I236/5)</f>
        <v>15.1212121212121</v>
      </c>
      <c r="HB236" s="33" t="n">
        <f aca="false">SUM(GZ236/4)</f>
        <v>2.21969696969697</v>
      </c>
      <c r="HC236" s="33" t="n">
        <f aca="false">SUM(HA236/4)</f>
        <v>3.78030303030303</v>
      </c>
    </row>
    <row r="237" customFormat="false" ht="28.5" hidden="true" customHeight="true" outlineLevel="0" collapsed="false">
      <c r="A237" s="26" t="n">
        <v>3304</v>
      </c>
      <c r="B237" s="21" t="s">
        <v>619</v>
      </c>
      <c r="C237" s="21" t="s">
        <v>620</v>
      </c>
      <c r="D237" s="34" t="n">
        <v>20284723342</v>
      </c>
      <c r="E237" s="25" t="n">
        <v>46009</v>
      </c>
      <c r="F237" s="25" t="n">
        <f aca="false">WORKDAY(E237,G237)</f>
        <v>46111</v>
      </c>
      <c r="G237" s="26" t="n">
        <v>72</v>
      </c>
      <c r="H237" s="27" t="n">
        <f aca="false">(GX237* 5)/M237</f>
        <v>35</v>
      </c>
      <c r="I237" s="27" t="n">
        <f aca="false">G237-H237</f>
        <v>37</v>
      </c>
      <c r="J237" s="22" t="s">
        <v>244</v>
      </c>
      <c r="K237" s="36" t="n">
        <v>200000</v>
      </c>
      <c r="L237" s="36" t="n">
        <v>432000</v>
      </c>
      <c r="M237" s="37" t="n">
        <f aca="false">(L237/G237)*5</f>
        <v>30000</v>
      </c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30"/>
      <c r="DO237" s="30"/>
      <c r="DP237" s="30"/>
      <c r="DQ237" s="30"/>
      <c r="DR237" s="30"/>
      <c r="DS237" s="30"/>
      <c r="DT237" s="30"/>
      <c r="DU237" s="30"/>
      <c r="DV237" s="30"/>
      <c r="DW237" s="30"/>
      <c r="DX237" s="30"/>
      <c r="DY237" s="30"/>
      <c r="DZ237" s="30"/>
      <c r="EA237" s="30"/>
      <c r="EB237" s="30"/>
      <c r="EC237" s="30"/>
      <c r="ED237" s="30"/>
      <c r="EE237" s="30"/>
      <c r="EF237" s="30"/>
      <c r="EG237" s="30"/>
      <c r="EH237" s="30"/>
      <c r="EI237" s="30"/>
      <c r="EJ237" s="30"/>
      <c r="EK237" s="30" t="s">
        <v>214</v>
      </c>
      <c r="EL237" s="30"/>
      <c r="EM237" s="30" t="s">
        <v>214</v>
      </c>
      <c r="EN237" s="30" t="s">
        <v>214</v>
      </c>
      <c r="EO237" s="30"/>
      <c r="EP237" s="30"/>
      <c r="EQ237" s="30"/>
      <c r="ER237" s="30"/>
      <c r="ES237" s="30" t="s">
        <v>214</v>
      </c>
      <c r="ET237" s="30"/>
      <c r="EU237" s="30"/>
      <c r="EV237" s="30" t="s">
        <v>214</v>
      </c>
      <c r="EW237" s="30"/>
      <c r="EX237" s="30"/>
      <c r="EY237" s="30"/>
      <c r="EZ237" s="30"/>
      <c r="FA237" s="30"/>
      <c r="FB237" s="30"/>
      <c r="FC237" s="30" t="s">
        <v>214</v>
      </c>
      <c r="FD237" s="30"/>
      <c r="FE237" s="30"/>
      <c r="FF237" s="30"/>
      <c r="FG237" s="30"/>
      <c r="FH237" s="30"/>
      <c r="FI237" s="30"/>
      <c r="FJ237" s="30"/>
      <c r="FK237" s="30"/>
      <c r="FL237" s="30" t="s">
        <v>214</v>
      </c>
      <c r="FM237" s="30"/>
      <c r="FN237" s="30"/>
      <c r="FO237" s="30"/>
      <c r="FP237" s="30"/>
      <c r="FQ237" s="30"/>
      <c r="FR237" s="30"/>
      <c r="FS237" s="30"/>
      <c r="FT237" s="30"/>
      <c r="FU237" s="30"/>
      <c r="FV237" s="30"/>
      <c r="FW237" s="30" t="n">
        <v>30000</v>
      </c>
      <c r="FX237" s="30"/>
      <c r="FY237" s="30"/>
      <c r="FZ237" s="30" t="n">
        <v>30000</v>
      </c>
      <c r="GA237" s="30"/>
      <c r="GB237" s="30" t="n">
        <v>30000</v>
      </c>
      <c r="GC237" s="30" t="n">
        <v>60000</v>
      </c>
      <c r="GD237" s="30" t="n">
        <v>30000</v>
      </c>
      <c r="GE237" s="30"/>
      <c r="GF237" s="30" t="n">
        <v>30000</v>
      </c>
      <c r="GG237" s="30"/>
      <c r="GH237" s="30"/>
      <c r="GI237" s="30"/>
      <c r="GJ237" s="30"/>
      <c r="GK237" s="30"/>
      <c r="GL237" s="30"/>
      <c r="GM237" s="30"/>
      <c r="GN237" s="30"/>
      <c r="GO237" s="30"/>
      <c r="GP237" s="30"/>
      <c r="GQ237" s="30"/>
      <c r="GR237" s="30"/>
      <c r="GS237" s="30"/>
      <c r="GT237" s="30"/>
      <c r="GU237" s="30"/>
      <c r="GV237" s="30"/>
      <c r="GW237" s="30"/>
      <c r="GX237" s="30" t="n">
        <f aca="false">SUM(N237:GW237)</f>
        <v>210000</v>
      </c>
      <c r="GY237" s="36" t="n">
        <f aca="false">SUM(L237-GX237)</f>
        <v>222000</v>
      </c>
      <c r="GZ237" s="32" t="n">
        <f aca="false">SUM( H237/5)</f>
        <v>7</v>
      </c>
      <c r="HA237" s="32" t="n">
        <f aca="false">SUM( I237/5)</f>
        <v>7.4</v>
      </c>
      <c r="HB237" s="33" t="n">
        <f aca="false">SUM(GZ237/4)</f>
        <v>1.75</v>
      </c>
      <c r="HC237" s="33" t="n">
        <f aca="false">SUM(HA237/4)</f>
        <v>1.85</v>
      </c>
    </row>
    <row r="238" customFormat="false" ht="28.5" hidden="true" customHeight="true" outlineLevel="0" collapsed="false">
      <c r="A238" s="26" t="n">
        <v>3633</v>
      </c>
      <c r="B238" s="21" t="s">
        <v>619</v>
      </c>
      <c r="C238" s="21" t="s">
        <v>620</v>
      </c>
      <c r="D238" s="34" t="n">
        <v>20284723342</v>
      </c>
      <c r="E238" s="25" t="n">
        <v>46062</v>
      </c>
      <c r="F238" s="25" t="n">
        <f aca="false">WORKDAY(E238,G238)</f>
        <v>46286</v>
      </c>
      <c r="G238" s="26" t="n">
        <v>160</v>
      </c>
      <c r="H238" s="27" t="n">
        <f aca="false">(GX238* 5)/M238</f>
        <v>20</v>
      </c>
      <c r="I238" s="27" t="n">
        <f aca="false">G238-H238</f>
        <v>140</v>
      </c>
      <c r="J238" s="35" t="s">
        <v>621</v>
      </c>
      <c r="K238" s="36" t="n">
        <v>500000</v>
      </c>
      <c r="L238" s="36" t="n">
        <v>1440000</v>
      </c>
      <c r="M238" s="37" t="n">
        <f aca="false">(L238/G238)*5</f>
        <v>45000</v>
      </c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30"/>
      <c r="DO238" s="30"/>
      <c r="DP238" s="30"/>
      <c r="DQ238" s="30"/>
      <c r="DR238" s="30"/>
      <c r="DS238" s="30"/>
      <c r="DT238" s="30"/>
      <c r="DU238" s="30"/>
      <c r="DV238" s="30"/>
      <c r="DW238" s="30"/>
      <c r="DX238" s="30"/>
      <c r="DY238" s="30"/>
      <c r="DZ238" s="30"/>
      <c r="EA238" s="30"/>
      <c r="EB238" s="30"/>
      <c r="EC238" s="30"/>
      <c r="ED238" s="30"/>
      <c r="EE238" s="30"/>
      <c r="EF238" s="30"/>
      <c r="EG238" s="30"/>
      <c r="EH238" s="30"/>
      <c r="EI238" s="30"/>
      <c r="EJ238" s="30"/>
      <c r="EK238" s="30" t="s">
        <v>214</v>
      </c>
      <c r="EL238" s="30"/>
      <c r="EM238" s="30" t="s">
        <v>214</v>
      </c>
      <c r="EN238" s="30" t="s">
        <v>214</v>
      </c>
      <c r="EO238" s="30"/>
      <c r="EP238" s="30"/>
      <c r="EQ238" s="30"/>
      <c r="ER238" s="30"/>
      <c r="ES238" s="30" t="s">
        <v>214</v>
      </c>
      <c r="ET238" s="30"/>
      <c r="EU238" s="30"/>
      <c r="EV238" s="30" t="s">
        <v>214</v>
      </c>
      <c r="EW238" s="30"/>
      <c r="EX238" s="30"/>
      <c r="EY238" s="30"/>
      <c r="EZ238" s="30"/>
      <c r="FA238" s="30"/>
      <c r="FB238" s="30"/>
      <c r="FC238" s="30" t="s">
        <v>214</v>
      </c>
      <c r="FD238" s="30"/>
      <c r="FE238" s="30"/>
      <c r="FF238" s="30"/>
      <c r="FG238" s="30"/>
      <c r="FH238" s="30"/>
      <c r="FI238" s="30"/>
      <c r="FJ238" s="30"/>
      <c r="FK238" s="30"/>
      <c r="FL238" s="30" t="s">
        <v>214</v>
      </c>
      <c r="FM238" s="30"/>
      <c r="FN238" s="30"/>
      <c r="FO238" s="30"/>
      <c r="FP238" s="30"/>
      <c r="FQ238" s="30"/>
      <c r="FR238" s="30"/>
      <c r="FS238" s="30"/>
      <c r="FT238" s="30"/>
      <c r="FU238" s="30"/>
      <c r="FV238" s="30"/>
      <c r="FW238" s="30"/>
      <c r="FX238" s="30"/>
      <c r="FY238" s="30"/>
      <c r="FZ238" s="30"/>
      <c r="GA238" s="30"/>
      <c r="GB238" s="30"/>
      <c r="GC238" s="30"/>
      <c r="GD238" s="30" t="s">
        <v>214</v>
      </c>
      <c r="GE238" s="30"/>
      <c r="GF238" s="30"/>
      <c r="GG238" s="30"/>
      <c r="GH238" s="30" t="n">
        <v>180000</v>
      </c>
      <c r="GI238" s="30"/>
      <c r="GJ238" s="30"/>
      <c r="GK238" s="30"/>
      <c r="GL238" s="30"/>
      <c r="GM238" s="30"/>
      <c r="GN238" s="30"/>
      <c r="GO238" s="30"/>
      <c r="GP238" s="30"/>
      <c r="GQ238" s="30"/>
      <c r="GR238" s="30"/>
      <c r="GS238" s="30"/>
      <c r="GT238" s="30"/>
      <c r="GU238" s="30"/>
      <c r="GV238" s="30"/>
      <c r="GW238" s="30"/>
      <c r="GX238" s="30" t="n">
        <f aca="false">SUM(N238:GW238)</f>
        <v>180000</v>
      </c>
      <c r="GY238" s="36" t="n">
        <f aca="false">SUM(L238-GX238)</f>
        <v>1260000</v>
      </c>
      <c r="GZ238" s="32" t="n">
        <f aca="false">SUM( H238/5)</f>
        <v>4</v>
      </c>
      <c r="HA238" s="32" t="n">
        <f aca="false">SUM( I238/5)</f>
        <v>28</v>
      </c>
      <c r="HB238" s="33" t="n">
        <f aca="false">SUM(GZ238/4)</f>
        <v>1</v>
      </c>
      <c r="HC238" s="33" t="n">
        <f aca="false">SUM(HA238/4)</f>
        <v>7</v>
      </c>
    </row>
    <row r="239" customFormat="false" ht="28.5" hidden="true" customHeight="true" outlineLevel="0" collapsed="false">
      <c r="A239" s="26" t="n">
        <v>3642</v>
      </c>
      <c r="B239" s="21" t="s">
        <v>619</v>
      </c>
      <c r="C239" s="21" t="s">
        <v>620</v>
      </c>
      <c r="D239" s="34" t="n">
        <v>20284723342</v>
      </c>
      <c r="E239" s="25" t="n">
        <v>46069</v>
      </c>
      <c r="F239" s="25" t="n">
        <f aca="false">WORKDAY(E239,G239)</f>
        <v>46169</v>
      </c>
      <c r="G239" s="26" t="n">
        <v>72</v>
      </c>
      <c r="H239" s="27" t="n">
        <f aca="false">(GX239* 5)/M239</f>
        <v>10</v>
      </c>
      <c r="I239" s="27" t="n">
        <f aca="false">G239-H239</f>
        <v>62</v>
      </c>
      <c r="J239" s="22" t="s">
        <v>242</v>
      </c>
      <c r="K239" s="36" t="n">
        <v>250000</v>
      </c>
      <c r="L239" s="36" t="n">
        <v>540000</v>
      </c>
      <c r="M239" s="37" t="n">
        <f aca="false">(L239/G239)*5</f>
        <v>37500</v>
      </c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30"/>
      <c r="DO239" s="30"/>
      <c r="DP239" s="30"/>
      <c r="DQ239" s="30"/>
      <c r="DR239" s="30"/>
      <c r="DS239" s="30"/>
      <c r="DT239" s="30"/>
      <c r="DU239" s="30"/>
      <c r="DV239" s="30"/>
      <c r="DW239" s="30"/>
      <c r="DX239" s="30"/>
      <c r="DY239" s="30"/>
      <c r="DZ239" s="30"/>
      <c r="EA239" s="30"/>
      <c r="EB239" s="30"/>
      <c r="EC239" s="30"/>
      <c r="ED239" s="30"/>
      <c r="EE239" s="30"/>
      <c r="EF239" s="30"/>
      <c r="EG239" s="30"/>
      <c r="EH239" s="30"/>
      <c r="EI239" s="30"/>
      <c r="EJ239" s="30"/>
      <c r="EK239" s="30" t="s">
        <v>214</v>
      </c>
      <c r="EL239" s="30"/>
      <c r="EM239" s="30" t="s">
        <v>214</v>
      </c>
      <c r="EN239" s="30" t="s">
        <v>214</v>
      </c>
      <c r="EO239" s="30"/>
      <c r="EP239" s="30"/>
      <c r="EQ239" s="30"/>
      <c r="ER239" s="30"/>
      <c r="ES239" s="30" t="s">
        <v>214</v>
      </c>
      <c r="ET239" s="30"/>
      <c r="EU239" s="30"/>
      <c r="EV239" s="30" t="s">
        <v>214</v>
      </c>
      <c r="EW239" s="30"/>
      <c r="EX239" s="30"/>
      <c r="EY239" s="30"/>
      <c r="EZ239" s="30"/>
      <c r="FA239" s="30"/>
      <c r="FB239" s="30"/>
      <c r="FC239" s="30" t="s">
        <v>214</v>
      </c>
      <c r="FD239" s="30"/>
      <c r="FE239" s="30"/>
      <c r="FF239" s="30"/>
      <c r="FG239" s="30"/>
      <c r="FH239" s="30"/>
      <c r="FI239" s="30"/>
      <c r="FJ239" s="30"/>
      <c r="FK239" s="30"/>
      <c r="FL239" s="30" t="s">
        <v>214</v>
      </c>
      <c r="FM239" s="30"/>
      <c r="FN239" s="30"/>
      <c r="FO239" s="30"/>
      <c r="FP239" s="30"/>
      <c r="FQ239" s="30"/>
      <c r="FR239" s="30"/>
      <c r="FS239" s="30"/>
      <c r="FT239" s="30"/>
      <c r="FU239" s="30"/>
      <c r="FV239" s="30"/>
      <c r="FW239" s="30"/>
      <c r="FX239" s="30"/>
      <c r="FY239" s="30"/>
      <c r="FZ239" s="30"/>
      <c r="GA239" s="30"/>
      <c r="GB239" s="30"/>
      <c r="GC239" s="30"/>
      <c r="GD239" s="30" t="n">
        <v>37500</v>
      </c>
      <c r="GE239" s="30"/>
      <c r="GF239" s="30" t="n">
        <v>37500</v>
      </c>
      <c r="GG239" s="30"/>
      <c r="GH239" s="30"/>
      <c r="GI239" s="30"/>
      <c r="GJ239" s="30"/>
      <c r="GK239" s="30"/>
      <c r="GL239" s="30"/>
      <c r="GM239" s="30"/>
      <c r="GN239" s="30"/>
      <c r="GO239" s="30"/>
      <c r="GP239" s="30"/>
      <c r="GQ239" s="30"/>
      <c r="GR239" s="30"/>
      <c r="GS239" s="30"/>
      <c r="GT239" s="30"/>
      <c r="GU239" s="30"/>
      <c r="GV239" s="30"/>
      <c r="GW239" s="30"/>
      <c r="GX239" s="30" t="n">
        <f aca="false">SUM(N239:GW239)</f>
        <v>75000</v>
      </c>
      <c r="GY239" s="36" t="n">
        <f aca="false">SUM(L239-GX239)</f>
        <v>465000</v>
      </c>
      <c r="GZ239" s="32" t="n">
        <f aca="false">SUM( H239/5)</f>
        <v>2</v>
      </c>
      <c r="HA239" s="32" t="n">
        <f aca="false">SUM( I239/5)</f>
        <v>12.4</v>
      </c>
      <c r="HB239" s="33" t="n">
        <f aca="false">SUM(GZ239/4)</f>
        <v>0.5</v>
      </c>
      <c r="HC239" s="33" t="n">
        <f aca="false">SUM(HA239/4)</f>
        <v>3.1</v>
      </c>
    </row>
    <row r="240" customFormat="false" ht="28.5" hidden="true" customHeight="true" outlineLevel="0" collapsed="false">
      <c r="A240" s="26" t="n">
        <v>3480</v>
      </c>
      <c r="B240" s="21" t="s">
        <v>622</v>
      </c>
      <c r="C240" s="21" t="s">
        <v>623</v>
      </c>
      <c r="D240" s="34"/>
      <c r="E240" s="25" t="n">
        <v>45801</v>
      </c>
      <c r="F240" s="25" t="n">
        <f aca="false">WORKDAY(E240,G240)</f>
        <v>46024</v>
      </c>
      <c r="G240" s="26" t="n">
        <v>160</v>
      </c>
      <c r="H240" s="27" t="n">
        <f aca="false">(GX240* 5)/M240</f>
        <v>95.2</v>
      </c>
      <c r="I240" s="27" t="n">
        <f aca="false">G240-H240</f>
        <v>64.8</v>
      </c>
      <c r="J240" s="35" t="s">
        <v>624</v>
      </c>
      <c r="K240" s="36" t="n">
        <v>700000</v>
      </c>
      <c r="L240" s="36" t="n">
        <v>2100000</v>
      </c>
      <c r="M240" s="56" t="n">
        <f aca="false">(L240/G240)*5</f>
        <v>65625</v>
      </c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  <c r="DX240" s="30"/>
      <c r="DY240" s="30"/>
      <c r="DZ240" s="30"/>
      <c r="EA240" s="30"/>
      <c r="EB240" s="30"/>
      <c r="EC240" s="30"/>
      <c r="ED240" s="30"/>
      <c r="EE240" s="30"/>
      <c r="EF240" s="30"/>
      <c r="EG240" s="30"/>
      <c r="EH240" s="30"/>
      <c r="EI240" s="30"/>
      <c r="EJ240" s="30"/>
      <c r="EK240" s="30" t="s">
        <v>214</v>
      </c>
      <c r="EL240" s="30"/>
      <c r="EM240" s="30" t="s">
        <v>214</v>
      </c>
      <c r="EN240" s="30" t="s">
        <v>214</v>
      </c>
      <c r="EO240" s="30"/>
      <c r="EP240" s="30"/>
      <c r="EQ240" s="30"/>
      <c r="ER240" s="30"/>
      <c r="ES240" s="30" t="n">
        <v>262000</v>
      </c>
      <c r="ET240" s="30"/>
      <c r="EU240" s="30"/>
      <c r="EV240" s="30"/>
      <c r="EW240" s="30"/>
      <c r="EX240" s="30" t="n">
        <v>262500</v>
      </c>
      <c r="EY240" s="30"/>
      <c r="EZ240" s="30"/>
      <c r="FA240" s="30"/>
      <c r="FB240" s="30"/>
      <c r="FC240" s="30" t="n">
        <v>262500</v>
      </c>
      <c r="FD240" s="30"/>
      <c r="FE240" s="30"/>
      <c r="FF240" s="30"/>
      <c r="FG240" s="30"/>
      <c r="FH240" s="30"/>
      <c r="FI240" s="30"/>
      <c r="FJ240" s="30"/>
      <c r="FK240" s="30" t="n">
        <v>262500</v>
      </c>
      <c r="FL240" s="30"/>
      <c r="FM240" s="30"/>
      <c r="FN240" s="30"/>
      <c r="FO240" s="30"/>
      <c r="FP240" s="30"/>
      <c r="FQ240" s="30"/>
      <c r="FR240" s="30"/>
      <c r="FS240" s="30"/>
      <c r="FT240" s="30"/>
      <c r="FU240" s="30"/>
      <c r="FV240" s="30"/>
      <c r="FW240" s="30"/>
      <c r="FX240" s="30"/>
      <c r="FY240" s="30"/>
      <c r="FZ240" s="30"/>
      <c r="GA240" s="30"/>
      <c r="GB240" s="30"/>
      <c r="GC240" s="30"/>
      <c r="GD240" s="30" t="n">
        <v>200000</v>
      </c>
      <c r="GE240" s="30"/>
      <c r="GF240" s="30"/>
      <c r="GG240" s="30"/>
      <c r="GH240" s="30"/>
      <c r="GI240" s="30"/>
      <c r="GJ240" s="30"/>
      <c r="GK240" s="30"/>
      <c r="GL240" s="30"/>
      <c r="GM240" s="30"/>
      <c r="GN240" s="30"/>
      <c r="GO240" s="30"/>
      <c r="GP240" s="30"/>
      <c r="GQ240" s="30"/>
      <c r="GR240" s="30"/>
      <c r="GS240" s="30"/>
      <c r="GT240" s="30"/>
      <c r="GU240" s="30"/>
      <c r="GV240" s="30"/>
      <c r="GW240" s="30"/>
      <c r="GX240" s="30" t="n">
        <f aca="false">SUM(N240:GW240)</f>
        <v>1249500</v>
      </c>
      <c r="GY240" s="36" t="n">
        <f aca="false">SUM(L240-GX240)</f>
        <v>850500</v>
      </c>
      <c r="GZ240" s="32" t="n">
        <f aca="false">SUM( H240/5)</f>
        <v>19.04</v>
      </c>
      <c r="HA240" s="32" t="n">
        <f aca="false">SUM( I240/5)</f>
        <v>12.96</v>
      </c>
      <c r="HB240" s="33" t="n">
        <f aca="false">SUM(GZ240/4)</f>
        <v>4.76</v>
      </c>
      <c r="HC240" s="33" t="n">
        <f aca="false">SUM(HA240/4)</f>
        <v>3.24</v>
      </c>
    </row>
    <row r="241" customFormat="false" ht="28.5" hidden="true" customHeight="true" outlineLevel="0" collapsed="false">
      <c r="A241" s="26" t="n">
        <v>3573</v>
      </c>
      <c r="B241" s="21" t="s">
        <v>625</v>
      </c>
      <c r="C241" s="21" t="s">
        <v>623</v>
      </c>
      <c r="D241" s="34"/>
      <c r="E241" s="25" t="n">
        <v>45856</v>
      </c>
      <c r="F241" s="25" t="n">
        <f aca="false">WORKDAY(E241,G241)</f>
        <v>46024</v>
      </c>
      <c r="G241" s="26" t="n">
        <v>120</v>
      </c>
      <c r="H241" s="27" t="n">
        <f aca="false">(GX241* 5)/M241</f>
        <v>59.7727272727273</v>
      </c>
      <c r="I241" s="27" t="n">
        <f aca="false">G241-H241</f>
        <v>60.2272727272727</v>
      </c>
      <c r="J241" s="35" t="s">
        <v>331</v>
      </c>
      <c r="K241" s="46" t="n">
        <v>400000</v>
      </c>
      <c r="L241" s="36" t="n">
        <v>1056000</v>
      </c>
      <c r="M241" s="37" t="n">
        <f aca="false">(L241/G241)*5</f>
        <v>44000</v>
      </c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  <c r="DX241" s="30"/>
      <c r="DY241" s="30"/>
      <c r="DZ241" s="30"/>
      <c r="EA241" s="30"/>
      <c r="EB241" s="30"/>
      <c r="EC241" s="30"/>
      <c r="ED241" s="30"/>
      <c r="EE241" s="30"/>
      <c r="EF241" s="30"/>
      <c r="EG241" s="30"/>
      <c r="EH241" s="30"/>
      <c r="EI241" s="30"/>
      <c r="EJ241" s="30"/>
      <c r="EK241" s="30" t="s">
        <v>214</v>
      </c>
      <c r="EL241" s="30"/>
      <c r="EM241" s="30" t="s">
        <v>214</v>
      </c>
      <c r="EN241" s="30" t="s">
        <v>214</v>
      </c>
      <c r="EO241" s="30"/>
      <c r="EP241" s="30"/>
      <c r="EQ241" s="30"/>
      <c r="ER241" s="30"/>
      <c r="ES241" s="30" t="s">
        <v>214</v>
      </c>
      <c r="ET241" s="30"/>
      <c r="EU241" s="30"/>
      <c r="EV241" s="30" t="s">
        <v>214</v>
      </c>
      <c r="EW241" s="30"/>
      <c r="EX241" s="30"/>
      <c r="EY241" s="30"/>
      <c r="EZ241" s="30"/>
      <c r="FA241" s="30"/>
      <c r="FB241" s="30"/>
      <c r="FC241" s="30"/>
      <c r="FD241" s="30"/>
      <c r="FE241" s="30"/>
      <c r="FF241" s="30"/>
      <c r="FG241" s="30" t="n">
        <v>176000</v>
      </c>
      <c r="FH241" s="30"/>
      <c r="FI241" s="30"/>
      <c r="FJ241" s="30"/>
      <c r="FK241" s="30"/>
      <c r="FL241" s="30"/>
      <c r="FM241" s="30"/>
      <c r="FN241" s="30"/>
      <c r="FO241" s="30"/>
      <c r="FP241" s="30"/>
      <c r="FQ241" s="30"/>
      <c r="FR241" s="30"/>
      <c r="FS241" s="30"/>
      <c r="FT241" s="30" t="n">
        <v>130000</v>
      </c>
      <c r="FU241" s="30"/>
      <c r="FV241" s="30"/>
      <c r="FW241" s="30"/>
      <c r="FX241" s="30"/>
      <c r="FY241" s="30" t="n">
        <v>220000</v>
      </c>
      <c r="FZ241" s="30"/>
      <c r="GA241" s="30"/>
      <c r="GB241" s="30"/>
      <c r="GC241" s="30"/>
      <c r="GD241" s="30"/>
      <c r="GE241" s="30"/>
      <c r="GF241" s="30"/>
      <c r="GG241" s="30"/>
      <c r="GH241" s="30"/>
      <c r="GI241" s="30"/>
      <c r="GJ241" s="30"/>
      <c r="GK241" s="30"/>
      <c r="GL241" s="30"/>
      <c r="GM241" s="30"/>
      <c r="GN241" s="30"/>
      <c r="GO241" s="30"/>
      <c r="GP241" s="30"/>
      <c r="GQ241" s="30"/>
      <c r="GR241" s="30"/>
      <c r="GS241" s="30"/>
      <c r="GT241" s="30"/>
      <c r="GU241" s="30"/>
      <c r="GV241" s="30"/>
      <c r="GW241" s="30"/>
      <c r="GX241" s="30" t="n">
        <f aca="false">SUM(N241:GW241)</f>
        <v>526000</v>
      </c>
      <c r="GY241" s="36" t="n">
        <f aca="false">SUM(L241-GX241)</f>
        <v>530000</v>
      </c>
      <c r="GZ241" s="32" t="n">
        <f aca="false">SUM( H241/5)</f>
        <v>11.9545454545455</v>
      </c>
      <c r="HA241" s="32" t="n">
        <f aca="false">SUM( I241/5)</f>
        <v>12.0454545454545</v>
      </c>
      <c r="HB241" s="33" t="n">
        <f aca="false">SUM(GZ241/4)</f>
        <v>2.98863636363636</v>
      </c>
      <c r="HC241" s="33" t="n">
        <f aca="false">SUM(HA241/4)</f>
        <v>3.01136363636364</v>
      </c>
    </row>
    <row r="242" customFormat="false" ht="28.5" hidden="true" customHeight="true" outlineLevel="0" collapsed="false">
      <c r="A242" s="26" t="n">
        <v>3753</v>
      </c>
      <c r="B242" s="21" t="s">
        <v>626</v>
      </c>
      <c r="C242" s="34" t="s">
        <v>623</v>
      </c>
      <c r="D242" s="34"/>
      <c r="E242" s="25" t="n">
        <v>46146</v>
      </c>
      <c r="F242" s="25" t="n">
        <v>46134</v>
      </c>
      <c r="G242" s="26" t="n">
        <v>72</v>
      </c>
      <c r="H242" s="27" t="n">
        <v>98.8888888888889</v>
      </c>
      <c r="I242" s="27" t="n">
        <v>-26.8888888888889</v>
      </c>
      <c r="J242" s="34" t="s">
        <v>627</v>
      </c>
      <c r="K242" s="36" t="n">
        <v>40000</v>
      </c>
      <c r="L242" s="36" t="n">
        <v>86400</v>
      </c>
      <c r="M242" s="29" t="n">
        <f aca="false">(L242/G242)*5</f>
        <v>6000</v>
      </c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  <c r="DX242" s="30"/>
      <c r="DY242" s="30"/>
      <c r="DZ242" s="30"/>
      <c r="EA242" s="30"/>
      <c r="EB242" s="30"/>
      <c r="EC242" s="30"/>
      <c r="ED242" s="30"/>
      <c r="EE242" s="30"/>
      <c r="EF242" s="30"/>
      <c r="EG242" s="30"/>
      <c r="EH242" s="30"/>
      <c r="EI242" s="30"/>
      <c r="EJ242" s="30"/>
      <c r="EK242" s="30" t="s">
        <v>214</v>
      </c>
      <c r="EL242" s="30"/>
      <c r="EM242" s="30" t="s">
        <v>214</v>
      </c>
      <c r="EN242" s="30" t="s">
        <v>214</v>
      </c>
      <c r="EO242" s="30"/>
      <c r="EP242" s="30"/>
      <c r="EQ242" s="30"/>
      <c r="ER242" s="30"/>
      <c r="ES242" s="30" t="s">
        <v>214</v>
      </c>
      <c r="ET242" s="30"/>
      <c r="EU242" s="30"/>
      <c r="EV242" s="30" t="s">
        <v>214</v>
      </c>
      <c r="EW242" s="30"/>
      <c r="EX242" s="30"/>
      <c r="EY242" s="30"/>
      <c r="EZ242" s="30"/>
      <c r="FA242" s="30"/>
      <c r="FB242" s="30"/>
      <c r="FC242" s="30" t="s">
        <v>214</v>
      </c>
      <c r="FD242" s="30"/>
      <c r="FE242" s="30"/>
      <c r="FF242" s="30"/>
      <c r="FG242" s="30"/>
      <c r="FH242" s="30"/>
      <c r="FI242" s="30"/>
      <c r="FJ242" s="30"/>
      <c r="FK242" s="30"/>
      <c r="FL242" s="30" t="s">
        <v>214</v>
      </c>
      <c r="FM242" s="30"/>
      <c r="FN242" s="30"/>
      <c r="FO242" s="30"/>
      <c r="FP242" s="30"/>
      <c r="FQ242" s="30"/>
      <c r="FR242" s="30"/>
      <c r="FS242" s="30"/>
      <c r="FT242" s="30"/>
      <c r="FU242" s="30"/>
      <c r="FV242" s="30"/>
      <c r="FW242" s="30"/>
      <c r="FX242" s="30"/>
      <c r="FY242" s="30"/>
      <c r="FZ242" s="30"/>
      <c r="GA242" s="30"/>
      <c r="GB242" s="30"/>
      <c r="GC242" s="30"/>
      <c r="GD242" s="30"/>
      <c r="GE242" s="30"/>
      <c r="GF242" s="30"/>
      <c r="GG242" s="30"/>
      <c r="GH242" s="30"/>
      <c r="GI242" s="30"/>
      <c r="GJ242" s="30"/>
      <c r="GK242" s="30"/>
      <c r="GL242" s="30"/>
      <c r="GM242" s="30"/>
      <c r="GN242" s="30"/>
      <c r="GO242" s="30" t="n">
        <v>6000</v>
      </c>
      <c r="GP242" s="30" t="n">
        <v>6000</v>
      </c>
      <c r="GQ242" s="30"/>
      <c r="GR242" s="30" t="n">
        <v>12000</v>
      </c>
      <c r="GS242" s="30"/>
      <c r="GT242" s="30" t="n">
        <v>12000</v>
      </c>
      <c r="GU242" s="30"/>
      <c r="GV242" s="30" t="n">
        <v>12000</v>
      </c>
      <c r="GW242" s="30"/>
      <c r="GX242" s="30" t="n">
        <f aca="false">SUM(N242:GW242)</f>
        <v>48000</v>
      </c>
      <c r="GY242" s="36" t="n">
        <f aca="false">SUM(L242-GX242)</f>
        <v>38400</v>
      </c>
      <c r="GZ242" s="32" t="n">
        <f aca="false">SUM( H242/5)</f>
        <v>19.7777777777778</v>
      </c>
      <c r="HA242" s="32" t="n">
        <f aca="false">SUM( I242/5)</f>
        <v>-5.37777777777778</v>
      </c>
      <c r="HB242" s="33" t="n">
        <f aca="false">SUM(GZ242/4)</f>
        <v>4.94444444444445</v>
      </c>
      <c r="HC242" s="33" t="n">
        <f aca="false">SUM(HA242/4)</f>
        <v>-1.34444444444444</v>
      </c>
    </row>
    <row r="243" customFormat="false" ht="28.5" hidden="true" customHeight="true" outlineLevel="0" collapsed="false">
      <c r="A243" s="26" t="n">
        <v>3172</v>
      </c>
      <c r="B243" s="21" t="s">
        <v>628</v>
      </c>
      <c r="C243" s="21" t="s">
        <v>629</v>
      </c>
      <c r="D243" s="34"/>
      <c r="E243" s="25" t="n">
        <v>45962</v>
      </c>
      <c r="F243" s="25" t="n">
        <f aca="false">WORKDAY(E243,G243)</f>
        <v>46157</v>
      </c>
      <c r="G243" s="26" t="n">
        <v>140</v>
      </c>
      <c r="H243" s="27" t="n">
        <f aca="false">(GX243* 5)/M243</f>
        <v>120</v>
      </c>
      <c r="I243" s="27" t="n">
        <f aca="false">G243-H243</f>
        <v>20</v>
      </c>
      <c r="J243" s="35" t="s">
        <v>630</v>
      </c>
      <c r="K243" s="31" t="n">
        <v>300000</v>
      </c>
      <c r="L243" s="31" t="n">
        <v>756000</v>
      </c>
      <c r="M243" s="29" t="n">
        <f aca="false">(L243/G243)*5</f>
        <v>27000</v>
      </c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  <c r="DX243" s="30"/>
      <c r="DY243" s="30"/>
      <c r="DZ243" s="30"/>
      <c r="EA243" s="30"/>
      <c r="EB243" s="30"/>
      <c r="EC243" s="30"/>
      <c r="ED243" s="30"/>
      <c r="EE243" s="30"/>
      <c r="EF243" s="30"/>
      <c r="EG243" s="30"/>
      <c r="EH243" s="30"/>
      <c r="EI243" s="30"/>
      <c r="EJ243" s="30"/>
      <c r="EK243" s="30" t="s">
        <v>214</v>
      </c>
      <c r="EL243" s="30"/>
      <c r="EM243" s="30" t="s">
        <v>214</v>
      </c>
      <c r="EN243" s="30" t="s">
        <v>214</v>
      </c>
      <c r="EO243" s="30"/>
      <c r="EP243" s="30"/>
      <c r="EQ243" s="30"/>
      <c r="ER243" s="30"/>
      <c r="ES243" s="30" t="s">
        <v>214</v>
      </c>
      <c r="ET243" s="30"/>
      <c r="EU243" s="30"/>
      <c r="EV243" s="30" t="s">
        <v>214</v>
      </c>
      <c r="EW243" s="30"/>
      <c r="EX243" s="30"/>
      <c r="EY243" s="30"/>
      <c r="EZ243" s="30"/>
      <c r="FA243" s="30"/>
      <c r="FB243" s="30"/>
      <c r="FC243" s="30" t="s">
        <v>214</v>
      </c>
      <c r="FD243" s="30"/>
      <c r="FE243" s="30"/>
      <c r="FF243" s="30"/>
      <c r="FG243" s="30"/>
      <c r="FH243" s="30"/>
      <c r="FI243" s="30"/>
      <c r="FJ243" s="30"/>
      <c r="FK243" s="30"/>
      <c r="FL243" s="30" t="s">
        <v>214</v>
      </c>
      <c r="FM243" s="30"/>
      <c r="FN243" s="30"/>
      <c r="FO243" s="30"/>
      <c r="FP243" s="30" t="n">
        <v>54000</v>
      </c>
      <c r="FQ243" s="30"/>
      <c r="FR243" s="30" t="n">
        <v>54000</v>
      </c>
      <c r="FS243" s="30"/>
      <c r="FT243" s="30"/>
      <c r="FU243" s="30" t="n">
        <v>54000</v>
      </c>
      <c r="FV243" s="30"/>
      <c r="FW243" s="30"/>
      <c r="FX243" s="30" t="n">
        <v>54000</v>
      </c>
      <c r="FY243" s="30"/>
      <c r="FZ243" s="30"/>
      <c r="GA243" s="30" t="n">
        <v>54000</v>
      </c>
      <c r="GB243" s="30"/>
      <c r="GC243" s="30"/>
      <c r="GD243" s="30"/>
      <c r="GE243" s="30" t="n">
        <v>51000</v>
      </c>
      <c r="GF243" s="30"/>
      <c r="GG243" s="30"/>
      <c r="GH243" s="30"/>
      <c r="GI243" s="30" t="n">
        <v>40000</v>
      </c>
      <c r="GJ243" s="30"/>
      <c r="GK243" s="30"/>
      <c r="GL243" s="30" t="n">
        <v>71000</v>
      </c>
      <c r="GM243" s="30"/>
      <c r="GN243" s="30" t="n">
        <v>54000</v>
      </c>
      <c r="GO243" s="30"/>
      <c r="GP243" s="30"/>
      <c r="GQ243" s="30" t="n">
        <v>54000</v>
      </c>
      <c r="GR243" s="30"/>
      <c r="GS243" s="30" t="n">
        <v>54000</v>
      </c>
      <c r="GT243" s="30"/>
      <c r="GU243" s="30"/>
      <c r="GV243" s="30" t="n">
        <v>54000</v>
      </c>
      <c r="GW243" s="30"/>
      <c r="GX243" s="30" t="n">
        <f aca="false">SUM(N243:GW243)</f>
        <v>648000</v>
      </c>
      <c r="GY243" s="36" t="n">
        <f aca="false">SUM(L243-GX243)</f>
        <v>108000</v>
      </c>
      <c r="GZ243" s="32" t="n">
        <f aca="false">SUM( H243/5)</f>
        <v>24</v>
      </c>
      <c r="HA243" s="32" t="n">
        <f aca="false">SUM( I243/5)</f>
        <v>4</v>
      </c>
      <c r="HB243" s="33" t="n">
        <f aca="false">SUM(GZ243/4)</f>
        <v>6</v>
      </c>
      <c r="HC243" s="33" t="n">
        <f aca="false">SUM(HA243/4)</f>
        <v>1</v>
      </c>
    </row>
    <row r="244" customFormat="false" ht="28.5" hidden="true" customHeight="true" outlineLevel="0" collapsed="false">
      <c r="A244" s="26" t="n">
        <v>3809</v>
      </c>
      <c r="B244" s="21" t="s">
        <v>631</v>
      </c>
      <c r="C244" s="21" t="s">
        <v>632</v>
      </c>
      <c r="D244" s="34"/>
      <c r="E244" s="25" t="n">
        <v>46189</v>
      </c>
      <c r="F244" s="25" t="n">
        <f aca="false">WORKDAY(E244,G244)</f>
        <v>46245</v>
      </c>
      <c r="G244" s="26" t="n">
        <v>40</v>
      </c>
      <c r="H244" s="27" t="n">
        <f aca="false">(GX244* 5)/M244</f>
        <v>0</v>
      </c>
      <c r="I244" s="27" t="n">
        <f aca="false">G244-H244</f>
        <v>40</v>
      </c>
      <c r="J244" s="35" t="s">
        <v>633</v>
      </c>
      <c r="K244" s="31" t="n">
        <v>400000</v>
      </c>
      <c r="L244" s="31" t="n">
        <v>500000</v>
      </c>
      <c r="M244" s="37" t="n">
        <f aca="false">(L244/G244)*5</f>
        <v>62500</v>
      </c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  <c r="DX244" s="30"/>
      <c r="DY244" s="30"/>
      <c r="DZ244" s="30"/>
      <c r="EA244" s="30"/>
      <c r="EB244" s="30"/>
      <c r="EC244" s="30"/>
      <c r="ED244" s="30"/>
      <c r="EE244" s="30"/>
      <c r="EF244" s="30"/>
      <c r="EG244" s="30"/>
      <c r="EH244" s="30"/>
      <c r="EI244" s="30"/>
      <c r="EJ244" s="30"/>
      <c r="EK244" s="30" t="s">
        <v>214</v>
      </c>
      <c r="EL244" s="30"/>
      <c r="EM244" s="30" t="s">
        <v>214</v>
      </c>
      <c r="EN244" s="30" t="s">
        <v>214</v>
      </c>
      <c r="EO244" s="30"/>
      <c r="EP244" s="30"/>
      <c r="EQ244" s="30"/>
      <c r="ER244" s="30"/>
      <c r="ES244" s="30" t="s">
        <v>214</v>
      </c>
      <c r="ET244" s="30"/>
      <c r="EU244" s="30"/>
      <c r="EV244" s="30" t="s">
        <v>214</v>
      </c>
      <c r="EW244" s="30"/>
      <c r="EX244" s="30"/>
      <c r="EY244" s="30"/>
      <c r="EZ244" s="30"/>
      <c r="FA244" s="30"/>
      <c r="FB244" s="30"/>
      <c r="FC244" s="30" t="s">
        <v>214</v>
      </c>
      <c r="FD244" s="30"/>
      <c r="FE244" s="30"/>
      <c r="FF244" s="30"/>
      <c r="FG244" s="30"/>
      <c r="FH244" s="30"/>
      <c r="FI244" s="30"/>
      <c r="FJ244" s="30"/>
      <c r="FK244" s="30"/>
      <c r="FL244" s="30" t="s">
        <v>214</v>
      </c>
      <c r="FM244" s="30"/>
      <c r="FN244" s="30"/>
      <c r="FO244" s="30"/>
      <c r="FP244" s="30"/>
      <c r="FQ244" s="30"/>
      <c r="FR244" s="30"/>
      <c r="FS244" s="30"/>
      <c r="FT244" s="30"/>
      <c r="FU244" s="30"/>
      <c r="FV244" s="30"/>
      <c r="FW244" s="30"/>
      <c r="FX244" s="30"/>
      <c r="FY244" s="30"/>
      <c r="FZ244" s="30"/>
      <c r="GA244" s="30"/>
      <c r="GB244" s="30"/>
      <c r="GC244" s="30"/>
      <c r="GD244" s="30"/>
      <c r="GE244" s="30"/>
      <c r="GF244" s="30"/>
      <c r="GG244" s="30"/>
      <c r="GH244" s="30"/>
      <c r="GI244" s="30"/>
      <c r="GJ244" s="30"/>
      <c r="GK244" s="30"/>
      <c r="GL244" s="30"/>
      <c r="GM244" s="30"/>
      <c r="GN244" s="30"/>
      <c r="GO244" s="30"/>
      <c r="GP244" s="30"/>
      <c r="GQ244" s="30"/>
      <c r="GR244" s="30"/>
      <c r="GS244" s="30"/>
      <c r="GT244" s="30"/>
      <c r="GU244" s="30"/>
      <c r="GV244" s="30"/>
      <c r="GW244" s="30"/>
      <c r="GX244" s="30" t="n">
        <f aca="false">SUM(N244:GW244)</f>
        <v>0</v>
      </c>
      <c r="GY244" s="36" t="n">
        <f aca="false">SUM(L244-GX244)</f>
        <v>500000</v>
      </c>
      <c r="GZ244" s="32" t="n">
        <f aca="false">SUM( H244/5)</f>
        <v>0</v>
      </c>
      <c r="HA244" s="32" t="n">
        <f aca="false">SUM( I244/5)</f>
        <v>8</v>
      </c>
      <c r="HB244" s="33" t="n">
        <f aca="false">SUM(GZ244/4)</f>
        <v>0</v>
      </c>
      <c r="HC244" s="33" t="n">
        <f aca="false">SUM(HA244/4)</f>
        <v>2</v>
      </c>
    </row>
    <row r="245" customFormat="false" ht="28.5" hidden="true" customHeight="true" outlineLevel="0" collapsed="false">
      <c r="A245" s="26" t="n">
        <v>3649</v>
      </c>
      <c r="B245" s="21" t="s">
        <v>634</v>
      </c>
      <c r="C245" s="21" t="s">
        <v>635</v>
      </c>
      <c r="D245" s="34"/>
      <c r="E245" s="25" t="n">
        <v>46073</v>
      </c>
      <c r="F245" s="25" t="n">
        <f aca="false">WORKDAY(E245,G245)</f>
        <v>46175</v>
      </c>
      <c r="G245" s="26" t="n">
        <v>72</v>
      </c>
      <c r="H245" s="27" t="n">
        <f aca="false">(GX245* 5)/M245</f>
        <v>68.75</v>
      </c>
      <c r="I245" s="27" t="n">
        <f aca="false">G245-H245</f>
        <v>3.25</v>
      </c>
      <c r="J245" s="22" t="s">
        <v>557</v>
      </c>
      <c r="K245" s="36" t="n">
        <v>400000</v>
      </c>
      <c r="L245" s="36" t="n">
        <v>864000</v>
      </c>
      <c r="M245" s="37" t="n">
        <f aca="false">(L245/G245)*5</f>
        <v>60000</v>
      </c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0"/>
      <c r="DO245" s="30"/>
      <c r="DP245" s="30"/>
      <c r="DQ245" s="30"/>
      <c r="DR245" s="30"/>
      <c r="DS245" s="30"/>
      <c r="DT245" s="30"/>
      <c r="DU245" s="30"/>
      <c r="DV245" s="30"/>
      <c r="DW245" s="30"/>
      <c r="DX245" s="30"/>
      <c r="DY245" s="30"/>
      <c r="DZ245" s="30"/>
      <c r="EA245" s="30"/>
      <c r="EB245" s="30"/>
      <c r="EC245" s="30"/>
      <c r="ED245" s="30"/>
      <c r="EE245" s="30"/>
      <c r="EF245" s="30"/>
      <c r="EG245" s="30"/>
      <c r="EH245" s="30"/>
      <c r="EI245" s="30"/>
      <c r="EJ245" s="30"/>
      <c r="EK245" s="30" t="s">
        <v>214</v>
      </c>
      <c r="EL245" s="30"/>
      <c r="EM245" s="30" t="s">
        <v>214</v>
      </c>
      <c r="EN245" s="30" t="s">
        <v>214</v>
      </c>
      <c r="EO245" s="30"/>
      <c r="EP245" s="30"/>
      <c r="EQ245" s="30"/>
      <c r="ER245" s="30"/>
      <c r="ES245" s="30" t="s">
        <v>214</v>
      </c>
      <c r="ET245" s="30"/>
      <c r="EU245" s="30"/>
      <c r="EV245" s="30" t="s">
        <v>214</v>
      </c>
      <c r="EW245" s="30"/>
      <c r="EX245" s="30"/>
      <c r="EY245" s="30"/>
      <c r="EZ245" s="30"/>
      <c r="FA245" s="30"/>
      <c r="FB245" s="30"/>
      <c r="FC245" s="30" t="s">
        <v>214</v>
      </c>
      <c r="FD245" s="30"/>
      <c r="FE245" s="30"/>
      <c r="FF245" s="30"/>
      <c r="FG245" s="30"/>
      <c r="FH245" s="30"/>
      <c r="FI245" s="30"/>
      <c r="FJ245" s="30"/>
      <c r="FK245" s="30"/>
      <c r="FL245" s="30" t="s">
        <v>214</v>
      </c>
      <c r="FM245" s="30"/>
      <c r="FN245" s="30"/>
      <c r="FO245" s="30"/>
      <c r="FP245" s="30"/>
      <c r="FQ245" s="30"/>
      <c r="FR245" s="30"/>
      <c r="FS245" s="30"/>
      <c r="FT245" s="30"/>
      <c r="FU245" s="30"/>
      <c r="FV245" s="30"/>
      <c r="FW245" s="30"/>
      <c r="FX245" s="30"/>
      <c r="FY245" s="30"/>
      <c r="FZ245" s="30"/>
      <c r="GA245" s="30"/>
      <c r="GB245" s="30"/>
      <c r="GC245" s="30"/>
      <c r="GD245" s="30"/>
      <c r="GE245" s="30" t="n">
        <v>60000</v>
      </c>
      <c r="GF245" s="30" t="n">
        <v>60000</v>
      </c>
      <c r="GG245" s="30" t="n">
        <v>60000</v>
      </c>
      <c r="GH245" s="30" t="n">
        <v>30000</v>
      </c>
      <c r="GI245" s="30" t="n">
        <v>60000</v>
      </c>
      <c r="GJ245" s="30" t="n">
        <v>30000</v>
      </c>
      <c r="GK245" s="30" t="n">
        <v>120000</v>
      </c>
      <c r="GL245" s="30" t="n">
        <v>60000</v>
      </c>
      <c r="GM245" s="30" t="n">
        <v>60000</v>
      </c>
      <c r="GN245" s="30"/>
      <c r="GO245" s="30" t="n">
        <v>60000</v>
      </c>
      <c r="GP245" s="30" t="n">
        <v>5000</v>
      </c>
      <c r="GQ245" s="30" t="n">
        <v>10000</v>
      </c>
      <c r="GR245" s="30" t="n">
        <v>50000</v>
      </c>
      <c r="GS245" s="30"/>
      <c r="GT245" s="30" t="n">
        <v>50000</v>
      </c>
      <c r="GU245" s="30" t="n">
        <v>50000</v>
      </c>
      <c r="GV245" s="30" t="n">
        <v>35000</v>
      </c>
      <c r="GW245" s="30" t="n">
        <v>25000</v>
      </c>
      <c r="GX245" s="30" t="n">
        <f aca="false">SUM(N245:GW245)</f>
        <v>825000</v>
      </c>
      <c r="GY245" s="36" t="n">
        <f aca="false">SUM(L245-GX245)</f>
        <v>39000</v>
      </c>
      <c r="GZ245" s="32" t="n">
        <f aca="false">SUM( H245/5)</f>
        <v>13.75</v>
      </c>
      <c r="HA245" s="32" t="n">
        <f aca="false">SUM( I245/5)</f>
        <v>0.65</v>
      </c>
      <c r="HB245" s="33" t="n">
        <f aca="false">SUM(GZ245/4)</f>
        <v>3.4375</v>
      </c>
      <c r="HC245" s="33" t="n">
        <f aca="false">SUM(HA245/4)</f>
        <v>0.1625</v>
      </c>
    </row>
    <row r="246" customFormat="false" ht="28.5" hidden="true" customHeight="true" outlineLevel="0" collapsed="false">
      <c r="A246" s="26" t="n">
        <v>3675</v>
      </c>
      <c r="B246" s="21" t="s">
        <v>634</v>
      </c>
      <c r="C246" s="21" t="s">
        <v>635</v>
      </c>
      <c r="D246" s="34"/>
      <c r="E246" s="25" t="n">
        <v>46091</v>
      </c>
      <c r="F246" s="25" t="n">
        <f aca="false">WORKDAY(E246,G246)</f>
        <v>46191</v>
      </c>
      <c r="G246" s="26" t="n">
        <v>72</v>
      </c>
      <c r="H246" s="27" t="n">
        <f aca="false">(GX246* 5)/M246</f>
        <v>40</v>
      </c>
      <c r="I246" s="27" t="n">
        <f aca="false">G246-H246</f>
        <v>32</v>
      </c>
      <c r="J246" s="22" t="s">
        <v>243</v>
      </c>
      <c r="K246" s="31" t="n">
        <v>150000</v>
      </c>
      <c r="L246" s="31" t="n">
        <v>324000</v>
      </c>
      <c r="M246" s="37" t="n">
        <f aca="false">(L246/G246)*5</f>
        <v>22500</v>
      </c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30"/>
      <c r="DO246" s="30"/>
      <c r="DP246" s="30"/>
      <c r="DQ246" s="30"/>
      <c r="DR246" s="30"/>
      <c r="DS246" s="30"/>
      <c r="DT246" s="30"/>
      <c r="DU246" s="30"/>
      <c r="DV246" s="30"/>
      <c r="DW246" s="30"/>
      <c r="DX246" s="30"/>
      <c r="DY246" s="30"/>
      <c r="DZ246" s="30"/>
      <c r="EA246" s="30"/>
      <c r="EB246" s="30"/>
      <c r="EC246" s="30"/>
      <c r="ED246" s="30"/>
      <c r="EE246" s="30"/>
      <c r="EF246" s="30"/>
      <c r="EG246" s="30"/>
      <c r="EH246" s="30"/>
      <c r="EI246" s="30"/>
      <c r="EJ246" s="30"/>
      <c r="EK246" s="30" t="s">
        <v>214</v>
      </c>
      <c r="EL246" s="30"/>
      <c r="EM246" s="30" t="s">
        <v>214</v>
      </c>
      <c r="EN246" s="30" t="s">
        <v>214</v>
      </c>
      <c r="EO246" s="30"/>
      <c r="EP246" s="30"/>
      <c r="EQ246" s="30"/>
      <c r="ER246" s="30"/>
      <c r="ES246" s="30" t="s">
        <v>214</v>
      </c>
      <c r="ET246" s="30"/>
      <c r="EU246" s="30"/>
      <c r="EV246" s="30" t="s">
        <v>214</v>
      </c>
      <c r="EW246" s="30"/>
      <c r="EX246" s="30"/>
      <c r="EY246" s="30"/>
      <c r="EZ246" s="30"/>
      <c r="FA246" s="30"/>
      <c r="FB246" s="30"/>
      <c r="FC246" s="30" t="s">
        <v>214</v>
      </c>
      <c r="FD246" s="30"/>
      <c r="FE246" s="30"/>
      <c r="FF246" s="30"/>
      <c r="FG246" s="30"/>
      <c r="FH246" s="30"/>
      <c r="FI246" s="30"/>
      <c r="FJ246" s="30"/>
      <c r="FK246" s="30"/>
      <c r="FL246" s="30" t="s">
        <v>214</v>
      </c>
      <c r="FM246" s="30"/>
      <c r="FN246" s="30"/>
      <c r="FO246" s="30"/>
      <c r="FP246" s="30"/>
      <c r="FQ246" s="30"/>
      <c r="FR246" s="30"/>
      <c r="FS246" s="30"/>
      <c r="FT246" s="30"/>
      <c r="FU246" s="30"/>
      <c r="FV246" s="30"/>
      <c r="FW246" s="30"/>
      <c r="FX246" s="30"/>
      <c r="FY246" s="30"/>
      <c r="FZ246" s="30"/>
      <c r="GA246" s="30"/>
      <c r="GB246" s="30"/>
      <c r="GC246" s="30"/>
      <c r="GD246" s="30"/>
      <c r="GE246" s="30"/>
      <c r="GF246" s="30"/>
      <c r="GG246" s="30"/>
      <c r="GH246" s="30" t="n">
        <v>22500</v>
      </c>
      <c r="GI246" s="30" t="n">
        <v>22500</v>
      </c>
      <c r="GJ246" s="30" t="n">
        <v>22500</v>
      </c>
      <c r="GK246" s="30" t="n">
        <v>22500</v>
      </c>
      <c r="GL246" s="30" t="n">
        <v>22500</v>
      </c>
      <c r="GM246" s="30" t="n">
        <v>22500</v>
      </c>
      <c r="GN246" s="30"/>
      <c r="GO246" s="30"/>
      <c r="GP246" s="30" t="n">
        <v>22500</v>
      </c>
      <c r="GQ246" s="30" t="n">
        <v>22500</v>
      </c>
      <c r="GR246" s="30"/>
      <c r="GS246" s="30"/>
      <c r="GT246" s="30"/>
      <c r="GU246" s="30"/>
      <c r="GV246" s="30"/>
      <c r="GW246" s="30"/>
      <c r="GX246" s="30" t="n">
        <f aca="false">SUM(N246:GW246)</f>
        <v>180000</v>
      </c>
      <c r="GY246" s="36" t="n">
        <f aca="false">SUM(L246-GX246)</f>
        <v>144000</v>
      </c>
      <c r="GZ246" s="32" t="n">
        <f aca="false">SUM( H246/5)</f>
        <v>8</v>
      </c>
      <c r="HA246" s="32" t="n">
        <f aca="false">SUM( I246/5)</f>
        <v>6.4</v>
      </c>
      <c r="HB246" s="33" t="n">
        <f aca="false">SUM(GZ246/4)</f>
        <v>2</v>
      </c>
      <c r="HC246" s="33" t="n">
        <f aca="false">SUM(HA246/4)</f>
        <v>1.6</v>
      </c>
    </row>
    <row r="247" customFormat="false" ht="28.5" hidden="true" customHeight="true" outlineLevel="0" collapsed="false">
      <c r="A247" s="26" t="n">
        <v>3733</v>
      </c>
      <c r="B247" s="21" t="s">
        <v>634</v>
      </c>
      <c r="C247" s="21" t="s">
        <v>635</v>
      </c>
      <c r="D247" s="34"/>
      <c r="E247" s="25" t="n">
        <v>46134</v>
      </c>
      <c r="F247" s="25" t="n">
        <f aca="false">WORKDAY(E247,G247)</f>
        <v>46234</v>
      </c>
      <c r="G247" s="26" t="n">
        <v>72</v>
      </c>
      <c r="H247" s="27" t="n">
        <f aca="false">(GX247* 5)/M247</f>
        <v>13.8888888888889</v>
      </c>
      <c r="I247" s="27" t="n">
        <f aca="false">G247-H247</f>
        <v>58.1111111111111</v>
      </c>
      <c r="J247" s="22" t="s">
        <v>243</v>
      </c>
      <c r="K247" s="36" t="n">
        <v>150000</v>
      </c>
      <c r="L247" s="36" t="n">
        <v>324000</v>
      </c>
      <c r="M247" s="29" t="n">
        <f aca="false">(L247/G247)*5</f>
        <v>22500</v>
      </c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30"/>
      <c r="DO247" s="30"/>
      <c r="DP247" s="30"/>
      <c r="DQ247" s="30"/>
      <c r="DR247" s="30"/>
      <c r="DS247" s="30"/>
      <c r="DT247" s="30"/>
      <c r="DU247" s="30"/>
      <c r="DV247" s="30"/>
      <c r="DW247" s="30"/>
      <c r="DX247" s="30"/>
      <c r="DY247" s="30"/>
      <c r="DZ247" s="30"/>
      <c r="EA247" s="30"/>
      <c r="EB247" s="30"/>
      <c r="EC247" s="30"/>
      <c r="ED247" s="30"/>
      <c r="EE247" s="30"/>
      <c r="EF247" s="30"/>
      <c r="EG247" s="30"/>
      <c r="EH247" s="30"/>
      <c r="EI247" s="30"/>
      <c r="EJ247" s="30"/>
      <c r="EK247" s="30" t="s">
        <v>214</v>
      </c>
      <c r="EL247" s="30"/>
      <c r="EM247" s="30" t="s">
        <v>214</v>
      </c>
      <c r="EN247" s="30" t="s">
        <v>214</v>
      </c>
      <c r="EO247" s="30"/>
      <c r="EP247" s="30"/>
      <c r="EQ247" s="30"/>
      <c r="ER247" s="30"/>
      <c r="ES247" s="30" t="s">
        <v>214</v>
      </c>
      <c r="ET247" s="30"/>
      <c r="EU247" s="30"/>
      <c r="EV247" s="30" t="s">
        <v>214</v>
      </c>
      <c r="EW247" s="30"/>
      <c r="EX247" s="30"/>
      <c r="EY247" s="30"/>
      <c r="EZ247" s="30"/>
      <c r="FA247" s="30"/>
      <c r="FB247" s="30"/>
      <c r="FC247" s="30" t="s">
        <v>214</v>
      </c>
      <c r="FD247" s="30"/>
      <c r="FE247" s="30"/>
      <c r="FF247" s="30"/>
      <c r="FG247" s="30"/>
      <c r="FH247" s="30"/>
      <c r="FI247" s="30"/>
      <c r="FJ247" s="30"/>
      <c r="FK247" s="30"/>
      <c r="FL247" s="30" t="s">
        <v>214</v>
      </c>
      <c r="FM247" s="30"/>
      <c r="FN247" s="30"/>
      <c r="FO247" s="30"/>
      <c r="FP247" s="30"/>
      <c r="FQ247" s="30"/>
      <c r="FR247" s="30"/>
      <c r="FS247" s="30"/>
      <c r="FT247" s="30"/>
      <c r="FU247" s="30"/>
      <c r="FV247" s="30"/>
      <c r="FW247" s="30"/>
      <c r="FX247" s="30"/>
      <c r="FY247" s="30"/>
      <c r="FZ247" s="30"/>
      <c r="GA247" s="30"/>
      <c r="GB247" s="30"/>
      <c r="GC247" s="30"/>
      <c r="GD247" s="30"/>
      <c r="GE247" s="30"/>
      <c r="GF247" s="30"/>
      <c r="GG247" s="30"/>
      <c r="GH247" s="30"/>
      <c r="GI247" s="30"/>
      <c r="GJ247" s="30"/>
      <c r="GK247" s="30"/>
      <c r="GL247" s="30"/>
      <c r="GM247" s="30"/>
      <c r="GN247" s="30" t="n">
        <v>22500</v>
      </c>
      <c r="GO247" s="30"/>
      <c r="GP247" s="30" t="n">
        <v>22500</v>
      </c>
      <c r="GQ247" s="30" t="n">
        <v>17500</v>
      </c>
      <c r="GR247" s="30"/>
      <c r="GS247" s="30"/>
      <c r="GT247" s="30"/>
      <c r="GU247" s="30"/>
      <c r="GV247" s="30"/>
      <c r="GW247" s="30"/>
      <c r="GX247" s="30" t="n">
        <f aca="false">SUM(N247:GW247)</f>
        <v>62500</v>
      </c>
      <c r="GY247" s="36" t="n">
        <f aca="false">SUM(L247-GX247)</f>
        <v>261500</v>
      </c>
      <c r="GZ247" s="32" t="n">
        <f aca="false">SUM( H247/5)</f>
        <v>2.77777777777778</v>
      </c>
      <c r="HA247" s="32" t="n">
        <f aca="false">SUM( I247/5)</f>
        <v>11.6222222222222</v>
      </c>
      <c r="HB247" s="33" t="n">
        <f aca="false">SUM(GZ247/4)</f>
        <v>0.694444444444444</v>
      </c>
      <c r="HC247" s="33" t="n">
        <f aca="false">SUM(HA247/4)</f>
        <v>2.90555555555556</v>
      </c>
    </row>
    <row r="248" customFormat="false" ht="28.5" hidden="true" customHeight="true" outlineLevel="0" collapsed="false">
      <c r="A248" s="26" t="n">
        <v>3691</v>
      </c>
      <c r="B248" s="34" t="s">
        <v>636</v>
      </c>
      <c r="C248" s="34" t="s">
        <v>637</v>
      </c>
      <c r="D248" s="34"/>
      <c r="E248" s="25" t="n">
        <v>46100</v>
      </c>
      <c r="F248" s="25" t="n">
        <f aca="false">WORKDAY(E248,G248)</f>
        <v>46254</v>
      </c>
      <c r="G248" s="26" t="n">
        <v>110</v>
      </c>
      <c r="H248" s="27" t="n">
        <f aca="false">(GX248* 5)/M248</f>
        <v>65</v>
      </c>
      <c r="I248" s="27" t="n">
        <f aca="false">G248-H248</f>
        <v>45</v>
      </c>
      <c r="J248" s="22" t="s">
        <v>487</v>
      </c>
      <c r="K248" s="31" t="n">
        <v>150000</v>
      </c>
      <c r="L248" s="31" t="n">
        <v>396000</v>
      </c>
      <c r="M248" s="37" t="n">
        <f aca="false">(L248/G248)*5</f>
        <v>18000</v>
      </c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  <c r="DU248" s="30"/>
      <c r="DV248" s="30"/>
      <c r="DW248" s="30"/>
      <c r="DX248" s="30"/>
      <c r="DY248" s="30"/>
      <c r="DZ248" s="30"/>
      <c r="EA248" s="30"/>
      <c r="EB248" s="30"/>
      <c r="EC248" s="30"/>
      <c r="ED248" s="30"/>
      <c r="EE248" s="30"/>
      <c r="EF248" s="30"/>
      <c r="EG248" s="30"/>
      <c r="EH248" s="30"/>
      <c r="EI248" s="30"/>
      <c r="EJ248" s="30"/>
      <c r="EK248" s="30" t="s">
        <v>214</v>
      </c>
      <c r="EL248" s="30"/>
      <c r="EM248" s="30" t="s">
        <v>214</v>
      </c>
      <c r="EN248" s="30" t="s">
        <v>214</v>
      </c>
      <c r="EO248" s="30"/>
      <c r="EP248" s="30"/>
      <c r="EQ248" s="30"/>
      <c r="ER248" s="30"/>
      <c r="ES248" s="30" t="s">
        <v>214</v>
      </c>
      <c r="ET248" s="30"/>
      <c r="EU248" s="30"/>
      <c r="EV248" s="30" t="s">
        <v>214</v>
      </c>
      <c r="EW248" s="30"/>
      <c r="EX248" s="30"/>
      <c r="EY248" s="30"/>
      <c r="EZ248" s="30"/>
      <c r="FA248" s="30"/>
      <c r="FB248" s="30"/>
      <c r="FC248" s="30" t="s">
        <v>214</v>
      </c>
      <c r="FD248" s="30"/>
      <c r="FE248" s="30"/>
      <c r="FF248" s="30"/>
      <c r="FG248" s="30"/>
      <c r="FH248" s="30"/>
      <c r="FI248" s="30"/>
      <c r="FJ248" s="30"/>
      <c r="FK248" s="30"/>
      <c r="FL248" s="30" t="s">
        <v>214</v>
      </c>
      <c r="FM248" s="30"/>
      <c r="FN248" s="30"/>
      <c r="FO248" s="30"/>
      <c r="FP248" s="30"/>
      <c r="FQ248" s="30"/>
      <c r="FR248" s="30"/>
      <c r="FS248" s="30"/>
      <c r="FT248" s="30"/>
      <c r="FU248" s="30"/>
      <c r="FV248" s="30"/>
      <c r="FW248" s="30"/>
      <c r="FX248" s="30"/>
      <c r="FY248" s="30"/>
      <c r="FZ248" s="30"/>
      <c r="GA248" s="30"/>
      <c r="GB248" s="30"/>
      <c r="GC248" s="30"/>
      <c r="GD248" s="30"/>
      <c r="GE248" s="30"/>
      <c r="GF248" s="30"/>
      <c r="GG248" s="30"/>
      <c r="GH248" s="30"/>
      <c r="GI248" s="30"/>
      <c r="GJ248" s="30"/>
      <c r="GK248" s="30" t="n">
        <v>36000</v>
      </c>
      <c r="GL248" s="30"/>
      <c r="GM248" s="30" t="n">
        <v>36000</v>
      </c>
      <c r="GN248" s="30" t="n">
        <v>18000</v>
      </c>
      <c r="GO248" s="30"/>
      <c r="GP248" s="30" t="n">
        <v>36000</v>
      </c>
      <c r="GQ248" s="30"/>
      <c r="GR248" s="30" t="n">
        <v>36000</v>
      </c>
      <c r="GS248" s="30"/>
      <c r="GT248" s="30" t="n">
        <v>36000</v>
      </c>
      <c r="GU248" s="30"/>
      <c r="GV248" s="30" t="n">
        <v>36000</v>
      </c>
      <c r="GW248" s="30"/>
      <c r="GX248" s="30" t="n">
        <f aca="false">SUM(N248:GW248)</f>
        <v>234000</v>
      </c>
      <c r="GY248" s="36" t="n">
        <f aca="false">SUM(L248-GX248)</f>
        <v>162000</v>
      </c>
      <c r="GZ248" s="32" t="n">
        <f aca="false">SUM( H248/5)</f>
        <v>13</v>
      </c>
      <c r="HA248" s="32" t="n">
        <f aca="false">SUM( I248/5)</f>
        <v>9</v>
      </c>
      <c r="HB248" s="33" t="n">
        <f aca="false">SUM(GZ248/4)</f>
        <v>3.25</v>
      </c>
      <c r="HC248" s="33" t="n">
        <f aca="false">SUM(HA248/4)</f>
        <v>2.25</v>
      </c>
    </row>
    <row r="249" customFormat="false" ht="28.5" hidden="true" customHeight="true" outlineLevel="0" collapsed="false">
      <c r="A249" s="26" t="n">
        <v>3747</v>
      </c>
      <c r="B249" s="34" t="s">
        <v>636</v>
      </c>
      <c r="C249" s="34" t="s">
        <v>637</v>
      </c>
      <c r="D249" s="34"/>
      <c r="E249" s="25" t="n">
        <v>46139</v>
      </c>
      <c r="F249" s="25" t="n">
        <f aca="false">WORKDAY(E249,G249)</f>
        <v>46293</v>
      </c>
      <c r="G249" s="26" t="n">
        <v>110</v>
      </c>
      <c r="H249" s="27" t="n">
        <f aca="false">(GX249* 5)/M249</f>
        <v>45</v>
      </c>
      <c r="I249" s="27" t="n">
        <f aca="false">G249-H249</f>
        <v>65</v>
      </c>
      <c r="J249" s="22" t="s">
        <v>362</v>
      </c>
      <c r="K249" s="31" t="n">
        <v>100000</v>
      </c>
      <c r="L249" s="31" t="n">
        <v>264000</v>
      </c>
      <c r="M249" s="37" t="n">
        <f aca="false">(L249/G249)*5</f>
        <v>12000</v>
      </c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30"/>
      <c r="DL249" s="30"/>
      <c r="DM249" s="30"/>
      <c r="DN249" s="30"/>
      <c r="DO249" s="30"/>
      <c r="DP249" s="30"/>
      <c r="DQ249" s="30"/>
      <c r="DR249" s="30"/>
      <c r="DS249" s="30"/>
      <c r="DT249" s="30"/>
      <c r="DU249" s="30"/>
      <c r="DV249" s="30"/>
      <c r="DW249" s="30"/>
      <c r="DX249" s="30"/>
      <c r="DY249" s="30"/>
      <c r="DZ249" s="30"/>
      <c r="EA249" s="30"/>
      <c r="EB249" s="30"/>
      <c r="EC249" s="30"/>
      <c r="ED249" s="30"/>
      <c r="EE249" s="30"/>
      <c r="EF249" s="30"/>
      <c r="EG249" s="30"/>
      <c r="EH249" s="30"/>
      <c r="EI249" s="30"/>
      <c r="EJ249" s="30"/>
      <c r="EK249" s="30" t="s">
        <v>214</v>
      </c>
      <c r="EL249" s="30"/>
      <c r="EM249" s="30" t="s">
        <v>214</v>
      </c>
      <c r="EN249" s="30" t="s">
        <v>214</v>
      </c>
      <c r="EO249" s="30"/>
      <c r="EP249" s="30"/>
      <c r="EQ249" s="30"/>
      <c r="ER249" s="30"/>
      <c r="ES249" s="30" t="s">
        <v>214</v>
      </c>
      <c r="ET249" s="30"/>
      <c r="EU249" s="30"/>
      <c r="EV249" s="30" t="s">
        <v>214</v>
      </c>
      <c r="EW249" s="30"/>
      <c r="EX249" s="30"/>
      <c r="EY249" s="30"/>
      <c r="EZ249" s="30"/>
      <c r="FA249" s="30"/>
      <c r="FB249" s="30"/>
      <c r="FC249" s="30" t="s">
        <v>214</v>
      </c>
      <c r="FD249" s="30"/>
      <c r="FE249" s="30"/>
      <c r="FF249" s="30"/>
      <c r="FG249" s="30"/>
      <c r="FH249" s="30"/>
      <c r="FI249" s="30"/>
      <c r="FJ249" s="30"/>
      <c r="FK249" s="30"/>
      <c r="FL249" s="30" t="s">
        <v>214</v>
      </c>
      <c r="FM249" s="30"/>
      <c r="FN249" s="30"/>
      <c r="FO249" s="30"/>
      <c r="FP249" s="30"/>
      <c r="FQ249" s="30"/>
      <c r="FR249" s="30"/>
      <c r="FS249" s="30"/>
      <c r="FT249" s="30"/>
      <c r="FU249" s="30"/>
      <c r="FV249" s="30"/>
      <c r="FW249" s="30"/>
      <c r="FX249" s="30"/>
      <c r="FY249" s="30"/>
      <c r="FZ249" s="30"/>
      <c r="GA249" s="30"/>
      <c r="GB249" s="30"/>
      <c r="GC249" s="30"/>
      <c r="GD249" s="30"/>
      <c r="GE249" s="30"/>
      <c r="GF249" s="30"/>
      <c r="GG249" s="30"/>
      <c r="GH249" s="30"/>
      <c r="GI249" s="30"/>
      <c r="GJ249" s="30"/>
      <c r="GK249" s="30"/>
      <c r="GL249" s="30"/>
      <c r="GM249" s="30"/>
      <c r="GN249" s="30" t="n">
        <v>12000</v>
      </c>
      <c r="GO249" s="30"/>
      <c r="GP249" s="30" t="n">
        <v>24000</v>
      </c>
      <c r="GQ249" s="30"/>
      <c r="GR249" s="30" t="n">
        <v>24000</v>
      </c>
      <c r="GS249" s="30"/>
      <c r="GT249" s="30" t="n">
        <v>24000</v>
      </c>
      <c r="GU249" s="30"/>
      <c r="GV249" s="30" t="n">
        <v>12000</v>
      </c>
      <c r="GW249" s="30" t="n">
        <v>12000</v>
      </c>
      <c r="GX249" s="30" t="n">
        <f aca="false">SUM(N249:GW249)</f>
        <v>108000</v>
      </c>
      <c r="GY249" s="36" t="n">
        <f aca="false">SUM(L249-GX249)</f>
        <v>156000</v>
      </c>
      <c r="GZ249" s="32" t="n">
        <f aca="false">SUM( H249/5)</f>
        <v>9</v>
      </c>
      <c r="HA249" s="32" t="n">
        <f aca="false">SUM( I249/5)</f>
        <v>13</v>
      </c>
      <c r="HB249" s="33" t="n">
        <f aca="false">SUM(GZ249/4)</f>
        <v>2.25</v>
      </c>
      <c r="HC249" s="33" t="n">
        <f aca="false">SUM(HA249/4)</f>
        <v>3.25</v>
      </c>
    </row>
    <row r="250" customFormat="false" ht="28.5" hidden="true" customHeight="true" outlineLevel="0" collapsed="false">
      <c r="A250" s="26" t="n">
        <v>3786</v>
      </c>
      <c r="B250" s="34" t="s">
        <v>636</v>
      </c>
      <c r="C250" s="34" t="s">
        <v>637</v>
      </c>
      <c r="D250" s="34"/>
      <c r="E250" s="25" t="n">
        <v>46174</v>
      </c>
      <c r="F250" s="25" t="n">
        <f aca="false">WORKDAY(E250,G250)</f>
        <v>46328</v>
      </c>
      <c r="G250" s="26" t="n">
        <v>110</v>
      </c>
      <c r="H250" s="27" t="n">
        <f aca="false">(GX250* 5)/M250</f>
        <v>20</v>
      </c>
      <c r="I250" s="27" t="n">
        <f aca="false">G250-H250</f>
        <v>90</v>
      </c>
      <c r="J250" s="22" t="s">
        <v>487</v>
      </c>
      <c r="K250" s="39" t="n">
        <v>150000</v>
      </c>
      <c r="L250" s="36" t="n">
        <v>396000</v>
      </c>
      <c r="M250" s="29" t="n">
        <f aca="false">(L250/G250)*5</f>
        <v>18000</v>
      </c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30"/>
      <c r="DO250" s="30"/>
      <c r="DP250" s="30"/>
      <c r="DQ250" s="30"/>
      <c r="DR250" s="30"/>
      <c r="DS250" s="30"/>
      <c r="DT250" s="30"/>
      <c r="DU250" s="30"/>
      <c r="DV250" s="30"/>
      <c r="DW250" s="30"/>
      <c r="DX250" s="30"/>
      <c r="DY250" s="30"/>
      <c r="DZ250" s="30"/>
      <c r="EA250" s="30"/>
      <c r="EB250" s="30"/>
      <c r="EC250" s="30"/>
      <c r="ED250" s="30"/>
      <c r="EE250" s="30"/>
      <c r="EF250" s="30"/>
      <c r="EG250" s="30"/>
      <c r="EH250" s="30"/>
      <c r="EI250" s="30"/>
      <c r="EJ250" s="30"/>
      <c r="EK250" s="30" t="s">
        <v>214</v>
      </c>
      <c r="EL250" s="30"/>
      <c r="EM250" s="30" t="s">
        <v>214</v>
      </c>
      <c r="EN250" s="30" t="s">
        <v>214</v>
      </c>
      <c r="EO250" s="30"/>
      <c r="EP250" s="30"/>
      <c r="EQ250" s="30"/>
      <c r="ER250" s="30"/>
      <c r="ES250" s="30" t="s">
        <v>214</v>
      </c>
      <c r="ET250" s="30"/>
      <c r="EU250" s="30"/>
      <c r="EV250" s="30" t="s">
        <v>214</v>
      </c>
      <c r="EW250" s="30"/>
      <c r="EX250" s="30"/>
      <c r="EY250" s="30"/>
      <c r="EZ250" s="30"/>
      <c r="FA250" s="30"/>
      <c r="FB250" s="30"/>
      <c r="FC250" s="30" t="s">
        <v>214</v>
      </c>
      <c r="FD250" s="30"/>
      <c r="FE250" s="30"/>
      <c r="FF250" s="30"/>
      <c r="FG250" s="30"/>
      <c r="FH250" s="30"/>
      <c r="FI250" s="30"/>
      <c r="FJ250" s="30"/>
      <c r="FK250" s="30"/>
      <c r="FL250" s="30" t="s">
        <v>214</v>
      </c>
      <c r="FM250" s="30"/>
      <c r="FN250" s="30"/>
      <c r="FO250" s="30"/>
      <c r="FP250" s="30"/>
      <c r="FQ250" s="30"/>
      <c r="FR250" s="30"/>
      <c r="FS250" s="30"/>
      <c r="FT250" s="30"/>
      <c r="FU250" s="30"/>
      <c r="FV250" s="30"/>
      <c r="FW250" s="30"/>
      <c r="FX250" s="30"/>
      <c r="FY250" s="30"/>
      <c r="FZ250" s="30"/>
      <c r="GA250" s="30"/>
      <c r="GB250" s="30"/>
      <c r="GC250" s="30"/>
      <c r="GD250" s="30"/>
      <c r="GE250" s="30"/>
      <c r="GF250" s="30"/>
      <c r="GG250" s="30"/>
      <c r="GH250" s="30"/>
      <c r="GI250" s="30"/>
      <c r="GJ250" s="30"/>
      <c r="GK250" s="30"/>
      <c r="GL250" s="30"/>
      <c r="GM250" s="30"/>
      <c r="GN250" s="30"/>
      <c r="GO250" s="30"/>
      <c r="GP250" s="30"/>
      <c r="GQ250" s="30"/>
      <c r="GR250" s="30"/>
      <c r="GS250" s="30"/>
      <c r="GT250" s="30" t="n">
        <v>36000</v>
      </c>
      <c r="GU250" s="30"/>
      <c r="GV250" s="30"/>
      <c r="GW250" s="30" t="n">
        <v>36000</v>
      </c>
      <c r="GX250" s="30" t="n">
        <f aca="false">SUM(N250:GW250)</f>
        <v>72000</v>
      </c>
      <c r="GY250" s="36" t="n">
        <f aca="false">SUM(L250-GX250)</f>
        <v>324000</v>
      </c>
      <c r="GZ250" s="32" t="n">
        <f aca="false">SUM( H250/5)</f>
        <v>4</v>
      </c>
      <c r="HA250" s="32" t="n">
        <f aca="false">SUM( I250/5)</f>
        <v>18</v>
      </c>
      <c r="HB250" s="33" t="n">
        <f aca="false">SUM(GZ250/4)</f>
        <v>1</v>
      </c>
      <c r="HC250" s="33" t="n">
        <f aca="false">SUM(HA250/4)</f>
        <v>4.5</v>
      </c>
    </row>
    <row r="251" customFormat="false" ht="28.5" hidden="true" customHeight="true" outlineLevel="0" collapsed="false">
      <c r="A251" s="26" t="n">
        <v>3594</v>
      </c>
      <c r="B251" s="21" t="s">
        <v>638</v>
      </c>
      <c r="C251" s="21" t="s">
        <v>639</v>
      </c>
      <c r="D251" s="34" t="n">
        <v>2034839888</v>
      </c>
      <c r="E251" s="25" t="n">
        <v>45713</v>
      </c>
      <c r="F251" s="25" t="n">
        <f aca="false">WORKDAY(E251,G251)</f>
        <v>45881</v>
      </c>
      <c r="G251" s="26" t="n">
        <v>120</v>
      </c>
      <c r="H251" s="27" t="n">
        <f aca="false">(GX251* 5)/M251</f>
        <v>80.7575757575758</v>
      </c>
      <c r="I251" s="27" t="n">
        <f aca="false">G251-H251</f>
        <v>39.2424242424243</v>
      </c>
      <c r="J251" s="35" t="s">
        <v>640</v>
      </c>
      <c r="K251" s="36" t="n">
        <v>75000</v>
      </c>
      <c r="L251" s="36" t="n">
        <v>198000</v>
      </c>
      <c r="M251" s="37" t="n">
        <f aca="false">(L251/G251)*5</f>
        <v>8250</v>
      </c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30"/>
      <c r="DO251" s="30"/>
      <c r="DP251" s="30"/>
      <c r="DQ251" s="30"/>
      <c r="DR251" s="30"/>
      <c r="DS251" s="30"/>
      <c r="DT251" s="30"/>
      <c r="DU251" s="30"/>
      <c r="DV251" s="30"/>
      <c r="DW251" s="30"/>
      <c r="DX251" s="30"/>
      <c r="DY251" s="30"/>
      <c r="DZ251" s="30"/>
      <c r="EA251" s="30"/>
      <c r="EB251" s="30"/>
      <c r="EC251" s="30"/>
      <c r="ED251" s="30"/>
      <c r="EE251" s="30"/>
      <c r="EF251" s="30"/>
      <c r="EG251" s="30"/>
      <c r="EH251" s="30" t="n">
        <v>32750</v>
      </c>
      <c r="EI251" s="30"/>
      <c r="EJ251" s="30"/>
      <c r="EK251" s="30"/>
      <c r="EL251" s="30" t="n">
        <v>4750</v>
      </c>
      <c r="EM251" s="30" t="n">
        <v>28250</v>
      </c>
      <c r="EN251" s="30"/>
      <c r="EO251" s="30" t="s">
        <v>214</v>
      </c>
      <c r="EP251" s="30"/>
      <c r="EQ251" s="30" t="n">
        <v>24750</v>
      </c>
      <c r="ER251" s="30" t="n">
        <v>8250</v>
      </c>
      <c r="ES251" s="30"/>
      <c r="ET251" s="30"/>
      <c r="EU251" s="30"/>
      <c r="EV251" s="30"/>
      <c r="EW251" s="30" t="n">
        <v>33000</v>
      </c>
      <c r="EX251" s="30"/>
      <c r="EY251" s="30"/>
      <c r="EZ251" s="30"/>
      <c r="FA251" s="30"/>
      <c r="FB251" s="30"/>
      <c r="FC251" s="30"/>
      <c r="FD251" s="30"/>
      <c r="FE251" s="30"/>
      <c r="FF251" s="30"/>
      <c r="FG251" s="30"/>
      <c r="FH251" s="30"/>
      <c r="FI251" s="30"/>
      <c r="FJ251" s="30"/>
      <c r="FK251" s="30"/>
      <c r="FL251" s="30"/>
      <c r="FM251" s="30"/>
      <c r="FN251" s="30"/>
      <c r="FO251" s="30"/>
      <c r="FP251" s="30"/>
      <c r="FQ251" s="30"/>
      <c r="FR251" s="30"/>
      <c r="FS251" s="30"/>
      <c r="FT251" s="30"/>
      <c r="FU251" s="30"/>
      <c r="FV251" s="30"/>
      <c r="FW251" s="30"/>
      <c r="FX251" s="30"/>
      <c r="FY251" s="30"/>
      <c r="FZ251" s="30"/>
      <c r="GA251" s="30"/>
      <c r="GB251" s="30"/>
      <c r="GC251" s="30"/>
      <c r="GD251" s="30"/>
      <c r="GE251" s="30"/>
      <c r="GF251" s="30"/>
      <c r="GG251" s="30"/>
      <c r="GH251" s="30"/>
      <c r="GI251" s="30"/>
      <c r="GJ251" s="30"/>
      <c r="GK251" s="30"/>
      <c r="GL251" s="30" t="n">
        <v>1500</v>
      </c>
      <c r="GM251" s="30"/>
      <c r="GN251" s="30"/>
      <c r="GO251" s="30"/>
      <c r="GP251" s="30"/>
      <c r="GQ251" s="30"/>
      <c r="GR251" s="30"/>
      <c r="GS251" s="30"/>
      <c r="GT251" s="30"/>
      <c r="GU251" s="30"/>
      <c r="GV251" s="30"/>
      <c r="GW251" s="30"/>
      <c r="GX251" s="30" t="n">
        <f aca="false">SUM(N251:GW251)</f>
        <v>133250</v>
      </c>
      <c r="GY251" s="36" t="n">
        <f aca="false">SUM(L251-GX251)</f>
        <v>64750</v>
      </c>
      <c r="GZ251" s="32" t="n">
        <f aca="false">SUM( H251/5)</f>
        <v>16.1515151515152</v>
      </c>
      <c r="HA251" s="32" t="n">
        <f aca="false">SUM( I251/5)</f>
        <v>7.84848484848485</v>
      </c>
      <c r="HB251" s="33" t="n">
        <f aca="false">SUM(GZ251/4)</f>
        <v>4.03787878787879</v>
      </c>
      <c r="HC251" s="33" t="n">
        <f aca="false">SUM(HA251/4)</f>
        <v>1.96212121212121</v>
      </c>
    </row>
    <row r="252" customFormat="false" ht="28.5" hidden="true" customHeight="true" outlineLevel="0" collapsed="false">
      <c r="A252" s="26" t="n">
        <v>3595</v>
      </c>
      <c r="B252" s="21" t="s">
        <v>638</v>
      </c>
      <c r="C252" s="21" t="s">
        <v>639</v>
      </c>
      <c r="D252" s="34" t="n">
        <v>2034839888</v>
      </c>
      <c r="E252" s="25" t="n">
        <v>45736</v>
      </c>
      <c r="F252" s="25" t="n">
        <f aca="false">WORKDAY(E252,G252)</f>
        <v>45904</v>
      </c>
      <c r="G252" s="26" t="n">
        <v>120</v>
      </c>
      <c r="H252" s="27" t="n">
        <f aca="false">(GX252* 5)/M252</f>
        <v>57.9545454545455</v>
      </c>
      <c r="I252" s="27" t="n">
        <f aca="false">G252-H252</f>
        <v>62.0454545454546</v>
      </c>
      <c r="J252" s="35" t="s">
        <v>641</v>
      </c>
      <c r="K252" s="36" t="n">
        <v>50000</v>
      </c>
      <c r="L252" s="36" t="n">
        <v>132000</v>
      </c>
      <c r="M252" s="37" t="n">
        <f aca="false">(L252/G252)*5</f>
        <v>5500</v>
      </c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/>
      <c r="DU252" s="30"/>
      <c r="DV252" s="30"/>
      <c r="DW252" s="30"/>
      <c r="DX252" s="30"/>
      <c r="DY252" s="30"/>
      <c r="DZ252" s="30"/>
      <c r="EA252" s="30"/>
      <c r="EB252" s="30"/>
      <c r="EC252" s="30"/>
      <c r="ED252" s="30"/>
      <c r="EE252" s="30"/>
      <c r="EF252" s="30"/>
      <c r="EG252" s="30"/>
      <c r="EH252" s="30"/>
      <c r="EI252" s="30"/>
      <c r="EJ252" s="30"/>
      <c r="EK252" s="30"/>
      <c r="EL252" s="30"/>
      <c r="EM252" s="30" t="n">
        <v>19750</v>
      </c>
      <c r="EN252" s="30"/>
      <c r="EO252" s="30" t="s">
        <v>214</v>
      </c>
      <c r="EP252" s="30"/>
      <c r="EQ252" s="30"/>
      <c r="ER252" s="30" t="n">
        <v>22000</v>
      </c>
      <c r="ES252" s="30"/>
      <c r="ET252" s="30"/>
      <c r="EU252" s="30"/>
      <c r="EV252" s="30"/>
      <c r="EW252" s="30" t="n">
        <v>22000</v>
      </c>
      <c r="EX252" s="30"/>
      <c r="EY252" s="30"/>
      <c r="EZ252" s="30"/>
      <c r="FA252" s="30"/>
      <c r="FB252" s="30"/>
      <c r="FC252" s="30"/>
      <c r="FD252" s="30"/>
      <c r="FE252" s="30"/>
      <c r="FF252" s="30"/>
      <c r="FG252" s="30"/>
      <c r="FH252" s="30"/>
      <c r="FI252" s="30"/>
      <c r="FJ252" s="30"/>
      <c r="FK252" s="30"/>
      <c r="FL252" s="30"/>
      <c r="FM252" s="30"/>
      <c r="FN252" s="30"/>
      <c r="FO252" s="30"/>
      <c r="FP252" s="30"/>
      <c r="FQ252" s="30"/>
      <c r="FR252" s="30"/>
      <c r="FS252" s="30"/>
      <c r="FT252" s="30"/>
      <c r="FU252" s="30"/>
      <c r="FV252" s="30"/>
      <c r="FW252" s="30"/>
      <c r="FX252" s="30"/>
      <c r="FY252" s="30"/>
      <c r="FZ252" s="30"/>
      <c r="GA252" s="30"/>
      <c r="GB252" s="30"/>
      <c r="GC252" s="30"/>
      <c r="GD252" s="30"/>
      <c r="GE252" s="30"/>
      <c r="GF252" s="30"/>
      <c r="GG252" s="30"/>
      <c r="GH252" s="30"/>
      <c r="GI252" s="30"/>
      <c r="GJ252" s="30"/>
      <c r="GK252" s="30"/>
      <c r="GL252" s="30"/>
      <c r="GM252" s="30"/>
      <c r="GN252" s="30"/>
      <c r="GO252" s="30"/>
      <c r="GP252" s="30"/>
      <c r="GQ252" s="30"/>
      <c r="GR252" s="30"/>
      <c r="GS252" s="30"/>
      <c r="GT252" s="30"/>
      <c r="GU252" s="30"/>
      <c r="GV252" s="30"/>
      <c r="GW252" s="30"/>
      <c r="GX252" s="30" t="n">
        <f aca="false">SUM(N252:GW252)</f>
        <v>63750</v>
      </c>
      <c r="GY252" s="36" t="n">
        <f aca="false">SUM(L252-GX252)</f>
        <v>68250</v>
      </c>
      <c r="GZ252" s="32" t="n">
        <f aca="false">SUM( H252/5)</f>
        <v>11.5909090909091</v>
      </c>
      <c r="HA252" s="32" t="n">
        <f aca="false">SUM( I252/5)</f>
        <v>12.4090909090909</v>
      </c>
      <c r="HB252" s="33" t="n">
        <f aca="false">SUM(GZ252/4)</f>
        <v>2.89772727272727</v>
      </c>
      <c r="HC252" s="33" t="n">
        <f aca="false">SUM(HA252/4)</f>
        <v>3.10227272727273</v>
      </c>
    </row>
    <row r="253" customFormat="false" ht="28.5" hidden="true" customHeight="true" outlineLevel="0" collapsed="false">
      <c r="A253" s="26" t="n">
        <v>3596</v>
      </c>
      <c r="B253" s="21" t="s">
        <v>638</v>
      </c>
      <c r="C253" s="21" t="s">
        <v>639</v>
      </c>
      <c r="D253" s="34" t="n">
        <v>2034839888</v>
      </c>
      <c r="E253" s="25" t="n">
        <v>45775</v>
      </c>
      <c r="F253" s="25" t="n">
        <f aca="false">WORKDAY(E253,G253)</f>
        <v>45887</v>
      </c>
      <c r="G253" s="26" t="n">
        <v>80</v>
      </c>
      <c r="H253" s="27" t="n">
        <f aca="false">(GX253* 5)/M253</f>
        <v>27.2222222222222</v>
      </c>
      <c r="I253" s="27" t="n">
        <f aca="false">G253-H253</f>
        <v>52.7777777777778</v>
      </c>
      <c r="J253" s="35" t="s">
        <v>642</v>
      </c>
      <c r="K253" s="36" t="n">
        <v>50000</v>
      </c>
      <c r="L253" s="36" t="n">
        <v>108000</v>
      </c>
      <c r="M253" s="37" t="n">
        <f aca="false">(L253/G253)*5</f>
        <v>6750</v>
      </c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30"/>
      <c r="DO253" s="30"/>
      <c r="DP253" s="30"/>
      <c r="DQ253" s="30"/>
      <c r="DR253" s="30"/>
      <c r="DS253" s="30"/>
      <c r="DT253" s="30"/>
      <c r="DU253" s="30"/>
      <c r="DV253" s="30"/>
      <c r="DW253" s="30"/>
      <c r="DX253" s="30"/>
      <c r="DY253" s="30"/>
      <c r="DZ253" s="30"/>
      <c r="EA253" s="30"/>
      <c r="EB253" s="30"/>
      <c r="EC253" s="30"/>
      <c r="ED253" s="30"/>
      <c r="EE253" s="30"/>
      <c r="EF253" s="30"/>
      <c r="EG253" s="30"/>
      <c r="EH253" s="30"/>
      <c r="EI253" s="30"/>
      <c r="EJ253" s="30"/>
      <c r="EK253" s="30"/>
      <c r="EL253" s="30"/>
      <c r="EM253" s="30"/>
      <c r="EN253" s="30"/>
      <c r="EO253" s="30" t="s">
        <v>214</v>
      </c>
      <c r="EP253" s="30"/>
      <c r="EQ253" s="30"/>
      <c r="ER253" s="30" t="n">
        <v>9750</v>
      </c>
      <c r="ES253" s="30"/>
      <c r="ET253" s="30"/>
      <c r="EU253" s="30"/>
      <c r="EV253" s="30"/>
      <c r="EW253" s="30" t="n">
        <v>27000</v>
      </c>
      <c r="EX253" s="30"/>
      <c r="EY253" s="30"/>
      <c r="EZ253" s="30"/>
      <c r="FA253" s="30"/>
      <c r="FB253" s="30"/>
      <c r="FC253" s="30"/>
      <c r="FD253" s="30"/>
      <c r="FE253" s="30"/>
      <c r="FF253" s="30"/>
      <c r="FG253" s="30"/>
      <c r="FH253" s="30"/>
      <c r="FI253" s="30"/>
      <c r="FJ253" s="30"/>
      <c r="FK253" s="30"/>
      <c r="FL253" s="30"/>
      <c r="FM253" s="30"/>
      <c r="FN253" s="30"/>
      <c r="FO253" s="30"/>
      <c r="FP253" s="30"/>
      <c r="FQ253" s="30"/>
      <c r="FR253" s="30"/>
      <c r="FS253" s="30"/>
      <c r="FT253" s="30"/>
      <c r="FU253" s="30"/>
      <c r="FV253" s="30"/>
      <c r="FW253" s="30"/>
      <c r="FX253" s="30"/>
      <c r="FY253" s="30"/>
      <c r="FZ253" s="30"/>
      <c r="GA253" s="30"/>
      <c r="GB253" s="30"/>
      <c r="GC253" s="30"/>
      <c r="GD253" s="30"/>
      <c r="GE253" s="30"/>
      <c r="GF253" s="30"/>
      <c r="GG253" s="30"/>
      <c r="GH253" s="30"/>
      <c r="GI253" s="30"/>
      <c r="GJ253" s="30"/>
      <c r="GK253" s="30"/>
      <c r="GL253" s="30"/>
      <c r="GM253" s="30"/>
      <c r="GN253" s="30"/>
      <c r="GO253" s="30"/>
      <c r="GP253" s="30"/>
      <c r="GQ253" s="30"/>
      <c r="GR253" s="30"/>
      <c r="GS253" s="30"/>
      <c r="GT253" s="30"/>
      <c r="GU253" s="30"/>
      <c r="GV253" s="30"/>
      <c r="GW253" s="30"/>
      <c r="GX253" s="30" t="n">
        <f aca="false">SUM(N253:GW253)</f>
        <v>36750</v>
      </c>
      <c r="GY253" s="36" t="n">
        <f aca="false">SUM(L253-GX253)</f>
        <v>71250</v>
      </c>
      <c r="GZ253" s="32" t="n">
        <f aca="false">SUM( H253/5)</f>
        <v>5.44444444444445</v>
      </c>
      <c r="HA253" s="32" t="n">
        <f aca="false">SUM( I253/5)</f>
        <v>10.5555555555556</v>
      </c>
      <c r="HB253" s="33" t="n">
        <f aca="false">SUM(GZ253/4)</f>
        <v>1.36111111111111</v>
      </c>
      <c r="HC253" s="33" t="n">
        <f aca="false">SUM(HA253/4)</f>
        <v>2.63888888888889</v>
      </c>
    </row>
    <row r="254" customFormat="false" ht="28.5" hidden="true" customHeight="true" outlineLevel="0" collapsed="false">
      <c r="A254" s="26" t="n">
        <v>3547</v>
      </c>
      <c r="B254" s="21" t="s">
        <v>643</v>
      </c>
      <c r="C254" s="21" t="s">
        <v>639</v>
      </c>
      <c r="D254" s="34" t="s">
        <v>644</v>
      </c>
      <c r="E254" s="25" t="n">
        <v>45742</v>
      </c>
      <c r="F254" s="25" t="n">
        <f aca="false">WORKDAY(E254,G254)</f>
        <v>45910</v>
      </c>
      <c r="G254" s="26" t="n">
        <v>120</v>
      </c>
      <c r="H254" s="27" t="n">
        <f aca="false">(GX254* 5)/M254</f>
        <v>60</v>
      </c>
      <c r="I254" s="27" t="n">
        <f aca="false">G254-H254</f>
        <v>60</v>
      </c>
      <c r="J254" s="35" t="s">
        <v>645</v>
      </c>
      <c r="K254" s="31" t="n">
        <v>181900</v>
      </c>
      <c r="L254" s="31" t="n">
        <v>270000</v>
      </c>
      <c r="M254" s="29" t="n">
        <f aca="false">(L254/G254)*5</f>
        <v>11250</v>
      </c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  <c r="DU254" s="30"/>
      <c r="DV254" s="30"/>
      <c r="DW254" s="30"/>
      <c r="DX254" s="30"/>
      <c r="DY254" s="30"/>
      <c r="DZ254" s="30"/>
      <c r="EA254" s="30"/>
      <c r="EB254" s="30"/>
      <c r="EC254" s="30"/>
      <c r="ED254" s="30"/>
      <c r="EE254" s="30"/>
      <c r="EF254" s="30"/>
      <c r="EG254" s="30"/>
      <c r="EH254" s="30"/>
      <c r="EI254" s="30"/>
      <c r="EJ254" s="30"/>
      <c r="EK254" s="30" t="n">
        <v>45000</v>
      </c>
      <c r="EL254" s="30"/>
      <c r="EM254" s="30"/>
      <c r="EN254" s="30"/>
      <c r="EO254" s="30" t="s">
        <v>214</v>
      </c>
      <c r="EP254" s="30" t="n">
        <v>45000</v>
      </c>
      <c r="EQ254" s="30"/>
      <c r="ER254" s="30"/>
      <c r="ES254" s="30"/>
      <c r="ET254" s="30"/>
      <c r="EU254" s="30"/>
      <c r="EV254" s="30" t="n">
        <v>45000</v>
      </c>
      <c r="EW254" s="30"/>
      <c r="EX254" s="30"/>
      <c r="EY254" s="30"/>
      <c r="EZ254" s="30"/>
      <c r="FA254" s="30" t="s">
        <v>214</v>
      </c>
      <c r="FB254" s="30"/>
      <c r="FC254" s="30"/>
      <c r="FD254" s="30"/>
      <c r="FE254" s="30"/>
      <c r="FF254" s="30"/>
      <c r="FG254" s="30"/>
      <c r="FH254" s="30"/>
      <c r="FI254" s="30"/>
      <c r="FJ254" s="30"/>
      <c r="FK254" s="30"/>
      <c r="FL254" s="30"/>
      <c r="FM254" s="30"/>
      <c r="FN254" s="30"/>
      <c r="FO254" s="30"/>
      <c r="FP254" s="30"/>
      <c r="FQ254" s="30"/>
      <c r="FR254" s="30"/>
      <c r="FS254" s="30"/>
      <c r="FT254" s="30"/>
      <c r="FU254" s="30"/>
      <c r="FV254" s="30"/>
      <c r="FW254" s="30"/>
      <c r="FX254" s="30"/>
      <c r="FY254" s="30"/>
      <c r="FZ254" s="30"/>
      <c r="GA254" s="30"/>
      <c r="GB254" s="30"/>
      <c r="GC254" s="30"/>
      <c r="GD254" s="30"/>
      <c r="GE254" s="30"/>
      <c r="GF254" s="30"/>
      <c r="GG254" s="30"/>
      <c r="GH254" s="30"/>
      <c r="GI254" s="30"/>
      <c r="GJ254" s="30"/>
      <c r="GK254" s="30"/>
      <c r="GL254" s="30"/>
      <c r="GM254" s="30"/>
      <c r="GN254" s="30"/>
      <c r="GO254" s="30"/>
      <c r="GP254" s="30"/>
      <c r="GQ254" s="30"/>
      <c r="GR254" s="30"/>
      <c r="GS254" s="30"/>
      <c r="GT254" s="30"/>
      <c r="GU254" s="30"/>
      <c r="GV254" s="30"/>
      <c r="GW254" s="30"/>
      <c r="GX254" s="30" t="n">
        <f aca="false">SUM(N254:GW254)</f>
        <v>135000</v>
      </c>
      <c r="GY254" s="36" t="n">
        <f aca="false">SUM(L254-GX254)</f>
        <v>135000</v>
      </c>
      <c r="GZ254" s="32" t="n">
        <f aca="false">SUM( H254/5)</f>
        <v>12</v>
      </c>
      <c r="HA254" s="32" t="n">
        <f aca="false">SUM( I254/5)</f>
        <v>12</v>
      </c>
      <c r="HB254" s="33" t="n">
        <f aca="false">SUM(GZ254/4)</f>
        <v>3</v>
      </c>
      <c r="HC254" s="33" t="n">
        <f aca="false">SUM(HA254/4)</f>
        <v>3</v>
      </c>
    </row>
    <row r="255" customFormat="false" ht="28.5" hidden="true" customHeight="true" outlineLevel="0" collapsed="false">
      <c r="A255" s="26" t="n">
        <v>3824</v>
      </c>
      <c r="B255" s="21" t="s">
        <v>380</v>
      </c>
      <c r="C255" s="21" t="s">
        <v>292</v>
      </c>
      <c r="D255" s="34"/>
      <c r="E255" s="25" t="n">
        <v>46202</v>
      </c>
      <c r="F255" s="25" t="n">
        <f aca="false">WORKDAY(E255,G255)</f>
        <v>46302</v>
      </c>
      <c r="G255" s="26" t="n">
        <v>72</v>
      </c>
      <c r="H255" s="27" t="n">
        <f aca="false">(GX255* 5)/M255</f>
        <v>5</v>
      </c>
      <c r="I255" s="27" t="n">
        <f aca="false">G255-H255</f>
        <v>67</v>
      </c>
      <c r="J255" s="22" t="s">
        <v>266</v>
      </c>
      <c r="K255" s="39" t="n">
        <v>100000</v>
      </c>
      <c r="L255" s="36" t="n">
        <v>216000</v>
      </c>
      <c r="M255" s="37" t="n">
        <f aca="false">(L255/G255)*5</f>
        <v>15000</v>
      </c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30"/>
      <c r="DO255" s="30"/>
      <c r="DP255" s="30"/>
      <c r="DQ255" s="30"/>
      <c r="DR255" s="30"/>
      <c r="DS255" s="30"/>
      <c r="DT255" s="30"/>
      <c r="DU255" s="30"/>
      <c r="DV255" s="30"/>
      <c r="DW255" s="30"/>
      <c r="DX255" s="30"/>
      <c r="DY255" s="30"/>
      <c r="DZ255" s="30"/>
      <c r="EA255" s="30"/>
      <c r="EB255" s="30"/>
      <c r="EC255" s="30"/>
      <c r="ED255" s="30"/>
      <c r="EE255" s="30"/>
      <c r="EF255" s="30"/>
      <c r="EG255" s="30"/>
      <c r="EH255" s="30"/>
      <c r="EI255" s="30"/>
      <c r="EJ255" s="30"/>
      <c r="EK255" s="30" t="s">
        <v>214</v>
      </c>
      <c r="EL255" s="30"/>
      <c r="EM255" s="30" t="s">
        <v>214</v>
      </c>
      <c r="EN255" s="30" t="s">
        <v>214</v>
      </c>
      <c r="EO255" s="30"/>
      <c r="EP255" s="30"/>
      <c r="EQ255" s="30"/>
      <c r="ER255" s="30"/>
      <c r="ES255" s="30" t="s">
        <v>214</v>
      </c>
      <c r="ET255" s="30"/>
      <c r="EU255" s="30"/>
      <c r="EV255" s="30" t="s">
        <v>214</v>
      </c>
      <c r="EW255" s="30"/>
      <c r="EX255" s="30"/>
      <c r="EY255" s="30"/>
      <c r="EZ255" s="30"/>
      <c r="FA255" s="30"/>
      <c r="FB255" s="30"/>
      <c r="FC255" s="30" t="s">
        <v>214</v>
      </c>
      <c r="FD255" s="30"/>
      <c r="FE255" s="30"/>
      <c r="FF255" s="30"/>
      <c r="FG255" s="30"/>
      <c r="FH255" s="30"/>
      <c r="FI255" s="30"/>
      <c r="FJ255" s="30"/>
      <c r="FK255" s="30"/>
      <c r="FL255" s="30" t="s">
        <v>214</v>
      </c>
      <c r="FM255" s="30"/>
      <c r="FN255" s="30"/>
      <c r="FO255" s="30"/>
      <c r="FP255" s="30"/>
      <c r="FQ255" s="30"/>
      <c r="FR255" s="30"/>
      <c r="FS255" s="30"/>
      <c r="FT255" s="30"/>
      <c r="FU255" s="30"/>
      <c r="FV255" s="30"/>
      <c r="FW255" s="30"/>
      <c r="FX255" s="30"/>
      <c r="FY255" s="30"/>
      <c r="FZ255" s="30"/>
      <c r="GA255" s="30"/>
      <c r="GB255" s="30"/>
      <c r="GC255" s="30"/>
      <c r="GD255" s="30"/>
      <c r="GE255" s="30"/>
      <c r="GF255" s="30"/>
      <c r="GG255" s="30"/>
      <c r="GH255" s="30"/>
      <c r="GI255" s="30"/>
      <c r="GJ255" s="30"/>
      <c r="GK255" s="30"/>
      <c r="GL255" s="30"/>
      <c r="GM255" s="30"/>
      <c r="GN255" s="30"/>
      <c r="GO255" s="30"/>
      <c r="GP255" s="30"/>
      <c r="GQ255" s="30"/>
      <c r="GR255" s="30"/>
      <c r="GS255" s="30"/>
      <c r="GT255" s="30"/>
      <c r="GU255" s="30"/>
      <c r="GV255" s="30"/>
      <c r="GW255" s="30" t="n">
        <v>15000</v>
      </c>
      <c r="GX255" s="30" t="n">
        <f aca="false">SUM(N255:GW255)</f>
        <v>15000</v>
      </c>
      <c r="GY255" s="36" t="n">
        <f aca="false">SUM(L255-GX255)</f>
        <v>201000</v>
      </c>
      <c r="GZ255" s="32" t="n">
        <f aca="false">SUM( H255/5)</f>
        <v>1</v>
      </c>
      <c r="HA255" s="32" t="n">
        <f aca="false">SUM( I255/5)</f>
        <v>13.4</v>
      </c>
      <c r="HB255" s="33" t="n">
        <f aca="false">SUM(GZ255/4)</f>
        <v>0.25</v>
      </c>
      <c r="HC255" s="33" t="n">
        <f aca="false">SUM(HA255/4)</f>
        <v>3.35</v>
      </c>
    </row>
    <row r="256" customFormat="false" ht="28.5" hidden="true" customHeight="true" outlineLevel="0" collapsed="false">
      <c r="A256" s="26" t="n">
        <v>3825</v>
      </c>
      <c r="B256" s="21" t="s">
        <v>610</v>
      </c>
      <c r="C256" s="21" t="s">
        <v>611</v>
      </c>
      <c r="D256" s="34"/>
      <c r="E256" s="25" t="n">
        <v>46204</v>
      </c>
      <c r="F256" s="25" t="n">
        <f aca="false">WORKDAY(E256,G256)</f>
        <v>46316</v>
      </c>
      <c r="G256" s="26" t="n">
        <v>80</v>
      </c>
      <c r="H256" s="27" t="n">
        <f aca="false">(GX256* 5)/M256</f>
        <v>0</v>
      </c>
      <c r="I256" s="27" t="n">
        <f aca="false">G256-H256</f>
        <v>80</v>
      </c>
      <c r="J256" s="35" t="s">
        <v>646</v>
      </c>
      <c r="K256" s="31" t="n">
        <v>500000</v>
      </c>
      <c r="L256" s="31" t="n">
        <v>1080000</v>
      </c>
      <c r="M256" s="37" t="n">
        <f aca="false">(L256/G256)*5</f>
        <v>67500</v>
      </c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  <c r="DU256" s="30"/>
      <c r="DV256" s="30"/>
      <c r="DW256" s="30"/>
      <c r="DX256" s="30"/>
      <c r="DY256" s="30"/>
      <c r="DZ256" s="30"/>
      <c r="EA256" s="30"/>
      <c r="EB256" s="30"/>
      <c r="EC256" s="30"/>
      <c r="ED256" s="30"/>
      <c r="EE256" s="30"/>
      <c r="EF256" s="30"/>
      <c r="EG256" s="30"/>
      <c r="EH256" s="30"/>
      <c r="EI256" s="30"/>
      <c r="EJ256" s="30"/>
      <c r="EK256" s="30" t="s">
        <v>214</v>
      </c>
      <c r="EL256" s="30"/>
      <c r="EM256" s="30" t="s">
        <v>214</v>
      </c>
      <c r="EN256" s="30" t="s">
        <v>214</v>
      </c>
      <c r="EO256" s="30"/>
      <c r="EP256" s="30"/>
      <c r="EQ256" s="30"/>
      <c r="ER256" s="30"/>
      <c r="ES256" s="30" t="s">
        <v>214</v>
      </c>
      <c r="ET256" s="30"/>
      <c r="EU256" s="30"/>
      <c r="EV256" s="30" t="s">
        <v>214</v>
      </c>
      <c r="EW256" s="30"/>
      <c r="EX256" s="30"/>
      <c r="EY256" s="30"/>
      <c r="EZ256" s="30"/>
      <c r="FA256" s="30"/>
      <c r="FB256" s="30"/>
      <c r="FC256" s="30" t="s">
        <v>214</v>
      </c>
      <c r="FD256" s="30"/>
      <c r="FE256" s="30"/>
      <c r="FF256" s="30"/>
      <c r="FG256" s="30"/>
      <c r="FH256" s="30"/>
      <c r="FI256" s="30"/>
      <c r="FJ256" s="30"/>
      <c r="FK256" s="30"/>
      <c r="FL256" s="30" t="s">
        <v>214</v>
      </c>
      <c r="FM256" s="30"/>
      <c r="FN256" s="30"/>
      <c r="FO256" s="30"/>
      <c r="FP256" s="30"/>
      <c r="FQ256" s="30"/>
      <c r="FR256" s="30"/>
      <c r="FS256" s="30"/>
      <c r="FT256" s="30"/>
      <c r="FU256" s="30"/>
      <c r="FV256" s="30"/>
      <c r="FW256" s="30"/>
      <c r="FX256" s="30"/>
      <c r="FY256" s="30"/>
      <c r="FZ256" s="30"/>
      <c r="GA256" s="30"/>
      <c r="GB256" s="30"/>
      <c r="GC256" s="30"/>
      <c r="GD256" s="30"/>
      <c r="GE256" s="30"/>
      <c r="GF256" s="30"/>
      <c r="GG256" s="30"/>
      <c r="GH256" s="30"/>
      <c r="GI256" s="30"/>
      <c r="GJ256" s="30"/>
      <c r="GK256" s="30"/>
      <c r="GL256" s="30"/>
      <c r="GM256" s="30"/>
      <c r="GN256" s="30"/>
      <c r="GO256" s="30"/>
      <c r="GP256" s="30"/>
      <c r="GQ256" s="30"/>
      <c r="GR256" s="30"/>
      <c r="GS256" s="30"/>
      <c r="GT256" s="30"/>
      <c r="GU256" s="30"/>
      <c r="GV256" s="30"/>
      <c r="GW256" s="30"/>
      <c r="GX256" s="30" t="n">
        <f aca="false">SUM(N256:GW256)</f>
        <v>0</v>
      </c>
      <c r="GY256" s="36" t="n">
        <f aca="false">SUM(L256-GX256)</f>
        <v>1080000</v>
      </c>
      <c r="GZ256" s="32" t="n">
        <f aca="false">SUM( H256/5)</f>
        <v>0</v>
      </c>
      <c r="HA256" s="32" t="n">
        <f aca="false">SUM( I256/5)</f>
        <v>16</v>
      </c>
      <c r="HB256" s="33" t="n">
        <f aca="false">SUM(GZ256/4)</f>
        <v>0</v>
      </c>
      <c r="HC256" s="33" t="n">
        <f aca="false">SUM(HA256/4)</f>
        <v>4</v>
      </c>
    </row>
    <row r="257" customFormat="false" ht="28.5" hidden="true" customHeight="true" outlineLevel="0" collapsed="false">
      <c r="A257" s="26" t="n">
        <v>3826</v>
      </c>
      <c r="B257" s="21" t="s">
        <v>440</v>
      </c>
      <c r="C257" s="21" t="s">
        <v>441</v>
      </c>
      <c r="D257" s="34"/>
      <c r="E257" s="25" t="n">
        <v>46204</v>
      </c>
      <c r="F257" s="25" t="n">
        <f aca="false">WORKDAY(E257,G257)</f>
        <v>46484</v>
      </c>
      <c r="G257" s="26" t="n">
        <v>200</v>
      </c>
      <c r="H257" s="27" t="n">
        <f aca="false">(GX257* 5)/M257</f>
        <v>0</v>
      </c>
      <c r="I257" s="27" t="n">
        <f aca="false">G257-H257</f>
        <v>200</v>
      </c>
      <c r="J257" s="35" t="s">
        <v>442</v>
      </c>
      <c r="K257" s="31" t="n">
        <v>500000</v>
      </c>
      <c r="L257" s="31" t="n">
        <v>1560000</v>
      </c>
      <c r="M257" s="37" t="n">
        <f aca="false">(L257/G257)*5</f>
        <v>39000</v>
      </c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30"/>
      <c r="DO257" s="30"/>
      <c r="DP257" s="30"/>
      <c r="DQ257" s="30"/>
      <c r="DR257" s="30"/>
      <c r="DS257" s="30"/>
      <c r="DT257" s="30"/>
      <c r="DU257" s="30"/>
      <c r="DV257" s="30"/>
      <c r="DW257" s="30"/>
      <c r="DX257" s="30"/>
      <c r="DY257" s="30"/>
      <c r="DZ257" s="30"/>
      <c r="EA257" s="30"/>
      <c r="EB257" s="30"/>
      <c r="EC257" s="30"/>
      <c r="ED257" s="30"/>
      <c r="EE257" s="30"/>
      <c r="EF257" s="30"/>
      <c r="EG257" s="30"/>
      <c r="EH257" s="30"/>
      <c r="EI257" s="30"/>
      <c r="EJ257" s="30"/>
      <c r="EK257" s="30" t="s">
        <v>214</v>
      </c>
      <c r="EL257" s="30"/>
      <c r="EM257" s="30" t="s">
        <v>214</v>
      </c>
      <c r="EN257" s="30" t="s">
        <v>214</v>
      </c>
      <c r="EO257" s="30"/>
      <c r="EP257" s="30"/>
      <c r="EQ257" s="30"/>
      <c r="ER257" s="30"/>
      <c r="ES257" s="30" t="s">
        <v>214</v>
      </c>
      <c r="ET257" s="30"/>
      <c r="EU257" s="30"/>
      <c r="EV257" s="30" t="s">
        <v>214</v>
      </c>
      <c r="EW257" s="30"/>
      <c r="EX257" s="30"/>
      <c r="EY257" s="30"/>
      <c r="EZ257" s="30"/>
      <c r="FA257" s="30"/>
      <c r="FB257" s="30"/>
      <c r="FC257" s="30" t="s">
        <v>214</v>
      </c>
      <c r="FD257" s="30"/>
      <c r="FE257" s="30"/>
      <c r="FF257" s="30"/>
      <c r="FG257" s="30"/>
      <c r="FH257" s="30"/>
      <c r="FI257" s="30"/>
      <c r="FJ257" s="30"/>
      <c r="FK257" s="30"/>
      <c r="FL257" s="30" t="s">
        <v>214</v>
      </c>
      <c r="FM257" s="30"/>
      <c r="FN257" s="30"/>
      <c r="FO257" s="30"/>
      <c r="FP257" s="30"/>
      <c r="FQ257" s="30"/>
      <c r="FR257" s="30"/>
      <c r="FS257" s="30"/>
      <c r="FT257" s="30"/>
      <c r="FU257" s="30"/>
      <c r="FV257" s="30"/>
      <c r="FW257" s="30"/>
      <c r="FX257" s="30"/>
      <c r="FY257" s="30"/>
      <c r="FZ257" s="30"/>
      <c r="GA257" s="30"/>
      <c r="GB257" s="30"/>
      <c r="GC257" s="30"/>
      <c r="GD257" s="30"/>
      <c r="GE257" s="30"/>
      <c r="GF257" s="30"/>
      <c r="GG257" s="30"/>
      <c r="GH257" s="30"/>
      <c r="GI257" s="30"/>
      <c r="GJ257" s="30"/>
      <c r="GK257" s="30"/>
      <c r="GL257" s="30"/>
      <c r="GM257" s="30"/>
      <c r="GN257" s="30"/>
      <c r="GO257" s="30"/>
      <c r="GP257" s="30"/>
      <c r="GQ257" s="30"/>
      <c r="GR257" s="30"/>
      <c r="GS257" s="30"/>
      <c r="GT257" s="30"/>
      <c r="GU257" s="30"/>
      <c r="GV257" s="30"/>
      <c r="GW257" s="30"/>
      <c r="GX257" s="30" t="n">
        <f aca="false">SUM(N257:GW257)</f>
        <v>0</v>
      </c>
      <c r="GY257" s="36" t="n">
        <f aca="false">SUM(L257-GX257)</f>
        <v>1560000</v>
      </c>
      <c r="GZ257" s="32" t="n">
        <f aca="false">SUM( H257/5)</f>
        <v>0</v>
      </c>
      <c r="HA257" s="32" t="n">
        <f aca="false">SUM( I257/5)</f>
        <v>40</v>
      </c>
      <c r="HB257" s="33" t="n">
        <f aca="false">SUM(GZ257/4)</f>
        <v>0</v>
      </c>
      <c r="HC257" s="33" t="n">
        <f aca="false">SUM(HA257/4)</f>
        <v>10</v>
      </c>
    </row>
    <row r="258" customFormat="false" ht="28.5" hidden="true" customHeight="true" outlineLevel="0" collapsed="false">
      <c r="A258" s="26" t="n">
        <v>3827</v>
      </c>
      <c r="B258" s="21" t="s">
        <v>430</v>
      </c>
      <c r="C258" s="21" t="s">
        <v>431</v>
      </c>
      <c r="D258" s="34"/>
      <c r="E258" s="25" t="n">
        <v>46205</v>
      </c>
      <c r="F258" s="25" t="n">
        <f aca="false">WORKDAY(E258,G258)</f>
        <v>46317</v>
      </c>
      <c r="G258" s="26" t="n">
        <v>80</v>
      </c>
      <c r="H258" s="27" t="n">
        <f aca="false">(GX258* 5)/M258</f>
        <v>0</v>
      </c>
      <c r="I258" s="27" t="n">
        <f aca="false">G258-H258</f>
        <v>80</v>
      </c>
      <c r="J258" s="65" t="s">
        <v>647</v>
      </c>
      <c r="K258" s="36" t="n">
        <v>100000</v>
      </c>
      <c r="L258" s="36" t="n">
        <v>216000</v>
      </c>
      <c r="M258" s="37" t="n">
        <f aca="false">(L258/G258)*5</f>
        <v>13500</v>
      </c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30"/>
      <c r="DO258" s="30"/>
      <c r="DP258" s="30"/>
      <c r="DQ258" s="30"/>
      <c r="DR258" s="30"/>
      <c r="DS258" s="30"/>
      <c r="DT258" s="30"/>
      <c r="DU258" s="30"/>
      <c r="DV258" s="30"/>
      <c r="DW258" s="30"/>
      <c r="DX258" s="30"/>
      <c r="DY258" s="30"/>
      <c r="DZ258" s="30"/>
      <c r="EA258" s="30"/>
      <c r="EB258" s="30"/>
      <c r="EC258" s="30"/>
      <c r="ED258" s="30"/>
      <c r="EE258" s="30"/>
      <c r="EF258" s="30"/>
      <c r="EG258" s="30"/>
      <c r="EH258" s="30"/>
      <c r="EI258" s="30"/>
      <c r="EJ258" s="30"/>
      <c r="EK258" s="30" t="s">
        <v>214</v>
      </c>
      <c r="EL258" s="30"/>
      <c r="EM258" s="30" t="s">
        <v>214</v>
      </c>
      <c r="EN258" s="30" t="s">
        <v>214</v>
      </c>
      <c r="EO258" s="30"/>
      <c r="EP258" s="30"/>
      <c r="EQ258" s="30"/>
      <c r="ER258" s="30"/>
      <c r="ES258" s="30" t="s">
        <v>214</v>
      </c>
      <c r="ET258" s="30"/>
      <c r="EU258" s="30"/>
      <c r="EV258" s="30" t="s">
        <v>214</v>
      </c>
      <c r="EW258" s="30"/>
      <c r="EX258" s="30"/>
      <c r="EY258" s="30"/>
      <c r="EZ258" s="30"/>
      <c r="FA258" s="30"/>
      <c r="FB258" s="30"/>
      <c r="FC258" s="30" t="s">
        <v>214</v>
      </c>
      <c r="FD258" s="30"/>
      <c r="FE258" s="30"/>
      <c r="FF258" s="30"/>
      <c r="FG258" s="30"/>
      <c r="FH258" s="30"/>
      <c r="FI258" s="30"/>
      <c r="FJ258" s="30"/>
      <c r="FK258" s="30"/>
      <c r="FL258" s="30" t="s">
        <v>214</v>
      </c>
      <c r="FM258" s="30"/>
      <c r="FN258" s="30"/>
      <c r="FO258" s="30"/>
      <c r="FP258" s="30"/>
      <c r="FQ258" s="30"/>
      <c r="FR258" s="30"/>
      <c r="FS258" s="30"/>
      <c r="FT258" s="30"/>
      <c r="FU258" s="30"/>
      <c r="FV258" s="30"/>
      <c r="FW258" s="30"/>
      <c r="FX258" s="30"/>
      <c r="FY258" s="30"/>
      <c r="FZ258" s="30"/>
      <c r="GA258" s="30"/>
      <c r="GB258" s="30"/>
      <c r="GC258" s="30"/>
      <c r="GD258" s="30"/>
      <c r="GE258" s="30"/>
      <c r="GF258" s="30"/>
      <c r="GG258" s="30"/>
      <c r="GH258" s="30"/>
      <c r="GI258" s="30"/>
      <c r="GJ258" s="30"/>
      <c r="GK258" s="30"/>
      <c r="GL258" s="30"/>
      <c r="GM258" s="30"/>
      <c r="GN258" s="30"/>
      <c r="GO258" s="30"/>
      <c r="GP258" s="30"/>
      <c r="GQ258" s="30"/>
      <c r="GR258" s="30"/>
      <c r="GS258" s="30"/>
      <c r="GT258" s="30"/>
      <c r="GU258" s="30"/>
      <c r="GV258" s="30"/>
      <c r="GW258" s="30"/>
      <c r="GX258" s="30" t="n">
        <f aca="false">SUM(N258:GW258)</f>
        <v>0</v>
      </c>
      <c r="GY258" s="36" t="n">
        <f aca="false">SUM(L258-GX258)</f>
        <v>216000</v>
      </c>
      <c r="GZ258" s="32" t="n">
        <f aca="false">SUM( H258/5)</f>
        <v>0</v>
      </c>
      <c r="HA258" s="32" t="n">
        <f aca="false">SUM( I258/5)</f>
        <v>16</v>
      </c>
      <c r="HB258" s="33" t="n">
        <f aca="false">SUM(GZ258/4)</f>
        <v>0</v>
      </c>
      <c r="HC258" s="33" t="n">
        <f aca="false">SUM(HA258/4)</f>
        <v>4</v>
      </c>
    </row>
    <row r="259" customFormat="false" ht="28.5" hidden="true" customHeight="true" outlineLevel="0" collapsed="false">
      <c r="A259" s="78" t="n">
        <v>3828</v>
      </c>
      <c r="B259" s="21" t="s">
        <v>291</v>
      </c>
      <c r="C259" s="21" t="s">
        <v>292</v>
      </c>
      <c r="D259" s="34"/>
      <c r="E259" s="25" t="n">
        <v>46206</v>
      </c>
      <c r="F259" s="25" t="n">
        <f aca="false">WORKDAY(E259,G259)</f>
        <v>46486</v>
      </c>
      <c r="G259" s="26" t="n">
        <v>200</v>
      </c>
      <c r="H259" s="27" t="n">
        <f aca="false">(GX259* 5)/M259</f>
        <v>0</v>
      </c>
      <c r="I259" s="27" t="n">
        <f aca="false">G259-H259</f>
        <v>200</v>
      </c>
      <c r="J259" s="35" t="s">
        <v>293</v>
      </c>
      <c r="K259" s="36" t="n">
        <v>350000</v>
      </c>
      <c r="L259" s="36" t="n">
        <v>1092000</v>
      </c>
      <c r="M259" s="37" t="n">
        <f aca="false">(L259/G259)*5</f>
        <v>27300</v>
      </c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  <c r="DU259" s="30"/>
      <c r="DV259" s="30"/>
      <c r="DW259" s="30"/>
      <c r="DX259" s="30"/>
      <c r="DY259" s="30"/>
      <c r="DZ259" s="30"/>
      <c r="EA259" s="30"/>
      <c r="EB259" s="30"/>
      <c r="EC259" s="30"/>
      <c r="ED259" s="30"/>
      <c r="EE259" s="30"/>
      <c r="EF259" s="30"/>
      <c r="EG259" s="30"/>
      <c r="EH259" s="30"/>
      <c r="EI259" s="30"/>
      <c r="EJ259" s="30"/>
      <c r="EK259" s="30" t="s">
        <v>214</v>
      </c>
      <c r="EL259" s="30"/>
      <c r="EM259" s="30" t="s">
        <v>214</v>
      </c>
      <c r="EN259" s="30" t="s">
        <v>214</v>
      </c>
      <c r="EO259" s="30"/>
      <c r="EP259" s="30"/>
      <c r="EQ259" s="30"/>
      <c r="ER259" s="30"/>
      <c r="ES259" s="30" t="s">
        <v>214</v>
      </c>
      <c r="ET259" s="30"/>
      <c r="EU259" s="30"/>
      <c r="EV259" s="30" t="s">
        <v>214</v>
      </c>
      <c r="EW259" s="30"/>
      <c r="EX259" s="30"/>
      <c r="EY259" s="30"/>
      <c r="EZ259" s="30"/>
      <c r="FA259" s="30"/>
      <c r="FB259" s="30"/>
      <c r="FC259" s="30" t="s">
        <v>214</v>
      </c>
      <c r="FD259" s="30"/>
      <c r="FE259" s="30"/>
      <c r="FF259" s="30"/>
      <c r="FG259" s="30"/>
      <c r="FH259" s="30"/>
      <c r="FI259" s="30"/>
      <c r="FJ259" s="30"/>
      <c r="FK259" s="30"/>
      <c r="FL259" s="30" t="s">
        <v>214</v>
      </c>
      <c r="FM259" s="30"/>
      <c r="FN259" s="30"/>
      <c r="FO259" s="30"/>
      <c r="FP259" s="30"/>
      <c r="FQ259" s="30"/>
      <c r="FR259" s="30"/>
      <c r="FS259" s="30"/>
      <c r="FT259" s="30"/>
      <c r="FU259" s="30"/>
      <c r="FV259" s="30"/>
      <c r="FW259" s="30"/>
      <c r="FX259" s="30"/>
      <c r="FY259" s="30"/>
      <c r="FZ259" s="30"/>
      <c r="GA259" s="30"/>
      <c r="GB259" s="30"/>
      <c r="GC259" s="30"/>
      <c r="GD259" s="30"/>
      <c r="GE259" s="30"/>
      <c r="GF259" s="30"/>
      <c r="GG259" s="30"/>
      <c r="GH259" s="30"/>
      <c r="GI259" s="30"/>
      <c r="GJ259" s="30"/>
      <c r="GK259" s="30"/>
      <c r="GL259" s="30"/>
      <c r="GM259" s="30"/>
      <c r="GN259" s="30"/>
      <c r="GO259" s="30"/>
      <c r="GP259" s="30"/>
      <c r="GQ259" s="30"/>
      <c r="GR259" s="30"/>
      <c r="GS259" s="30"/>
      <c r="GT259" s="30"/>
      <c r="GU259" s="30"/>
      <c r="GV259" s="30"/>
      <c r="GW259" s="30"/>
      <c r="GX259" s="30" t="n">
        <f aca="false">SUM(N259:GW259)</f>
        <v>0</v>
      </c>
      <c r="GY259" s="36" t="n">
        <f aca="false">SUM(L259-GX259)</f>
        <v>1092000</v>
      </c>
      <c r="GZ259" s="32" t="n">
        <f aca="false">SUM( H259/5)</f>
        <v>0</v>
      </c>
      <c r="HA259" s="32" t="n">
        <f aca="false">SUM( I259/5)</f>
        <v>40</v>
      </c>
      <c r="HB259" s="33" t="n">
        <f aca="false">SUM(GZ259/4)</f>
        <v>0</v>
      </c>
      <c r="HC259" s="33" t="n">
        <f aca="false">SUM(HA259/4)</f>
        <v>10</v>
      </c>
    </row>
    <row r="260" customFormat="false" ht="28.5" hidden="true" customHeight="true" outlineLevel="0" collapsed="false">
      <c r="A260" s="78" t="n">
        <v>3829</v>
      </c>
      <c r="B260" s="34" t="s">
        <v>410</v>
      </c>
      <c r="C260" s="34" t="s">
        <v>411</v>
      </c>
      <c r="D260" s="25"/>
      <c r="E260" s="25" t="n">
        <v>46207</v>
      </c>
      <c r="F260" s="25" t="n">
        <f aca="false">WORKDAY(E260,G260)</f>
        <v>46308</v>
      </c>
      <c r="G260" s="26" t="n">
        <v>72</v>
      </c>
      <c r="H260" s="27" t="n">
        <f aca="false">(GX260* 5)/M260</f>
        <v>0</v>
      </c>
      <c r="I260" s="27" t="n">
        <f aca="false">G260-H260</f>
        <v>72</v>
      </c>
      <c r="J260" s="31" t="s">
        <v>648</v>
      </c>
      <c r="K260" s="31" t="n">
        <v>600000</v>
      </c>
      <c r="L260" s="37" t="n">
        <v>1296000</v>
      </c>
      <c r="M260" s="29" t="n">
        <f aca="false">(L260/G260)*5</f>
        <v>90000</v>
      </c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  <c r="DX260" s="30"/>
      <c r="DY260" s="30"/>
      <c r="DZ260" s="30"/>
      <c r="EA260" s="30"/>
      <c r="EB260" s="30"/>
      <c r="EC260" s="30"/>
      <c r="ED260" s="30"/>
      <c r="EE260" s="30"/>
      <c r="EF260" s="30"/>
      <c r="EG260" s="30"/>
      <c r="EH260" s="30"/>
      <c r="EI260" s="30"/>
      <c r="EJ260" s="30"/>
      <c r="EK260" s="30" t="s">
        <v>214</v>
      </c>
      <c r="EL260" s="30"/>
      <c r="EM260" s="30" t="s">
        <v>214</v>
      </c>
      <c r="EN260" s="30" t="s">
        <v>214</v>
      </c>
      <c r="EO260" s="30"/>
      <c r="EP260" s="30"/>
      <c r="EQ260" s="30"/>
      <c r="ER260" s="30"/>
      <c r="ES260" s="30" t="s">
        <v>214</v>
      </c>
      <c r="ET260" s="30"/>
      <c r="EU260" s="30"/>
      <c r="EV260" s="30" t="s">
        <v>214</v>
      </c>
      <c r="EW260" s="30"/>
      <c r="EX260" s="30"/>
      <c r="EY260" s="30"/>
      <c r="EZ260" s="30"/>
      <c r="FA260" s="30"/>
      <c r="FB260" s="30"/>
      <c r="FC260" s="30" t="s">
        <v>214</v>
      </c>
      <c r="FD260" s="30"/>
      <c r="FE260" s="30"/>
      <c r="FF260" s="30"/>
      <c r="FG260" s="30"/>
      <c r="FH260" s="30"/>
      <c r="FI260" s="30"/>
      <c r="FJ260" s="30"/>
      <c r="FK260" s="30"/>
      <c r="FL260" s="30" t="s">
        <v>214</v>
      </c>
      <c r="FM260" s="30"/>
      <c r="FN260" s="30"/>
      <c r="FO260" s="30"/>
      <c r="FP260" s="30"/>
      <c r="FQ260" s="30"/>
      <c r="FR260" s="30"/>
      <c r="FS260" s="30"/>
      <c r="FT260" s="30"/>
      <c r="FU260" s="30"/>
      <c r="FV260" s="30"/>
      <c r="FW260" s="30"/>
      <c r="FX260" s="30"/>
      <c r="FY260" s="30"/>
      <c r="FZ260" s="30"/>
      <c r="GA260" s="30"/>
      <c r="GB260" s="30"/>
      <c r="GC260" s="30"/>
      <c r="GD260" s="30"/>
      <c r="GE260" s="30"/>
      <c r="GF260" s="30"/>
      <c r="GG260" s="30"/>
      <c r="GH260" s="30"/>
      <c r="GI260" s="30"/>
      <c r="GJ260" s="30"/>
      <c r="GK260" s="30"/>
      <c r="GL260" s="30"/>
      <c r="GM260" s="30"/>
      <c r="GN260" s="30"/>
      <c r="GO260" s="30"/>
      <c r="GP260" s="30"/>
      <c r="GQ260" s="30"/>
      <c r="GR260" s="30"/>
      <c r="GS260" s="30"/>
      <c r="GT260" s="30"/>
      <c r="GU260" s="30"/>
      <c r="GV260" s="30"/>
      <c r="GW260" s="30"/>
      <c r="GX260" s="30" t="n">
        <f aca="false">SUM(N260:GW260)</f>
        <v>0</v>
      </c>
      <c r="GY260" s="36" t="n">
        <f aca="false">SUM(L260-GX260)</f>
        <v>1296000</v>
      </c>
      <c r="GZ260" s="32" t="n">
        <f aca="false">SUM( H260/5)</f>
        <v>0</v>
      </c>
      <c r="HA260" s="32" t="n">
        <f aca="false">SUM( I260/5)</f>
        <v>14.4</v>
      </c>
      <c r="HB260" s="33" t="n">
        <f aca="false">SUM(GZ260/4)</f>
        <v>0</v>
      </c>
      <c r="HC260" s="33" t="n">
        <f aca="false">SUM(HA260/4)</f>
        <v>3.6</v>
      </c>
    </row>
    <row r="261" customFormat="false" ht="28.5" hidden="true" customHeight="true" outlineLevel="0" collapsed="false">
      <c r="A261" s="78" t="n">
        <v>3830</v>
      </c>
      <c r="B261" s="21"/>
      <c r="C261" s="21"/>
      <c r="D261" s="34"/>
      <c r="E261" s="25"/>
      <c r="F261" s="25"/>
      <c r="G261" s="26"/>
      <c r="H261" s="42"/>
      <c r="I261" s="42"/>
      <c r="J261" s="22"/>
      <c r="K261" s="36"/>
      <c r="L261" s="36"/>
      <c r="M261" s="29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30"/>
      <c r="DO261" s="30"/>
      <c r="DP261" s="30"/>
      <c r="DQ261" s="30"/>
      <c r="DR261" s="30"/>
      <c r="DS261" s="30"/>
      <c r="DT261" s="30"/>
      <c r="DU261" s="30"/>
      <c r="DV261" s="30"/>
      <c r="DW261" s="30"/>
      <c r="DX261" s="30"/>
      <c r="DY261" s="30"/>
      <c r="DZ261" s="30"/>
      <c r="EA261" s="30"/>
      <c r="EB261" s="30"/>
      <c r="EC261" s="30"/>
      <c r="ED261" s="30"/>
      <c r="EE261" s="30"/>
      <c r="EF261" s="30"/>
      <c r="EG261" s="30"/>
      <c r="EH261" s="30"/>
      <c r="EI261" s="30"/>
      <c r="EJ261" s="30"/>
      <c r="EK261" s="30" t="s">
        <v>214</v>
      </c>
      <c r="EL261" s="30"/>
      <c r="EM261" s="30" t="s">
        <v>214</v>
      </c>
      <c r="EN261" s="30" t="s">
        <v>214</v>
      </c>
      <c r="EO261" s="30"/>
      <c r="EP261" s="30"/>
      <c r="EQ261" s="30"/>
      <c r="ER261" s="30"/>
      <c r="ES261" s="30" t="s">
        <v>214</v>
      </c>
      <c r="ET261" s="30"/>
      <c r="EU261" s="30"/>
      <c r="EV261" s="30" t="s">
        <v>214</v>
      </c>
      <c r="EW261" s="30"/>
      <c r="EX261" s="30"/>
      <c r="EY261" s="30"/>
      <c r="EZ261" s="30"/>
      <c r="FA261" s="30"/>
      <c r="FB261" s="30"/>
      <c r="FC261" s="30" t="s">
        <v>214</v>
      </c>
      <c r="FD261" s="30"/>
      <c r="FE261" s="30"/>
      <c r="FF261" s="30"/>
      <c r="FG261" s="30"/>
      <c r="FH261" s="30"/>
      <c r="FI261" s="30"/>
      <c r="FJ261" s="30"/>
      <c r="FK261" s="30"/>
      <c r="FL261" s="30" t="s">
        <v>214</v>
      </c>
      <c r="FM261" s="30"/>
      <c r="FN261" s="30"/>
      <c r="FO261" s="30"/>
      <c r="FP261" s="30"/>
      <c r="FQ261" s="30"/>
      <c r="FR261" s="30"/>
      <c r="FS261" s="30"/>
      <c r="FT261" s="30"/>
      <c r="FU261" s="30"/>
      <c r="FV261" s="30"/>
      <c r="FW261" s="30"/>
      <c r="FX261" s="30"/>
      <c r="FY261" s="30"/>
      <c r="FZ261" s="30"/>
      <c r="GA261" s="30"/>
      <c r="GB261" s="30"/>
      <c r="GC261" s="30"/>
      <c r="GD261" s="30"/>
      <c r="GE261" s="30"/>
      <c r="GF261" s="30"/>
      <c r="GG261" s="30"/>
      <c r="GH261" s="30"/>
      <c r="GI261" s="30"/>
      <c r="GJ261" s="30"/>
      <c r="GK261" s="30"/>
      <c r="GL261" s="30"/>
      <c r="GM261" s="30"/>
      <c r="GN261" s="30"/>
      <c r="GO261" s="30"/>
      <c r="GP261" s="30"/>
      <c r="GQ261" s="30"/>
      <c r="GR261" s="30"/>
      <c r="GS261" s="30"/>
      <c r="GT261" s="30"/>
      <c r="GU261" s="30"/>
      <c r="GV261" s="30"/>
      <c r="GW261" s="30"/>
      <c r="GX261" s="30" t="n">
        <f aca="false">SUM(N261:GW261)</f>
        <v>0</v>
      </c>
      <c r="GY261" s="36" t="n">
        <f aca="false">SUM(L261-GX261)</f>
        <v>0</v>
      </c>
      <c r="GZ261" s="32" t="n">
        <f aca="false">SUM( H261/5)</f>
        <v>0</v>
      </c>
      <c r="HA261" s="32" t="n">
        <f aca="false">SUM( I261/5)</f>
        <v>0</v>
      </c>
      <c r="HB261" s="33" t="n">
        <f aca="false">SUM(GZ261/4)</f>
        <v>0</v>
      </c>
      <c r="HC261" s="33" t="n">
        <f aca="false">SUM(HA261/4)</f>
        <v>0</v>
      </c>
    </row>
    <row r="262" customFormat="false" ht="28.5" hidden="true" customHeight="true" outlineLevel="0" collapsed="false">
      <c r="A262" s="78" t="n">
        <v>3831</v>
      </c>
      <c r="B262" s="21"/>
      <c r="C262" s="21"/>
      <c r="D262" s="34"/>
      <c r="E262" s="25"/>
      <c r="F262" s="25"/>
      <c r="G262" s="26"/>
      <c r="H262" s="42"/>
      <c r="I262" s="42"/>
      <c r="J262" s="22"/>
      <c r="K262" s="36"/>
      <c r="L262" s="36"/>
      <c r="M262" s="29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/>
      <c r="DW262" s="30"/>
      <c r="DX262" s="30"/>
      <c r="DY262" s="30"/>
      <c r="DZ262" s="30"/>
      <c r="EA262" s="30"/>
      <c r="EB262" s="30"/>
      <c r="EC262" s="30"/>
      <c r="ED262" s="30"/>
      <c r="EE262" s="30"/>
      <c r="EF262" s="30"/>
      <c r="EG262" s="30"/>
      <c r="EH262" s="30"/>
      <c r="EI262" s="30"/>
      <c r="EJ262" s="30"/>
      <c r="EK262" s="30" t="s">
        <v>214</v>
      </c>
      <c r="EL262" s="30"/>
      <c r="EM262" s="30" t="s">
        <v>214</v>
      </c>
      <c r="EN262" s="30" t="s">
        <v>214</v>
      </c>
      <c r="EO262" s="30"/>
      <c r="EP262" s="30"/>
      <c r="EQ262" s="30"/>
      <c r="ER262" s="30"/>
      <c r="ES262" s="30" t="s">
        <v>214</v>
      </c>
      <c r="ET262" s="30"/>
      <c r="EU262" s="30"/>
      <c r="EV262" s="30" t="s">
        <v>214</v>
      </c>
      <c r="EW262" s="30"/>
      <c r="EX262" s="30"/>
      <c r="EY262" s="30"/>
      <c r="EZ262" s="30"/>
      <c r="FA262" s="30"/>
      <c r="FB262" s="30"/>
      <c r="FC262" s="30" t="s">
        <v>214</v>
      </c>
      <c r="FD262" s="30"/>
      <c r="FE262" s="30"/>
      <c r="FF262" s="30"/>
      <c r="FG262" s="30"/>
      <c r="FH262" s="30"/>
      <c r="FI262" s="30"/>
      <c r="FJ262" s="30"/>
      <c r="FK262" s="30"/>
      <c r="FL262" s="30" t="s">
        <v>214</v>
      </c>
      <c r="FM262" s="30"/>
      <c r="FN262" s="30"/>
      <c r="FO262" s="30"/>
      <c r="FP262" s="30"/>
      <c r="FQ262" s="30"/>
      <c r="FR262" s="30"/>
      <c r="FS262" s="30"/>
      <c r="FT262" s="30"/>
      <c r="FU262" s="30"/>
      <c r="FV262" s="30"/>
      <c r="FW262" s="30"/>
      <c r="FX262" s="30"/>
      <c r="FY262" s="30"/>
      <c r="FZ262" s="30"/>
      <c r="GA262" s="30"/>
      <c r="GB262" s="30"/>
      <c r="GC262" s="30"/>
      <c r="GD262" s="30"/>
      <c r="GE262" s="30"/>
      <c r="GF262" s="30"/>
      <c r="GG262" s="30"/>
      <c r="GH262" s="30"/>
      <c r="GI262" s="30"/>
      <c r="GJ262" s="30"/>
      <c r="GK262" s="30"/>
      <c r="GL262" s="30"/>
      <c r="GM262" s="30"/>
      <c r="GN262" s="30"/>
      <c r="GO262" s="30"/>
      <c r="GP262" s="30"/>
      <c r="GQ262" s="30"/>
      <c r="GR262" s="30"/>
      <c r="GS262" s="30"/>
      <c r="GT262" s="30"/>
      <c r="GU262" s="30"/>
      <c r="GV262" s="30"/>
      <c r="GW262" s="30"/>
      <c r="GX262" s="30" t="n">
        <f aca="false">SUM(N262:GW262)</f>
        <v>0</v>
      </c>
      <c r="GY262" s="36" t="n">
        <f aca="false">SUM(L262-GX262)</f>
        <v>0</v>
      </c>
      <c r="GZ262" s="32" t="n">
        <f aca="false">SUM( H262/5)</f>
        <v>0</v>
      </c>
      <c r="HA262" s="32" t="n">
        <f aca="false">SUM( I262/5)</f>
        <v>0</v>
      </c>
      <c r="HB262" s="33" t="n">
        <f aca="false">SUM(GZ262/4)</f>
        <v>0</v>
      </c>
      <c r="HC262" s="33" t="n">
        <f aca="false">SUM(HA262/4)</f>
        <v>0</v>
      </c>
    </row>
    <row r="263" customFormat="false" ht="28.5" hidden="true" customHeight="true" outlineLevel="0" collapsed="false">
      <c r="A263" s="78" t="n">
        <v>3832</v>
      </c>
      <c r="B263" s="21"/>
      <c r="C263" s="21"/>
      <c r="D263" s="34"/>
      <c r="E263" s="25"/>
      <c r="F263" s="25"/>
      <c r="G263" s="26"/>
      <c r="H263" s="42"/>
      <c r="I263" s="42"/>
      <c r="J263" s="22"/>
      <c r="K263" s="36"/>
      <c r="L263" s="36"/>
      <c r="M263" s="29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0"/>
      <c r="DO263" s="30"/>
      <c r="DP263" s="30"/>
      <c r="DQ263" s="30"/>
      <c r="DR263" s="30"/>
      <c r="DS263" s="30"/>
      <c r="DT263" s="30"/>
      <c r="DU263" s="30"/>
      <c r="DV263" s="30"/>
      <c r="DW263" s="30"/>
      <c r="DX263" s="30"/>
      <c r="DY263" s="30"/>
      <c r="DZ263" s="30"/>
      <c r="EA263" s="30"/>
      <c r="EB263" s="30"/>
      <c r="EC263" s="30"/>
      <c r="ED263" s="30"/>
      <c r="EE263" s="30"/>
      <c r="EF263" s="30"/>
      <c r="EG263" s="30"/>
      <c r="EH263" s="30"/>
      <c r="EI263" s="30"/>
      <c r="EJ263" s="30"/>
      <c r="EK263" s="30" t="s">
        <v>214</v>
      </c>
      <c r="EL263" s="30"/>
      <c r="EM263" s="30" t="s">
        <v>214</v>
      </c>
      <c r="EN263" s="30" t="s">
        <v>214</v>
      </c>
      <c r="EO263" s="30"/>
      <c r="EP263" s="30"/>
      <c r="EQ263" s="30"/>
      <c r="ER263" s="30"/>
      <c r="ES263" s="30" t="s">
        <v>214</v>
      </c>
      <c r="ET263" s="30"/>
      <c r="EU263" s="30"/>
      <c r="EV263" s="30" t="s">
        <v>214</v>
      </c>
      <c r="EW263" s="30"/>
      <c r="EX263" s="30"/>
      <c r="EY263" s="30"/>
      <c r="EZ263" s="30"/>
      <c r="FA263" s="30"/>
      <c r="FB263" s="30"/>
      <c r="FC263" s="30" t="s">
        <v>214</v>
      </c>
      <c r="FD263" s="30"/>
      <c r="FE263" s="30"/>
      <c r="FF263" s="30"/>
      <c r="FG263" s="30"/>
      <c r="FH263" s="30"/>
      <c r="FI263" s="30"/>
      <c r="FJ263" s="30"/>
      <c r="FK263" s="30"/>
      <c r="FL263" s="30" t="s">
        <v>214</v>
      </c>
      <c r="FM263" s="30"/>
      <c r="FN263" s="30"/>
      <c r="FO263" s="30"/>
      <c r="FP263" s="30"/>
      <c r="FQ263" s="30"/>
      <c r="FR263" s="30"/>
      <c r="FS263" s="30"/>
      <c r="FT263" s="30"/>
      <c r="FU263" s="30"/>
      <c r="FV263" s="30"/>
      <c r="FW263" s="30"/>
      <c r="FX263" s="30"/>
      <c r="FY263" s="30"/>
      <c r="FZ263" s="30"/>
      <c r="GA263" s="30"/>
      <c r="GB263" s="30"/>
      <c r="GC263" s="30"/>
      <c r="GD263" s="30"/>
      <c r="GE263" s="30"/>
      <c r="GF263" s="30"/>
      <c r="GG263" s="30"/>
      <c r="GH263" s="30"/>
      <c r="GI263" s="30"/>
      <c r="GJ263" s="30"/>
      <c r="GK263" s="30"/>
      <c r="GL263" s="30"/>
      <c r="GM263" s="30"/>
      <c r="GN263" s="30"/>
      <c r="GO263" s="30"/>
      <c r="GP263" s="30"/>
      <c r="GQ263" s="30"/>
      <c r="GR263" s="30"/>
      <c r="GS263" s="30"/>
      <c r="GT263" s="30"/>
      <c r="GU263" s="30"/>
      <c r="GV263" s="30"/>
      <c r="GW263" s="30"/>
      <c r="GX263" s="30" t="n">
        <f aca="false">SUM(N263:GW263)</f>
        <v>0</v>
      </c>
      <c r="GY263" s="36" t="n">
        <f aca="false">SUM(L263-GX263)</f>
        <v>0</v>
      </c>
      <c r="GZ263" s="32" t="n">
        <f aca="false">SUM( H263/5)</f>
        <v>0</v>
      </c>
      <c r="HA263" s="32" t="n">
        <f aca="false">SUM( I263/5)</f>
        <v>0</v>
      </c>
      <c r="HB263" s="33" t="n">
        <f aca="false">SUM(GZ263/4)</f>
        <v>0</v>
      </c>
      <c r="HC263" s="33" t="n">
        <f aca="false">SUM(HA263/4)</f>
        <v>0</v>
      </c>
    </row>
    <row r="264" customFormat="false" ht="28.5" hidden="true" customHeight="true" outlineLevel="0" collapsed="false">
      <c r="A264" s="26"/>
      <c r="B264" s="21"/>
      <c r="C264" s="21"/>
      <c r="D264" s="34"/>
      <c r="E264" s="25"/>
      <c r="F264" s="25"/>
      <c r="G264" s="26"/>
      <c r="H264" s="42"/>
      <c r="I264" s="42"/>
      <c r="J264" s="22"/>
      <c r="K264" s="36"/>
      <c r="L264" s="36"/>
      <c r="M264" s="29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  <c r="DX264" s="30"/>
      <c r="DY264" s="30"/>
      <c r="DZ264" s="30"/>
      <c r="EA264" s="30"/>
      <c r="EB264" s="30"/>
      <c r="EC264" s="30"/>
      <c r="ED264" s="30"/>
      <c r="EE264" s="30"/>
      <c r="EF264" s="30"/>
      <c r="EG264" s="30"/>
      <c r="EH264" s="30"/>
      <c r="EI264" s="30"/>
      <c r="EJ264" s="30"/>
      <c r="EK264" s="30" t="s">
        <v>214</v>
      </c>
      <c r="EL264" s="30"/>
      <c r="EM264" s="30" t="s">
        <v>214</v>
      </c>
      <c r="EN264" s="30" t="s">
        <v>214</v>
      </c>
      <c r="EO264" s="30"/>
      <c r="EP264" s="30"/>
      <c r="EQ264" s="30"/>
      <c r="ER264" s="30"/>
      <c r="ES264" s="30" t="s">
        <v>214</v>
      </c>
      <c r="ET264" s="30"/>
      <c r="EU264" s="30"/>
      <c r="EV264" s="30" t="s">
        <v>214</v>
      </c>
      <c r="EW264" s="30"/>
      <c r="EX264" s="30"/>
      <c r="EY264" s="30"/>
      <c r="EZ264" s="30"/>
      <c r="FA264" s="30"/>
      <c r="FB264" s="30"/>
      <c r="FC264" s="30" t="s">
        <v>214</v>
      </c>
      <c r="FD264" s="30"/>
      <c r="FE264" s="30"/>
      <c r="FF264" s="30"/>
      <c r="FG264" s="30"/>
      <c r="FH264" s="30"/>
      <c r="FI264" s="30"/>
      <c r="FJ264" s="30"/>
      <c r="FK264" s="30"/>
      <c r="FL264" s="30" t="s">
        <v>214</v>
      </c>
      <c r="FM264" s="30"/>
      <c r="FN264" s="30"/>
      <c r="FO264" s="30"/>
      <c r="FP264" s="30"/>
      <c r="FQ264" s="30"/>
      <c r="FR264" s="30"/>
      <c r="FS264" s="30"/>
      <c r="FT264" s="30"/>
      <c r="FU264" s="30"/>
      <c r="FV264" s="30"/>
      <c r="FW264" s="30"/>
      <c r="FX264" s="30"/>
      <c r="FY264" s="30"/>
      <c r="FZ264" s="30"/>
      <c r="GA264" s="30"/>
      <c r="GB264" s="30"/>
      <c r="GC264" s="30"/>
      <c r="GD264" s="30"/>
      <c r="GE264" s="30"/>
      <c r="GF264" s="30"/>
      <c r="GG264" s="30"/>
      <c r="GH264" s="30"/>
      <c r="GI264" s="30"/>
      <c r="GJ264" s="30"/>
      <c r="GK264" s="30"/>
      <c r="GL264" s="30"/>
      <c r="GM264" s="30"/>
      <c r="GN264" s="30"/>
      <c r="GO264" s="30"/>
      <c r="GP264" s="30"/>
      <c r="GQ264" s="30"/>
      <c r="GR264" s="30"/>
      <c r="GS264" s="30"/>
      <c r="GT264" s="30"/>
      <c r="GU264" s="30"/>
      <c r="GV264" s="30"/>
      <c r="GW264" s="30"/>
      <c r="GX264" s="30" t="n">
        <f aca="false">SUM(N264:GW264)</f>
        <v>0</v>
      </c>
      <c r="GY264" s="36" t="n">
        <f aca="false">SUM(L264-GX264)</f>
        <v>0</v>
      </c>
      <c r="GZ264" s="32" t="n">
        <f aca="false">SUM( H264/5)</f>
        <v>0</v>
      </c>
      <c r="HA264" s="32" t="n">
        <f aca="false">SUM( I264/5)</f>
        <v>0</v>
      </c>
      <c r="HB264" s="33" t="n">
        <f aca="false">SUM(GZ264/4)</f>
        <v>0</v>
      </c>
      <c r="HC264" s="33" t="n">
        <f aca="false">SUM(HA264/4)</f>
        <v>0</v>
      </c>
    </row>
    <row r="265" s="3" customFormat="true" ht="28.5" hidden="true" customHeight="true" outlineLevel="0" collapsed="false">
      <c r="A265" s="79"/>
      <c r="B265" s="80"/>
      <c r="C265" s="81" t="s">
        <v>214</v>
      </c>
      <c r="D265" s="82"/>
      <c r="E265" s="83"/>
      <c r="F265" s="84"/>
      <c r="G265" s="84"/>
      <c r="H265" s="85"/>
      <c r="I265" s="85"/>
      <c r="J265" s="86"/>
      <c r="K265" s="87" t="n">
        <f aca="false">SUM(K2:K264)</f>
        <v>97698100</v>
      </c>
      <c r="L265" s="87" t="n">
        <f aca="false">SUM(L2:L264)</f>
        <v>253365175</v>
      </c>
      <c r="M265" s="87" t="n">
        <f aca="false">SUM(M2:M264)</f>
        <v>8799441.77308802</v>
      </c>
      <c r="N265" s="87" t="n">
        <f aca="false">SUM(N2:N264)</f>
        <v>0</v>
      </c>
      <c r="O265" s="87" t="n">
        <f aca="false">SUM(O2:O264)</f>
        <v>0</v>
      </c>
      <c r="P265" s="87" t="n">
        <f aca="false">SUM(P2:P264)</f>
        <v>0</v>
      </c>
      <c r="Q265" s="87" t="n">
        <f aca="false">SUM(Q2:Q264)</f>
        <v>0</v>
      </c>
      <c r="R265" s="87" t="n">
        <f aca="false">SUM(R2:R264)</f>
        <v>0</v>
      </c>
      <c r="S265" s="87" t="n">
        <f aca="false">SUM(S2:S264)</f>
        <v>0</v>
      </c>
      <c r="T265" s="87" t="n">
        <f aca="false">SUM(T2:T264)</f>
        <v>0</v>
      </c>
      <c r="U265" s="87" t="n">
        <f aca="false">SUM(U2:U264)</f>
        <v>0</v>
      </c>
      <c r="V265" s="87" t="n">
        <f aca="false">SUM(V2:V264)</f>
        <v>0</v>
      </c>
      <c r="W265" s="87" t="n">
        <f aca="false">SUM(W2:W264)</f>
        <v>0</v>
      </c>
      <c r="X265" s="87" t="n">
        <f aca="false">SUM(X2:X264)</f>
        <v>0</v>
      </c>
      <c r="Y265" s="87" t="n">
        <f aca="false">SUM(Y2:Y264)</f>
        <v>0</v>
      </c>
      <c r="Z265" s="87" t="n">
        <f aca="false">SUM(Z2:Z264)</f>
        <v>0</v>
      </c>
      <c r="AA265" s="87" t="n">
        <f aca="false">SUM(AA2:AA264)</f>
        <v>14290</v>
      </c>
      <c r="AB265" s="87" t="n">
        <f aca="false">SUM(AB2:AB264)</f>
        <v>0</v>
      </c>
      <c r="AC265" s="87" t="n">
        <f aca="false">SUM(AC2:AC264)</f>
        <v>0</v>
      </c>
      <c r="AD265" s="87" t="n">
        <f aca="false">SUM(AD2:AD264)</f>
        <v>0</v>
      </c>
      <c r="AE265" s="87" t="n">
        <f aca="false">SUM(AE2:AE264)</f>
        <v>0</v>
      </c>
      <c r="AF265" s="87" t="n">
        <f aca="false">SUM(AF2:AF264)</f>
        <v>0</v>
      </c>
      <c r="AG265" s="87" t="n">
        <f aca="false">SUM(AG2:AG264)</f>
        <v>0</v>
      </c>
      <c r="AH265" s="87" t="n">
        <f aca="false">SUM(AH2:AH264)</f>
        <v>0</v>
      </c>
      <c r="AI265" s="87" t="n">
        <f aca="false">SUM(AI2:AI264)</f>
        <v>30640</v>
      </c>
      <c r="AJ265" s="87" t="n">
        <f aca="false">SUM(AJ2:AJ264)</f>
        <v>0</v>
      </c>
      <c r="AK265" s="87" t="n">
        <f aca="false">SUM(AK2:AK264)</f>
        <v>0</v>
      </c>
      <c r="AL265" s="87" t="n">
        <f aca="false">SUM(AL2:AL264)</f>
        <v>0</v>
      </c>
      <c r="AM265" s="87" t="n">
        <f aca="false">SUM(AM2:AM264)</f>
        <v>39440</v>
      </c>
      <c r="AN265" s="87" t="n">
        <f aca="false">SUM(AN2:AN264)</f>
        <v>0</v>
      </c>
      <c r="AO265" s="87" t="n">
        <f aca="false">SUM(AO2:AO264)</f>
        <v>0</v>
      </c>
      <c r="AP265" s="87" t="n">
        <f aca="false">SUM(AP2:AP264)</f>
        <v>0</v>
      </c>
      <c r="AQ265" s="87" t="n">
        <f aca="false">SUM(AQ2:AQ264)</f>
        <v>0</v>
      </c>
      <c r="AR265" s="87" t="n">
        <f aca="false">SUM(AR2:AR264)</f>
        <v>39440</v>
      </c>
      <c r="AS265" s="87" t="n">
        <f aca="false">SUM(AS2:AS264)</f>
        <v>0</v>
      </c>
      <c r="AT265" s="87" t="n">
        <f aca="false">SUM(AT2:AT264)</f>
        <v>0</v>
      </c>
      <c r="AU265" s="87" t="n">
        <f aca="false">SUM(AU2:AU264)</f>
        <v>0</v>
      </c>
      <c r="AV265" s="87" t="n">
        <f aca="false">SUM(AV2:AV264)</f>
        <v>0</v>
      </c>
      <c r="AW265" s="87" t="n">
        <f aca="false">SUM(AW2:AW264)</f>
        <v>0</v>
      </c>
      <c r="AX265" s="87" t="n">
        <f aca="false">SUM(AX2:AX264)</f>
        <v>0</v>
      </c>
      <c r="AY265" s="87" t="n">
        <f aca="false">SUM(AY2:AY264)</f>
        <v>0</v>
      </c>
      <c r="AZ265" s="87" t="n">
        <f aca="false">SUM(AZ2:AZ264)</f>
        <v>0</v>
      </c>
      <c r="BA265" s="87" t="n">
        <f aca="false">SUM(BA2:BA264)</f>
        <v>0</v>
      </c>
      <c r="BB265" s="87" t="n">
        <f aca="false">SUM(BB2:BB264)</f>
        <v>0</v>
      </c>
      <c r="BC265" s="87" t="n">
        <f aca="false">SUM(BC2:BC264)</f>
        <v>0</v>
      </c>
      <c r="BD265" s="87" t="n">
        <f aca="false">SUM(BD2:BD264)</f>
        <v>0</v>
      </c>
      <c r="BE265" s="87" t="n">
        <f aca="false">SUM(BE2:BE264)</f>
        <v>39440</v>
      </c>
      <c r="BF265" s="87" t="n">
        <f aca="false">SUM(BF2:BF264)</f>
        <v>0</v>
      </c>
      <c r="BG265" s="87" t="n">
        <f aca="false">SUM(BG2:BG264)</f>
        <v>0</v>
      </c>
      <c r="BH265" s="87" t="n">
        <f aca="false">SUM(BH2:BH264)</f>
        <v>0</v>
      </c>
      <c r="BI265" s="87" t="n">
        <f aca="false">SUM(BI2:BI264)</f>
        <v>39440</v>
      </c>
      <c r="BJ265" s="87" t="n">
        <f aca="false">SUM(BJ2:BJ264)</f>
        <v>0</v>
      </c>
      <c r="BK265" s="87" t="n">
        <f aca="false">SUM(BK2:BK264)</f>
        <v>0</v>
      </c>
      <c r="BL265" s="87" t="n">
        <f aca="false">SUM(BL2:BL264)</f>
        <v>0</v>
      </c>
      <c r="BM265" s="87" t="n">
        <f aca="false">SUM(BM2:BM264)</f>
        <v>50000</v>
      </c>
      <c r="BN265" s="87" t="n">
        <f aca="false">SUM(BN2:BN264)</f>
        <v>39440</v>
      </c>
      <c r="BO265" s="87" t="n">
        <f aca="false">SUM(BO2:BO264)</f>
        <v>0</v>
      </c>
      <c r="BP265" s="87" t="n">
        <f aca="false">SUM(BP2:BP264)</f>
        <v>0</v>
      </c>
      <c r="BQ265" s="87" t="n">
        <f aca="false">SUM(BQ2:BQ264)</f>
        <v>0</v>
      </c>
      <c r="BR265" s="87" t="n">
        <f aca="false">SUM(BR2:BR264)</f>
        <v>0</v>
      </c>
      <c r="BS265" s="87" t="n">
        <f aca="false">SUM(BS2:BS264)</f>
        <v>0</v>
      </c>
      <c r="BT265" s="87" t="n">
        <f aca="false">SUM(BT2:BT264)</f>
        <v>0</v>
      </c>
      <c r="BU265" s="87" t="n">
        <f aca="false">SUM(BU2:BU264)</f>
        <v>0</v>
      </c>
      <c r="BV265" s="87" t="n">
        <f aca="false">SUM(BV2:BV264)</f>
        <v>0</v>
      </c>
      <c r="BW265" s="87" t="n">
        <f aca="false">SUM(BW2:BW264)</f>
        <v>0</v>
      </c>
      <c r="BX265" s="87" t="n">
        <f aca="false">SUM(BX2:BX264)</f>
        <v>0</v>
      </c>
      <c r="BY265" s="87" t="n">
        <f aca="false">SUM(BY2:BY264)</f>
        <v>0</v>
      </c>
      <c r="BZ265" s="87" t="n">
        <f aca="false">SUM(BZ2:BZ264)</f>
        <v>0</v>
      </c>
      <c r="CA265" s="87" t="n">
        <f aca="false">SUM(CA2:CA264)</f>
        <v>0</v>
      </c>
      <c r="CB265" s="87" t="n">
        <f aca="false">SUM(CB2:CB264)</f>
        <v>54500</v>
      </c>
      <c r="CC265" s="87" t="n">
        <f aca="false">SUM(CC2:CC264)</f>
        <v>0</v>
      </c>
      <c r="CD265" s="87" t="n">
        <f aca="false">SUM(CD2:CD264)</f>
        <v>0</v>
      </c>
      <c r="CE265" s="87" t="n">
        <f aca="false">SUM(CE2:CE264)</f>
        <v>0</v>
      </c>
      <c r="CF265" s="87" t="n">
        <f aca="false">SUM(CF2:CF264)</f>
        <v>91500</v>
      </c>
      <c r="CG265" s="87" t="n">
        <f aca="false">SUM(CG2:CG264)</f>
        <v>37500</v>
      </c>
      <c r="CH265" s="87" t="n">
        <f aca="false">SUM(CH2:CH264)</f>
        <v>0</v>
      </c>
      <c r="CI265" s="87" t="n">
        <f aca="false">SUM(CI2:CI264)</f>
        <v>0</v>
      </c>
      <c r="CJ265" s="87" t="n">
        <f aca="false">SUM(CJ2:CJ264)</f>
        <v>0</v>
      </c>
      <c r="CK265" s="87" t="n">
        <f aca="false">SUM(CK2:CK264)</f>
        <v>0</v>
      </c>
      <c r="CL265" s="87" t="n">
        <f aca="false">SUM(CL2:CL264)</f>
        <v>0</v>
      </c>
      <c r="CM265" s="87" t="n">
        <f aca="false">SUM(CM2:CM264)</f>
        <v>0</v>
      </c>
      <c r="CN265" s="87" t="n">
        <f aca="false">SUM(CN2:CN264)</f>
        <v>0</v>
      </c>
      <c r="CO265" s="87" t="n">
        <f aca="false">SUM(CO2:CO264)</f>
        <v>0</v>
      </c>
      <c r="CP265" s="87" t="n">
        <f aca="false">SUM(CP2:CP264)</f>
        <v>30000</v>
      </c>
      <c r="CQ265" s="87" t="n">
        <f aca="false">SUM(CQ2:CQ264)</f>
        <v>0</v>
      </c>
      <c r="CR265" s="87" t="n">
        <f aca="false">SUM(CR2:CR264)</f>
        <v>30000</v>
      </c>
      <c r="CS265" s="87" t="n">
        <f aca="false">SUM(CS2:CS264)</f>
        <v>30000</v>
      </c>
      <c r="CT265" s="87" t="n">
        <f aca="false">SUM(CT2:CT264)</f>
        <v>0</v>
      </c>
      <c r="CU265" s="87" t="n">
        <f aca="false">SUM(CU2:CU264)</f>
        <v>0</v>
      </c>
      <c r="CV265" s="87" t="n">
        <f aca="false">SUM(CV2:CV264)</f>
        <v>0</v>
      </c>
      <c r="CW265" s="87" t="n">
        <f aca="false">SUM(CW2:CW264)</f>
        <v>30000</v>
      </c>
      <c r="CX265" s="87" t="n">
        <f aca="false">SUM(CX2:CX264)</f>
        <v>100000</v>
      </c>
      <c r="CY265" s="87" t="n">
        <f aca="false">SUM(CY2:CY264)</f>
        <v>0</v>
      </c>
      <c r="CZ265" s="87" t="n">
        <f aca="false">SUM(CZ2:CZ264)</f>
        <v>47000</v>
      </c>
      <c r="DA265" s="87" t="n">
        <f aca="false">SUM(DA2:DA264)</f>
        <v>40500</v>
      </c>
      <c r="DB265" s="87" t="n">
        <f aca="false">SUM(DB2:DB264)</f>
        <v>19000</v>
      </c>
      <c r="DC265" s="87" t="n">
        <f aca="false">SUM(DC2:DC264)</f>
        <v>0</v>
      </c>
      <c r="DD265" s="87" t="n">
        <f aca="false">SUM(DD2:DD264)</f>
        <v>20000</v>
      </c>
      <c r="DE265" s="87" t="n">
        <f aca="false">SUM(DE2:DE264)</f>
        <v>0</v>
      </c>
      <c r="DF265" s="87" t="n">
        <f aca="false">SUM(DF2:DF264)</f>
        <v>0</v>
      </c>
      <c r="DG265" s="87" t="n">
        <f aca="false">SUM(DG2:DG264)</f>
        <v>0</v>
      </c>
      <c r="DH265" s="87" t="n">
        <f aca="false">SUM(DH2:DH264)</f>
        <v>90000</v>
      </c>
      <c r="DI265" s="87" t="n">
        <f aca="false">SUM(DI2:DI264)</f>
        <v>30000</v>
      </c>
      <c r="DJ265" s="87" t="n">
        <f aca="false">SUM(DJ2:DJ264)</f>
        <v>0</v>
      </c>
      <c r="DK265" s="87" t="n">
        <f aca="false">SUM(DK2:DK264)</f>
        <v>0</v>
      </c>
      <c r="DL265" s="87" t="n">
        <f aca="false">SUM(DL2:DL264)</f>
        <v>34000</v>
      </c>
      <c r="DM265" s="87" t="n">
        <f aca="false">SUM(DM2:DM264)</f>
        <v>90000</v>
      </c>
      <c r="DN265" s="87" t="n">
        <f aca="false">SUM(DN2:DN264)</f>
        <v>68000</v>
      </c>
      <c r="DO265" s="87" t="n">
        <f aca="false">SUM(DO2:DO264)</f>
        <v>883000</v>
      </c>
      <c r="DP265" s="87" t="n">
        <f aca="false">SUM(DP2:DP264)</f>
        <v>0</v>
      </c>
      <c r="DQ265" s="87" t="n">
        <f aca="false">SUM(DQ2:DQ264)</f>
        <v>255000</v>
      </c>
      <c r="DR265" s="87" t="n">
        <f aca="false">SUM(DR2:DR264)</f>
        <v>145000</v>
      </c>
      <c r="DS265" s="87" t="n">
        <f aca="false">SUM(DS2:DS264)</f>
        <v>117800</v>
      </c>
      <c r="DT265" s="87" t="n">
        <f aca="false">SUM(DT2:DT264)</f>
        <v>750000</v>
      </c>
      <c r="DU265" s="87" t="n">
        <f aca="false">SUM(DU2:DU264)</f>
        <v>97000</v>
      </c>
      <c r="DV265" s="87" t="n">
        <f aca="false">SUM(DV2:DV264)</f>
        <v>191800</v>
      </c>
      <c r="DW265" s="87" t="n">
        <f aca="false">SUM(DW2:DW264)</f>
        <v>60000</v>
      </c>
      <c r="DX265" s="87" t="n">
        <f aca="false">SUM(DX2:DX264)</f>
        <v>128800</v>
      </c>
      <c r="DY265" s="87" t="n">
        <f aca="false">SUM(DY2:DY264)</f>
        <v>770000</v>
      </c>
      <c r="DZ265" s="87" t="n">
        <f aca="false">SUM(DZ2:DZ264)</f>
        <v>136800</v>
      </c>
      <c r="EA265" s="87" t="n">
        <f aca="false">SUM(EA2:EA264)</f>
        <v>141000</v>
      </c>
      <c r="EB265" s="87" t="n">
        <f aca="false">SUM(EB2:EB264)</f>
        <v>36000</v>
      </c>
      <c r="EC265" s="87" t="n">
        <f aca="false">SUM(EC2:EC264)</f>
        <v>13000</v>
      </c>
      <c r="ED265" s="87" t="n">
        <f aca="false">SUM(ED2:ED264)</f>
        <v>347000</v>
      </c>
      <c r="EE265" s="87" t="n">
        <f aca="false">SUM(EE2:EE264)</f>
        <v>216000</v>
      </c>
      <c r="EF265" s="87" t="n">
        <f aca="false">SUM(EF2:EF264)</f>
        <v>31600</v>
      </c>
      <c r="EG265" s="87" t="n">
        <f aca="false">SUM(EG2:EG264)</f>
        <v>99000</v>
      </c>
      <c r="EH265" s="87" t="n">
        <f aca="false">SUM(EH2:EH264)</f>
        <v>56750</v>
      </c>
      <c r="EI265" s="87" t="n">
        <f aca="false">SUM(EI2:EI264)</f>
        <v>320000</v>
      </c>
      <c r="EJ265" s="87" t="n">
        <f aca="false">SUM(EJ2:EJ264)</f>
        <v>15200</v>
      </c>
      <c r="EK265" s="87" t="n">
        <f aca="false">SUM(EK2:EK264)</f>
        <v>125000</v>
      </c>
      <c r="EL265" s="87" t="n">
        <f aca="false">SUM(EL2:EL264)</f>
        <v>296750</v>
      </c>
      <c r="EM265" s="87" t="n">
        <f aca="false">SUM(EM2:EM264)</f>
        <v>194900</v>
      </c>
      <c r="EN265" s="87" t="n">
        <f aca="false">SUM(EN2:EN264)</f>
        <v>40500</v>
      </c>
      <c r="EO265" s="87" t="n">
        <f aca="false">SUM(EO2:EO264)</f>
        <v>501070</v>
      </c>
      <c r="EP265" s="87" t="n">
        <f aca="false">SUM(EP2:EP264)</f>
        <v>1078000</v>
      </c>
      <c r="EQ265" s="87" t="n">
        <f aca="false">SUM(EQ2:EQ264)</f>
        <v>176250</v>
      </c>
      <c r="ER265" s="87" t="n">
        <f aca="false">SUM(ER2:ER264)</f>
        <v>407375</v>
      </c>
      <c r="ES265" s="87" t="n">
        <f aca="false">SUM(ES2:ES264)</f>
        <v>990500</v>
      </c>
      <c r="ET265" s="87" t="n">
        <f aca="false">SUM(ET2:ET264)</f>
        <v>362375</v>
      </c>
      <c r="EU265" s="87" t="n">
        <f aca="false">SUM(EU2:EU264)</f>
        <v>270000</v>
      </c>
      <c r="EV265" s="87" t="n">
        <f aca="false">SUM(EV2:EV264)</f>
        <v>148300</v>
      </c>
      <c r="EW265" s="87" t="n">
        <f aca="false">SUM(EW2:EW264)</f>
        <v>383637</v>
      </c>
      <c r="EX265" s="87" t="n">
        <f aca="false">SUM(EX2:EX264)</f>
        <v>976500</v>
      </c>
      <c r="EY265" s="87" t="n">
        <f aca="false">SUM(EY2:EY264)</f>
        <v>429283</v>
      </c>
      <c r="EZ265" s="87" t="n">
        <f aca="false">SUM(EZ2:EZ264)</f>
        <v>447500</v>
      </c>
      <c r="FA265" s="87" t="n">
        <f aca="false">SUM(FA2:FA264)</f>
        <v>278500</v>
      </c>
      <c r="FB265" s="87" t="n">
        <f aca="false">SUM(FB2:FB264)</f>
        <v>680667</v>
      </c>
      <c r="FC265" s="87" t="n">
        <f aca="false">SUM(FC2:FC264)</f>
        <v>381284</v>
      </c>
      <c r="FD265" s="87" t="n">
        <f aca="false">SUM(FD2:FD264)</f>
        <v>359875</v>
      </c>
      <c r="FE265" s="87" t="n">
        <f aca="false">SUM(FE2:FE264)</f>
        <v>608500</v>
      </c>
      <c r="FF265" s="87" t="n">
        <f aca="false">SUM(FF2:FF264)</f>
        <v>969666</v>
      </c>
      <c r="FG265" s="87" t="n">
        <f aca="false">SUM(FG2:FG264)</f>
        <v>723500</v>
      </c>
      <c r="FH265" s="87" t="n">
        <f aca="false">SUM(FH2:FH264)</f>
        <v>505650</v>
      </c>
      <c r="FI265" s="87" t="n">
        <f aca="false">SUM(FI2:FI264)</f>
        <v>450500</v>
      </c>
      <c r="FJ265" s="87" t="n">
        <f aca="false">SUM(FJ2:FJ264)</f>
        <v>414000</v>
      </c>
      <c r="FK265" s="87" t="n">
        <f aca="false">SUM(FK2:FK264)</f>
        <v>1087167</v>
      </c>
      <c r="FL265" s="87" t="n">
        <f aca="false">SUM(FL2:FL264)</f>
        <v>374900</v>
      </c>
      <c r="FM265" s="87" t="n">
        <f aca="false">SUM(FM2:FM264)</f>
        <v>507500</v>
      </c>
      <c r="FN265" s="87" t="n">
        <f aca="false">SUM(FN2:FN264)</f>
        <v>579000</v>
      </c>
      <c r="FO265" s="87" t="n">
        <f aca="false">SUM(FO2:FO264)</f>
        <v>682767</v>
      </c>
      <c r="FP265" s="87" t="n">
        <f aca="false">SUM(FP2:FP264)</f>
        <v>1471000</v>
      </c>
      <c r="FQ265" s="87" t="n">
        <f aca="false">SUM(FQ2:FQ264)</f>
        <v>473000</v>
      </c>
      <c r="FR265" s="87" t="n">
        <f aca="false">SUM(FR2:FR264)</f>
        <v>1030000</v>
      </c>
      <c r="FS265" s="87" t="n">
        <f aca="false">SUM(FS2:FS264)</f>
        <v>690000</v>
      </c>
      <c r="FT265" s="87" t="n">
        <f aca="false">SUM(FT2:FT264)</f>
        <v>657600</v>
      </c>
      <c r="FU265" s="87" t="n">
        <f aca="false">SUM(FU2:FU264)</f>
        <v>1861425</v>
      </c>
      <c r="FV265" s="87" t="n">
        <f aca="false">SUM(FV2:FV264)</f>
        <v>1036300</v>
      </c>
      <c r="FW265" s="87" t="n">
        <f aca="false">SUM(FW2:FW264)</f>
        <v>628800</v>
      </c>
      <c r="FX265" s="87" t="n">
        <f aca="false">SUM(FX2:FX264)</f>
        <v>1244500</v>
      </c>
      <c r="FY265" s="87" t="n">
        <f aca="false">SUM(FY2:FY264)</f>
        <v>1586575</v>
      </c>
      <c r="FZ265" s="87" t="n">
        <f aca="false">SUM(FZ2:FZ264)</f>
        <v>1326800</v>
      </c>
      <c r="GA265" s="87" t="n">
        <f aca="false">SUM(GA2:GA264)</f>
        <v>1232200</v>
      </c>
      <c r="GB265" s="87" t="n">
        <f aca="false">SUM(GB2:GB264)</f>
        <v>1561900</v>
      </c>
      <c r="GC265" s="87" t="n">
        <f aca="false">SUM(GC2:GC264)</f>
        <v>1484632</v>
      </c>
      <c r="GD265" s="87" t="n">
        <f aca="false">SUM(GD2:GD264)</f>
        <v>1448800</v>
      </c>
      <c r="GE265" s="87" t="n">
        <f aca="false">SUM(GE2:GE264)</f>
        <v>1747800</v>
      </c>
      <c r="GF265" s="87" t="n">
        <f aca="false">SUM(GF2:GF264)</f>
        <v>2806100</v>
      </c>
      <c r="GG265" s="87" t="n">
        <f aca="false">SUM(GG2:GG264)</f>
        <v>2365500</v>
      </c>
      <c r="GH265" s="87" t="n">
        <f aca="false">SUM(GH2:GH264)</f>
        <v>2131000</v>
      </c>
      <c r="GI265" s="87" t="n">
        <f aca="false">SUM(GI2:GI264)</f>
        <v>1870500</v>
      </c>
      <c r="GJ265" s="87" t="n">
        <f aca="false">SUM(GJ2:GJ264)</f>
        <v>1230400</v>
      </c>
      <c r="GK265" s="87" t="n">
        <f aca="false">SUM(GK2:GK264)</f>
        <v>3998275</v>
      </c>
      <c r="GL265" s="87" t="n">
        <f aca="false">SUM(GL2:GL264)</f>
        <v>2618500</v>
      </c>
      <c r="GM265" s="87" t="n">
        <f aca="false">SUM(GM2:GM264)</f>
        <v>3047400</v>
      </c>
      <c r="GN265" s="87" t="n">
        <f aca="false">SUM(GN2:GN264)</f>
        <v>1362400</v>
      </c>
      <c r="GO265" s="87" t="n">
        <f aca="false">SUM(GO2:GO264)</f>
        <v>4578491</v>
      </c>
      <c r="GP265" s="87" t="n">
        <f aca="false">SUM(GP2:GP264)</f>
        <v>4392990</v>
      </c>
      <c r="GQ265" s="87" t="n">
        <f aca="false">SUM(GQ2:GQ264)</f>
        <v>3670890</v>
      </c>
      <c r="GR265" s="87" t="n">
        <f aca="false">SUM(GR2:GR264)</f>
        <v>2043190</v>
      </c>
      <c r="GS265" s="87" t="n">
        <f aca="false">SUM(GS2:GS264)</f>
        <v>3291168.75</v>
      </c>
      <c r="GT265" s="87" t="n">
        <f aca="false">SUM(GT2:GT264)</f>
        <v>5247175</v>
      </c>
      <c r="GU265" s="87" t="n">
        <f aca="false">SUM(GU2:GU264)</f>
        <v>2934300</v>
      </c>
      <c r="GV265" s="87" t="n">
        <f aca="false">SUM(GV2:GV264)</f>
        <v>2404400</v>
      </c>
      <c r="GW265" s="87" t="n">
        <f aca="false">SUM(GW2:GW264)</f>
        <v>4861000</v>
      </c>
      <c r="GX265" s="87" t="n">
        <f aca="false">SUM(GX2:GX264)</f>
        <v>95711307.75</v>
      </c>
      <c r="GY265" s="87" t="n">
        <f aca="false">SUM(GY2:GY264)</f>
        <v>157653867.25</v>
      </c>
    </row>
    <row r="266" customFormat="false" ht="28.5" hidden="true" customHeight="false" outlineLevel="0" collapsed="false">
      <c r="B266" s="88"/>
      <c r="C266" s="88"/>
      <c r="K266" s="89"/>
      <c r="L266" s="89"/>
      <c r="FJ266" s="1" t="s">
        <v>214</v>
      </c>
    </row>
    <row r="267" customFormat="false" ht="8.25" hidden="true" customHeight="true" outlineLevel="0" collapsed="false">
      <c r="A267" s="90"/>
      <c r="B267" s="91"/>
      <c r="C267" s="91"/>
      <c r="D267" s="92"/>
      <c r="E267" s="92"/>
      <c r="F267" s="92"/>
      <c r="G267" s="93"/>
      <c r="H267" s="94"/>
      <c r="I267" s="94" t="s">
        <v>214</v>
      </c>
      <c r="J267" s="95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  <c r="AM267" s="92"/>
      <c r="AN267" s="92"/>
      <c r="AO267" s="92"/>
      <c r="AP267" s="92"/>
      <c r="AQ267" s="92"/>
      <c r="AR267" s="92"/>
      <c r="AS267" s="92"/>
      <c r="AT267" s="92"/>
      <c r="AU267" s="92"/>
      <c r="AV267" s="92"/>
      <c r="AW267" s="92"/>
      <c r="AX267" s="92"/>
      <c r="AY267" s="92"/>
      <c r="AZ267" s="92"/>
      <c r="BA267" s="92"/>
      <c r="BB267" s="92"/>
      <c r="BC267" s="92"/>
      <c r="BD267" s="92"/>
      <c r="BE267" s="92"/>
      <c r="BF267" s="92"/>
      <c r="BG267" s="92"/>
      <c r="BH267" s="92"/>
      <c r="BI267" s="92"/>
      <c r="BJ267" s="92"/>
      <c r="BK267" s="92"/>
      <c r="BL267" s="92"/>
      <c r="BM267" s="92"/>
      <c r="BN267" s="92"/>
      <c r="BO267" s="92"/>
      <c r="BP267" s="92"/>
      <c r="BQ267" s="92"/>
      <c r="BR267" s="92"/>
      <c r="BS267" s="92"/>
      <c r="BT267" s="92"/>
      <c r="BU267" s="92"/>
      <c r="BV267" s="92"/>
      <c r="BW267" s="92"/>
      <c r="BX267" s="92"/>
      <c r="BY267" s="92"/>
      <c r="BZ267" s="92"/>
      <c r="CA267" s="92"/>
      <c r="CB267" s="92"/>
      <c r="CC267" s="92"/>
      <c r="CD267" s="92"/>
      <c r="CE267" s="92"/>
      <c r="CF267" s="92"/>
      <c r="CG267" s="92"/>
      <c r="CH267" s="92"/>
      <c r="CI267" s="92"/>
      <c r="CJ267" s="92"/>
      <c r="CK267" s="92"/>
      <c r="CL267" s="92"/>
      <c r="CM267" s="92"/>
      <c r="CN267" s="92"/>
      <c r="CO267" s="92"/>
      <c r="CP267" s="92"/>
      <c r="CQ267" s="92"/>
      <c r="CR267" s="92"/>
      <c r="CS267" s="92"/>
      <c r="CT267" s="92"/>
      <c r="CU267" s="92"/>
      <c r="CV267" s="92"/>
      <c r="CW267" s="92"/>
      <c r="CX267" s="92"/>
      <c r="CY267" s="92"/>
      <c r="CZ267" s="92"/>
      <c r="DA267" s="92"/>
      <c r="DB267" s="92"/>
      <c r="DC267" s="92"/>
      <c r="DD267" s="92"/>
      <c r="DE267" s="92"/>
      <c r="DF267" s="92"/>
      <c r="DG267" s="92"/>
      <c r="DH267" s="92"/>
      <c r="DI267" s="92"/>
      <c r="DJ267" s="92"/>
      <c r="DK267" s="92"/>
      <c r="DL267" s="92"/>
      <c r="DM267" s="92"/>
      <c r="DN267" s="92"/>
      <c r="DO267" s="92"/>
      <c r="DP267" s="92"/>
      <c r="DQ267" s="92"/>
      <c r="DR267" s="92"/>
      <c r="DS267" s="92"/>
      <c r="DT267" s="92"/>
      <c r="DU267" s="92"/>
      <c r="DV267" s="92"/>
      <c r="DW267" s="92"/>
      <c r="DX267" s="92"/>
      <c r="DY267" s="92"/>
      <c r="DZ267" s="92"/>
      <c r="EA267" s="92"/>
      <c r="EB267" s="92"/>
      <c r="EC267" s="92"/>
      <c r="ED267" s="92"/>
      <c r="EE267" s="92"/>
      <c r="EF267" s="92"/>
      <c r="EG267" s="92"/>
      <c r="EH267" s="92"/>
      <c r="EI267" s="92"/>
      <c r="EJ267" s="92"/>
      <c r="EK267" s="92"/>
      <c r="EL267" s="92"/>
      <c r="EM267" s="92"/>
      <c r="EN267" s="92"/>
      <c r="EO267" s="92"/>
      <c r="EP267" s="92"/>
      <c r="EQ267" s="92"/>
      <c r="ER267" s="92"/>
      <c r="ES267" s="92"/>
      <c r="ET267" s="92"/>
      <c r="EU267" s="92"/>
      <c r="EV267" s="92"/>
      <c r="EW267" s="92"/>
      <c r="EX267" s="92"/>
      <c r="EY267" s="92"/>
      <c r="EZ267" s="92"/>
      <c r="FA267" s="92"/>
      <c r="FB267" s="92"/>
      <c r="FC267" s="92"/>
      <c r="FD267" s="92"/>
      <c r="FE267" s="92"/>
      <c r="FF267" s="92"/>
      <c r="FG267" s="92"/>
      <c r="FH267" s="92"/>
      <c r="FI267" s="92"/>
      <c r="FJ267" s="92"/>
      <c r="FK267" s="92"/>
      <c r="FL267" s="92"/>
      <c r="FM267" s="92"/>
      <c r="FN267" s="92"/>
      <c r="FO267" s="92"/>
      <c r="FP267" s="92"/>
      <c r="FQ267" s="92"/>
      <c r="FR267" s="92"/>
      <c r="FS267" s="92"/>
      <c r="FT267" s="92"/>
      <c r="FU267" s="92"/>
      <c r="FV267" s="92"/>
      <c r="FW267" s="92"/>
      <c r="FX267" s="92"/>
      <c r="FY267" s="92"/>
      <c r="FZ267" s="92"/>
      <c r="GA267" s="92"/>
      <c r="GB267" s="92"/>
      <c r="GC267" s="92"/>
      <c r="GD267" s="92"/>
      <c r="GE267" s="92"/>
      <c r="GF267" s="92"/>
      <c r="GG267" s="92"/>
      <c r="GH267" s="92"/>
      <c r="GI267" s="92"/>
      <c r="GJ267" s="92"/>
      <c r="GK267" s="92"/>
      <c r="GL267" s="92"/>
      <c r="GM267" s="92"/>
      <c r="GN267" s="92"/>
      <c r="GO267" s="92"/>
      <c r="GP267" s="92"/>
      <c r="GQ267" s="92"/>
      <c r="GR267" s="92"/>
      <c r="GS267" s="92"/>
      <c r="GT267" s="92"/>
      <c r="GU267" s="92"/>
      <c r="GV267" s="92"/>
      <c r="GW267" s="92"/>
      <c r="GX267" s="92"/>
      <c r="GY267" s="92"/>
      <c r="GZ267" s="92"/>
      <c r="HA267" s="92"/>
      <c r="HB267" s="92"/>
      <c r="HC267" s="96"/>
    </row>
    <row r="268" s="102" customFormat="true" ht="28.5" hidden="true" customHeight="true" outlineLevel="0" collapsed="false">
      <c r="A268" s="97"/>
      <c r="B268" s="98"/>
      <c r="C268" s="98"/>
      <c r="D268" s="97"/>
      <c r="E268" s="97"/>
      <c r="F268" s="97"/>
      <c r="G268" s="99"/>
      <c r="H268" s="100"/>
      <c r="I268" s="100"/>
      <c r="J268" s="101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97"/>
      <c r="AD268" s="97"/>
      <c r="AE268" s="97"/>
      <c r="AF268" s="97"/>
      <c r="AG268" s="97"/>
      <c r="AH268" s="97"/>
      <c r="AI268" s="97"/>
      <c r="AJ268" s="97"/>
      <c r="AK268" s="97"/>
      <c r="AL268" s="97"/>
      <c r="AM268" s="97"/>
      <c r="AN268" s="97"/>
      <c r="AO268" s="97"/>
      <c r="AP268" s="97"/>
      <c r="AQ268" s="97"/>
      <c r="AR268" s="97"/>
      <c r="AS268" s="97"/>
      <c r="AT268" s="97"/>
      <c r="AU268" s="97"/>
      <c r="AV268" s="97"/>
      <c r="AW268" s="97"/>
      <c r="AX268" s="97"/>
      <c r="AY268" s="97"/>
      <c r="AZ268" s="97"/>
      <c r="BA268" s="97"/>
      <c r="BB268" s="97"/>
      <c r="BC268" s="97"/>
      <c r="BD268" s="97"/>
      <c r="BE268" s="97"/>
      <c r="BF268" s="97"/>
      <c r="BG268" s="97"/>
      <c r="BH268" s="97"/>
      <c r="BI268" s="97"/>
      <c r="BJ268" s="97"/>
      <c r="BK268" s="97"/>
      <c r="BL268" s="97"/>
      <c r="BM268" s="97"/>
      <c r="BN268" s="97"/>
      <c r="BO268" s="97"/>
      <c r="BP268" s="97"/>
      <c r="BQ268" s="97"/>
      <c r="BR268" s="97"/>
      <c r="BS268" s="97"/>
      <c r="BT268" s="97"/>
      <c r="BU268" s="97"/>
      <c r="BV268" s="97"/>
      <c r="BW268" s="97"/>
      <c r="BX268" s="97"/>
      <c r="BY268" s="97"/>
      <c r="BZ268" s="97"/>
      <c r="CA268" s="97"/>
      <c r="CB268" s="97"/>
      <c r="CC268" s="97"/>
      <c r="CD268" s="97"/>
      <c r="CE268" s="97"/>
      <c r="CF268" s="97"/>
      <c r="CG268" s="97"/>
      <c r="CH268" s="97"/>
      <c r="CI268" s="97"/>
      <c r="CJ268" s="97"/>
      <c r="CK268" s="97"/>
      <c r="CL268" s="97"/>
      <c r="CM268" s="97"/>
      <c r="CN268" s="97"/>
      <c r="CO268" s="97"/>
      <c r="CP268" s="97"/>
      <c r="CQ268" s="97"/>
      <c r="CR268" s="97"/>
      <c r="CS268" s="97"/>
      <c r="CT268" s="97"/>
      <c r="CU268" s="97"/>
      <c r="CV268" s="97"/>
      <c r="CW268" s="97"/>
      <c r="CX268" s="97"/>
      <c r="CY268" s="97"/>
      <c r="CZ268" s="97"/>
      <c r="DA268" s="97"/>
      <c r="DB268" s="97"/>
      <c r="DC268" s="97"/>
      <c r="DD268" s="97"/>
      <c r="DE268" s="97"/>
      <c r="DF268" s="97"/>
      <c r="DG268" s="97"/>
      <c r="DH268" s="97"/>
      <c r="DI268" s="97"/>
      <c r="DJ268" s="97"/>
      <c r="DK268" s="97"/>
      <c r="DL268" s="97"/>
      <c r="DM268" s="97"/>
      <c r="DN268" s="97"/>
      <c r="DO268" s="97"/>
      <c r="DP268" s="97"/>
      <c r="DQ268" s="97"/>
      <c r="DR268" s="97"/>
      <c r="DS268" s="97"/>
      <c r="DT268" s="97"/>
      <c r="DU268" s="97"/>
      <c r="DV268" s="97"/>
      <c r="DW268" s="97"/>
      <c r="DX268" s="97"/>
      <c r="DY268" s="97"/>
      <c r="DZ268" s="97"/>
      <c r="EA268" s="97"/>
      <c r="EB268" s="97"/>
      <c r="EC268" s="97"/>
      <c r="ED268" s="97"/>
      <c r="EE268" s="97"/>
      <c r="EF268" s="97"/>
      <c r="EG268" s="97"/>
      <c r="EH268" s="97"/>
      <c r="EI268" s="97"/>
      <c r="EJ268" s="97"/>
      <c r="EK268" s="97"/>
      <c r="EL268" s="97"/>
      <c r="EM268" s="97"/>
      <c r="EN268" s="97"/>
      <c r="EO268" s="97"/>
      <c r="EP268" s="97"/>
      <c r="EQ268" s="97"/>
      <c r="ER268" s="97"/>
      <c r="ES268" s="97"/>
      <c r="ET268" s="97"/>
      <c r="EU268" s="97"/>
      <c r="EV268" s="97"/>
      <c r="EW268" s="97"/>
      <c r="EX268" s="97"/>
      <c r="EY268" s="97"/>
      <c r="EZ268" s="97"/>
      <c r="FA268" s="97"/>
      <c r="FB268" s="97"/>
      <c r="FC268" s="97"/>
      <c r="FD268" s="97"/>
      <c r="FE268" s="97"/>
      <c r="FF268" s="97"/>
      <c r="FG268" s="97"/>
      <c r="FH268" s="97"/>
      <c r="FI268" s="97"/>
      <c r="FJ268" s="97"/>
      <c r="FK268" s="97"/>
      <c r="FL268" s="97"/>
      <c r="FM268" s="97"/>
      <c r="FN268" s="97"/>
      <c r="FO268" s="97"/>
      <c r="FP268" s="97"/>
      <c r="FQ268" s="97"/>
      <c r="FR268" s="97"/>
      <c r="FS268" s="97"/>
      <c r="FT268" s="97"/>
      <c r="FU268" s="97"/>
      <c r="FV268" s="97"/>
      <c r="FW268" s="97"/>
      <c r="FX268" s="97"/>
      <c r="FY268" s="97"/>
      <c r="FZ268" s="97"/>
      <c r="GA268" s="97"/>
      <c r="GB268" s="97"/>
      <c r="GC268" s="97"/>
      <c r="GD268" s="97"/>
      <c r="GE268" s="97"/>
      <c r="GF268" s="97"/>
      <c r="GG268" s="97" t="s">
        <v>214</v>
      </c>
      <c r="GH268" s="97"/>
      <c r="GI268" s="97"/>
      <c r="GJ268" s="97"/>
      <c r="GK268" s="97"/>
      <c r="GL268" s="97"/>
      <c r="GM268" s="97"/>
      <c r="GN268" s="97"/>
      <c r="GO268" s="97"/>
      <c r="GP268" s="97"/>
      <c r="GQ268" s="97"/>
      <c r="GR268" s="97"/>
      <c r="GS268" s="97"/>
      <c r="GT268" s="97"/>
      <c r="GU268" s="97"/>
      <c r="GV268" s="97"/>
      <c r="GW268" s="97"/>
      <c r="GX268" s="97"/>
      <c r="GY268" s="97"/>
      <c r="GZ268" s="97"/>
      <c r="HA268" s="97"/>
      <c r="HB268" s="97"/>
      <c r="HC268" s="97"/>
    </row>
    <row r="269" customFormat="false" ht="28.5" hidden="true" customHeight="true" outlineLevel="0" collapsed="false">
      <c r="A269" s="89"/>
      <c r="B269" s="103" t="s">
        <v>649</v>
      </c>
      <c r="C269" s="104" t="n">
        <v>20000</v>
      </c>
      <c r="D269" s="89"/>
      <c r="E269" s="89"/>
      <c r="F269" s="89"/>
      <c r="G269" s="105"/>
      <c r="H269" s="106"/>
      <c r="I269" s="106" t="s">
        <v>214</v>
      </c>
      <c r="J269" s="107"/>
      <c r="K269" s="108" t="s">
        <v>650</v>
      </c>
      <c r="L269" s="109" t="n">
        <f aca="false">SUM(L265-K265)</f>
        <v>155667075</v>
      </c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89"/>
      <c r="BN269" s="89"/>
      <c r="BO269" s="89"/>
      <c r="BP269" s="89"/>
      <c r="BQ269" s="89"/>
      <c r="BR269" s="89"/>
      <c r="BS269" s="89"/>
      <c r="BT269" s="89"/>
      <c r="BU269" s="89"/>
      <c r="BV269" s="89"/>
      <c r="BW269" s="89"/>
      <c r="BX269" s="89"/>
      <c r="BY269" s="89"/>
      <c r="BZ269" s="89"/>
      <c r="CA269" s="89"/>
      <c r="CB269" s="89"/>
      <c r="CC269" s="89"/>
      <c r="CD269" s="89"/>
      <c r="CE269" s="89"/>
      <c r="CF269" s="89"/>
      <c r="CG269" s="89"/>
      <c r="CH269" s="89"/>
      <c r="CI269" s="89"/>
      <c r="CJ269" s="89"/>
      <c r="CK269" s="89"/>
      <c r="CL269" s="89"/>
      <c r="CM269" s="89"/>
      <c r="CN269" s="89"/>
      <c r="CO269" s="89"/>
      <c r="CP269" s="89"/>
      <c r="CQ269" s="89"/>
      <c r="CR269" s="89"/>
      <c r="CS269" s="89"/>
      <c r="CT269" s="89"/>
      <c r="CU269" s="89"/>
      <c r="CV269" s="89"/>
      <c r="CW269" s="89"/>
      <c r="CX269" s="89"/>
      <c r="CY269" s="89"/>
      <c r="CZ269" s="89"/>
      <c r="DA269" s="89"/>
      <c r="DB269" s="89"/>
      <c r="DC269" s="89"/>
      <c r="DD269" s="89"/>
      <c r="DE269" s="89"/>
      <c r="DF269" s="89"/>
      <c r="DG269" s="89"/>
      <c r="DH269" s="89"/>
      <c r="DI269" s="89"/>
      <c r="DJ269" s="89"/>
      <c r="DK269" s="89"/>
      <c r="DL269" s="89"/>
      <c r="DM269" s="89"/>
      <c r="DN269" s="89"/>
      <c r="DO269" s="89"/>
      <c r="DP269" s="89"/>
      <c r="DQ269" s="89"/>
      <c r="DR269" s="89"/>
      <c r="DS269" s="89"/>
      <c r="DT269" s="89"/>
      <c r="DU269" s="89"/>
      <c r="DV269" s="89"/>
      <c r="DW269" s="89"/>
      <c r="DX269" s="89"/>
      <c r="DY269" s="89"/>
      <c r="DZ269" s="89"/>
      <c r="EA269" s="89"/>
      <c r="EB269" s="89"/>
      <c r="EC269" s="89"/>
      <c r="ED269" s="89"/>
      <c r="EE269" s="89"/>
      <c r="EF269" s="89"/>
      <c r="EG269" s="89"/>
      <c r="EH269" s="89"/>
      <c r="EI269" s="89"/>
      <c r="EJ269" s="89"/>
      <c r="EK269" s="89"/>
      <c r="EL269" s="89"/>
      <c r="EM269" s="89"/>
      <c r="EN269" s="89"/>
      <c r="EO269" s="89"/>
      <c r="EP269" s="89"/>
      <c r="EQ269" s="89"/>
      <c r="ER269" s="89"/>
      <c r="ES269" s="89"/>
      <c r="ET269" s="89"/>
      <c r="EU269" s="89"/>
      <c r="EV269" s="89"/>
      <c r="EW269" s="89"/>
      <c r="EX269" s="89"/>
      <c r="EY269" s="89"/>
      <c r="EZ269" s="89"/>
      <c r="FA269" s="89"/>
      <c r="FB269" s="89"/>
      <c r="FC269" s="89"/>
      <c r="FD269" s="89"/>
      <c r="FE269" s="89"/>
      <c r="FF269" s="89"/>
      <c r="FG269" s="89"/>
      <c r="FH269" s="89"/>
      <c r="FI269" s="89"/>
      <c r="FJ269" s="89"/>
      <c r="FK269" s="89"/>
      <c r="FL269" s="89"/>
      <c r="FM269" s="89"/>
      <c r="FN269" s="110" t="s">
        <v>214</v>
      </c>
      <c r="FO269" s="89"/>
      <c r="FP269" s="89"/>
      <c r="FQ269" s="89"/>
      <c r="FR269" s="89"/>
      <c r="FS269" s="89"/>
      <c r="FT269" s="89"/>
      <c r="FU269" s="89"/>
      <c r="FV269" s="89"/>
      <c r="FW269" s="89"/>
      <c r="FX269" s="89"/>
      <c r="FY269" s="89"/>
      <c r="FZ269" s="89"/>
      <c r="GA269" s="89"/>
      <c r="GB269" s="89"/>
      <c r="GC269" s="89"/>
      <c r="GD269" s="89"/>
      <c r="GE269" s="89"/>
      <c r="GF269" s="89"/>
      <c r="GG269" s="89"/>
      <c r="GH269" s="89"/>
      <c r="GI269" s="89"/>
      <c r="GJ269" s="89"/>
      <c r="GK269" s="89"/>
      <c r="GL269" s="89"/>
      <c r="GM269" s="89"/>
      <c r="GN269" s="89"/>
      <c r="GO269" s="89"/>
      <c r="GP269" s="89"/>
      <c r="GQ269" s="89"/>
      <c r="GR269" s="89"/>
      <c r="GS269" s="89"/>
      <c r="GT269" s="89"/>
      <c r="GU269" s="89"/>
      <c r="GV269" s="89"/>
      <c r="GW269" s="89"/>
      <c r="GX269" s="89"/>
      <c r="GY269" s="89"/>
      <c r="GZ269" s="89"/>
      <c r="HA269" s="89" t="s">
        <v>214</v>
      </c>
      <c r="HB269" s="89"/>
      <c r="HC269" s="89"/>
    </row>
    <row r="270" customFormat="false" ht="28.5" hidden="true" customHeight="true" outlineLevel="0" collapsed="false">
      <c r="A270" s="89"/>
      <c r="B270" s="111" t="s">
        <v>651</v>
      </c>
      <c r="C270" s="111" t="n">
        <v>30000</v>
      </c>
      <c r="D270" s="89"/>
      <c r="E270" s="89"/>
      <c r="F270" s="89"/>
      <c r="G270" s="105"/>
      <c r="H270" s="106"/>
      <c r="I270" s="106"/>
      <c r="J270" s="107"/>
      <c r="K270" s="112" t="s">
        <v>652</v>
      </c>
      <c r="L270" s="113" t="n">
        <f aca="false">GW265*100/M265/100</f>
        <v>0.552421406419979</v>
      </c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  <c r="AN270" s="89"/>
      <c r="AO270" s="89"/>
      <c r="AP270" s="89"/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89"/>
      <c r="BN270" s="89"/>
      <c r="BO270" s="89"/>
      <c r="BP270" s="89"/>
      <c r="BQ270" s="89"/>
      <c r="BR270" s="89"/>
      <c r="BS270" s="89"/>
      <c r="BT270" s="89"/>
      <c r="BU270" s="89"/>
      <c r="BV270" s="89"/>
      <c r="BW270" s="89"/>
      <c r="BX270" s="89"/>
      <c r="BY270" s="89"/>
      <c r="BZ270" s="89"/>
      <c r="CA270" s="89"/>
      <c r="CB270" s="89"/>
      <c r="CC270" s="89"/>
      <c r="CD270" s="89"/>
      <c r="CE270" s="89"/>
      <c r="CF270" s="89"/>
      <c r="CG270" s="89"/>
      <c r="CH270" s="89"/>
      <c r="CI270" s="89"/>
      <c r="CJ270" s="89"/>
      <c r="CK270" s="89"/>
      <c r="CL270" s="89"/>
      <c r="CM270" s="89"/>
      <c r="CN270" s="89"/>
      <c r="CO270" s="89"/>
      <c r="CP270" s="89"/>
      <c r="CQ270" s="89"/>
      <c r="CR270" s="89"/>
      <c r="CS270" s="89"/>
      <c r="CT270" s="89"/>
      <c r="CU270" s="89"/>
      <c r="CV270" s="89"/>
      <c r="CW270" s="89"/>
      <c r="CX270" s="89"/>
      <c r="CY270" s="89"/>
      <c r="CZ270" s="89"/>
      <c r="DA270" s="89"/>
      <c r="DB270" s="89"/>
      <c r="DC270" s="89"/>
      <c r="DD270" s="89"/>
      <c r="DE270" s="89"/>
      <c r="DF270" s="89"/>
      <c r="DG270" s="89"/>
      <c r="DH270" s="89"/>
      <c r="DI270" s="89"/>
      <c r="DJ270" s="89"/>
      <c r="DK270" s="89"/>
      <c r="DL270" s="89"/>
      <c r="DM270" s="89"/>
      <c r="DN270" s="89"/>
      <c r="DO270" s="89"/>
      <c r="DP270" s="89"/>
      <c r="DQ270" s="89"/>
      <c r="DR270" s="89"/>
      <c r="DS270" s="89"/>
      <c r="DT270" s="89"/>
      <c r="DU270" s="89"/>
      <c r="DV270" s="89"/>
      <c r="DW270" s="89"/>
      <c r="DX270" s="89"/>
      <c r="DY270" s="89"/>
      <c r="DZ270" s="89"/>
      <c r="EA270" s="89"/>
      <c r="EB270" s="89"/>
      <c r="EC270" s="89"/>
      <c r="ED270" s="89"/>
      <c r="EE270" s="89"/>
      <c r="EF270" s="89"/>
      <c r="EG270" s="89"/>
      <c r="EH270" s="89"/>
      <c r="EI270" s="89"/>
      <c r="EJ270" s="89"/>
      <c r="EK270" s="89"/>
      <c r="EL270" s="89"/>
      <c r="EM270" s="89"/>
      <c r="EN270" s="89"/>
      <c r="EO270" s="89"/>
      <c r="EP270" s="89"/>
      <c r="EQ270" s="89"/>
      <c r="ER270" s="89"/>
      <c r="ES270" s="89"/>
      <c r="ET270" s="89"/>
      <c r="EU270" s="89"/>
      <c r="EV270" s="89"/>
      <c r="EW270" s="89"/>
      <c r="EX270" s="89"/>
      <c r="EY270" s="89"/>
      <c r="EZ270" s="89"/>
      <c r="FA270" s="89"/>
      <c r="FB270" s="89"/>
      <c r="FC270" s="89"/>
      <c r="FD270" s="89"/>
      <c r="FE270" s="89"/>
      <c r="FF270" s="89"/>
      <c r="FG270" s="89"/>
      <c r="FH270" s="89"/>
      <c r="FI270" s="89"/>
      <c r="FJ270" s="89"/>
      <c r="FK270" s="89"/>
      <c r="FL270" s="89"/>
      <c r="FM270" s="89"/>
      <c r="FN270" s="89"/>
      <c r="FO270" s="89"/>
      <c r="FP270" s="89"/>
      <c r="FQ270" s="89"/>
      <c r="FR270" s="89"/>
      <c r="FS270" s="89"/>
      <c r="FT270" s="89"/>
      <c r="FU270" s="89"/>
      <c r="FV270" s="89"/>
      <c r="FW270" s="89"/>
      <c r="FX270" s="89"/>
      <c r="FY270" s="89"/>
      <c r="FZ270" s="89"/>
      <c r="GA270" s="89"/>
      <c r="GB270" s="89"/>
      <c r="GC270" s="89"/>
      <c r="GD270" s="89"/>
      <c r="GE270" s="89"/>
      <c r="GF270" s="89"/>
      <c r="GG270" s="89"/>
      <c r="GH270" s="89"/>
      <c r="GI270" s="89"/>
      <c r="GJ270" s="89"/>
      <c r="GK270" s="89"/>
      <c r="GL270" s="89"/>
      <c r="GM270" s="89"/>
      <c r="GN270" s="89"/>
      <c r="GO270" s="89"/>
      <c r="GP270" s="89"/>
      <c r="GQ270" s="89"/>
      <c r="GR270" s="89"/>
      <c r="GS270" s="89"/>
      <c r="GT270" s="89"/>
      <c r="GU270" s="89"/>
      <c r="GV270" s="89"/>
      <c r="GW270" s="89"/>
      <c r="GX270" s="89"/>
      <c r="GY270" s="89"/>
      <c r="GZ270" s="89"/>
      <c r="HA270" s="89"/>
      <c r="HB270" s="89"/>
      <c r="HC270" s="89"/>
    </row>
    <row r="271" customFormat="false" ht="28.5" hidden="true" customHeight="true" outlineLevel="0" collapsed="false">
      <c r="A271" s="89"/>
      <c r="B271" s="111" t="s">
        <v>653</v>
      </c>
      <c r="C271" s="111" t="n">
        <v>30000</v>
      </c>
      <c r="D271" s="89"/>
      <c r="E271" s="89"/>
      <c r="F271" s="89"/>
      <c r="G271" s="105"/>
      <c r="H271" s="106"/>
      <c r="I271" s="106"/>
      <c r="J271" s="107"/>
      <c r="K271" s="114" t="s">
        <v>654</v>
      </c>
      <c r="L271" s="114" t="n">
        <f aca="false">COUNT( GW2:GW264)</f>
        <v>71</v>
      </c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89"/>
      <c r="AL271" s="89"/>
      <c r="AM271" s="89"/>
      <c r="AN271" s="89"/>
      <c r="AO271" s="89"/>
      <c r="AP271" s="89"/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89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89"/>
      <c r="CY271" s="89"/>
      <c r="CZ271" s="89"/>
      <c r="DA271" s="89"/>
      <c r="DB271" s="89"/>
      <c r="DC271" s="89"/>
      <c r="DD271" s="89"/>
      <c r="DE271" s="89"/>
      <c r="DF271" s="89"/>
      <c r="DG271" s="89"/>
      <c r="DH271" s="89"/>
      <c r="DI271" s="89"/>
      <c r="DJ271" s="89"/>
      <c r="DK271" s="89"/>
      <c r="DL271" s="89"/>
      <c r="DM271" s="89"/>
      <c r="DN271" s="89"/>
      <c r="DO271" s="89"/>
      <c r="DP271" s="89"/>
      <c r="DQ271" s="89"/>
      <c r="DR271" s="89"/>
      <c r="DS271" s="89"/>
      <c r="DT271" s="89"/>
      <c r="DU271" s="89"/>
      <c r="DV271" s="89"/>
      <c r="DW271" s="89"/>
      <c r="DX271" s="89"/>
      <c r="DY271" s="89"/>
      <c r="DZ271" s="89"/>
      <c r="EA271" s="89"/>
      <c r="EB271" s="89"/>
      <c r="EC271" s="89"/>
      <c r="ED271" s="89"/>
      <c r="EE271" s="89"/>
      <c r="EF271" s="89"/>
      <c r="EG271" s="89"/>
      <c r="EH271" s="89"/>
      <c r="EI271" s="89"/>
      <c r="EJ271" s="89"/>
      <c r="EK271" s="89"/>
      <c r="EL271" s="89"/>
      <c r="EM271" s="89"/>
      <c r="EN271" s="89"/>
      <c r="EO271" s="89"/>
      <c r="EP271" s="89"/>
      <c r="EQ271" s="89"/>
      <c r="ER271" s="89"/>
      <c r="ES271" s="89"/>
      <c r="ET271" s="89"/>
      <c r="EU271" s="89"/>
      <c r="EV271" s="89"/>
      <c r="EW271" s="89"/>
      <c r="EX271" s="89"/>
      <c r="EY271" s="89"/>
      <c r="EZ271" s="89"/>
      <c r="FA271" s="89"/>
      <c r="FB271" s="89"/>
      <c r="FC271" s="89"/>
      <c r="FD271" s="89"/>
      <c r="FE271" s="89"/>
      <c r="FF271" s="89"/>
      <c r="FG271" s="89"/>
      <c r="FH271" s="89"/>
      <c r="FI271" s="89"/>
      <c r="FJ271" s="89"/>
      <c r="FK271" s="89"/>
      <c r="FL271" s="89"/>
      <c r="FM271" s="89"/>
      <c r="FN271" s="89"/>
      <c r="FO271" s="89"/>
      <c r="FP271" s="89"/>
      <c r="FQ271" s="89"/>
      <c r="FR271" s="89"/>
      <c r="FS271" s="89"/>
      <c r="FT271" s="89"/>
      <c r="FU271" s="89"/>
      <c r="FV271" s="89"/>
      <c r="FW271" s="89"/>
      <c r="FX271" s="89"/>
      <c r="FY271" s="89"/>
      <c r="FZ271" s="89"/>
      <c r="GA271" s="89"/>
      <c r="GB271" s="89"/>
      <c r="GC271" s="89"/>
      <c r="GD271" s="89"/>
      <c r="GE271" s="89"/>
      <c r="GF271" s="89"/>
      <c r="GG271" s="89"/>
      <c r="GH271" s="89"/>
      <c r="GI271" s="89"/>
      <c r="GJ271" s="89"/>
      <c r="GK271" s="89"/>
      <c r="GL271" s="89"/>
      <c r="GM271" s="89"/>
      <c r="GN271" s="89"/>
      <c r="GO271" s="89"/>
      <c r="GP271" s="89"/>
      <c r="GQ271" s="89"/>
      <c r="GR271" s="89"/>
      <c r="GS271" s="89"/>
      <c r="GT271" s="89"/>
      <c r="GU271" s="89"/>
      <c r="GV271" s="89"/>
      <c r="GW271" s="89"/>
      <c r="GX271" s="89"/>
      <c r="GY271" s="89"/>
      <c r="GZ271" s="89"/>
      <c r="HA271" s="89"/>
      <c r="HB271" s="89"/>
      <c r="HC271" s="89"/>
    </row>
    <row r="272" customFormat="false" ht="28.5" hidden="true" customHeight="true" outlineLevel="0" collapsed="false">
      <c r="A272" s="89"/>
      <c r="B272" s="111" t="s">
        <v>655</v>
      </c>
      <c r="C272" s="111" t="n">
        <v>1500000</v>
      </c>
      <c r="D272" s="89"/>
      <c r="E272" s="89"/>
      <c r="F272" s="89"/>
      <c r="G272" s="105"/>
      <c r="H272" s="106"/>
      <c r="I272" s="106"/>
      <c r="J272" s="107"/>
      <c r="K272" s="115" t="s">
        <v>656</v>
      </c>
      <c r="L272" s="116" t="n">
        <f aca="false">SUM(GW265-L273)</f>
        <v>2711000</v>
      </c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  <c r="AN272" s="89"/>
      <c r="AO272" s="89"/>
      <c r="AP272" s="89"/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89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89"/>
      <c r="DB272" s="89"/>
      <c r="DC272" s="89"/>
      <c r="DD272" s="89"/>
      <c r="DE272" s="89"/>
      <c r="DF272" s="89"/>
      <c r="DG272" s="89"/>
      <c r="DH272" s="89"/>
      <c r="DI272" s="89"/>
      <c r="DJ272" s="89"/>
      <c r="DK272" s="89"/>
      <c r="DL272" s="89"/>
      <c r="DM272" s="89"/>
      <c r="DN272" s="89"/>
      <c r="DO272" s="89"/>
      <c r="DP272" s="89"/>
      <c r="DQ272" s="89"/>
      <c r="DR272" s="89"/>
      <c r="DS272" s="89"/>
      <c r="DT272" s="89"/>
      <c r="DU272" s="89"/>
      <c r="DV272" s="89"/>
      <c r="DW272" s="89"/>
      <c r="DX272" s="89"/>
      <c r="DY272" s="89"/>
      <c r="DZ272" s="89"/>
      <c r="EA272" s="89"/>
      <c r="EB272" s="89"/>
      <c r="EC272" s="89"/>
      <c r="ED272" s="89"/>
      <c r="EE272" s="89"/>
      <c r="EF272" s="89"/>
      <c r="EG272" s="89"/>
      <c r="EH272" s="89"/>
      <c r="EI272" s="89"/>
      <c r="EJ272" s="89"/>
      <c r="EK272" s="89"/>
      <c r="EL272" s="89"/>
      <c r="EM272" s="89"/>
      <c r="EN272" s="89"/>
      <c r="EO272" s="89"/>
      <c r="EP272" s="89"/>
      <c r="EQ272" s="89"/>
      <c r="ER272" s="89"/>
      <c r="ES272" s="89"/>
      <c r="ET272" s="89"/>
      <c r="EU272" s="89"/>
      <c r="EV272" s="89"/>
      <c r="EW272" s="89"/>
      <c r="EX272" s="89"/>
      <c r="EY272" s="89"/>
      <c r="EZ272" s="89"/>
      <c r="FA272" s="89"/>
      <c r="FB272" s="89"/>
      <c r="FC272" s="89"/>
      <c r="FD272" s="89"/>
      <c r="FE272" s="89"/>
      <c r="FF272" s="89"/>
      <c r="FG272" s="89"/>
      <c r="FH272" s="89"/>
      <c r="FI272" s="89"/>
      <c r="FJ272" s="89"/>
      <c r="FK272" s="89"/>
      <c r="FL272" s="89"/>
      <c r="FM272" s="89"/>
      <c r="FN272" s="89"/>
      <c r="FO272" s="89"/>
      <c r="FP272" s="89"/>
      <c r="FQ272" s="89"/>
      <c r="FR272" s="89"/>
      <c r="FS272" s="89"/>
      <c r="FT272" s="89"/>
      <c r="FU272" s="89"/>
      <c r="FV272" s="89"/>
      <c r="FW272" s="89"/>
      <c r="FX272" s="89"/>
      <c r="FY272" s="89"/>
      <c r="FZ272" s="89"/>
      <c r="GA272" s="89"/>
      <c r="GB272" s="89"/>
      <c r="GC272" s="89"/>
      <c r="GD272" s="89"/>
      <c r="GE272" s="89"/>
      <c r="GF272" s="89"/>
      <c r="GG272" s="89"/>
      <c r="GH272" s="89"/>
      <c r="GI272" s="89"/>
      <c r="GJ272" s="89"/>
      <c r="GK272" s="89"/>
      <c r="GL272" s="89"/>
      <c r="GM272" s="89"/>
      <c r="GN272" s="89"/>
      <c r="GO272" s="89"/>
      <c r="GP272" s="89"/>
      <c r="GQ272" s="89"/>
      <c r="GR272" s="89"/>
      <c r="GS272" s="89"/>
      <c r="GT272" s="89"/>
      <c r="GU272" s="89"/>
      <c r="GV272" s="89"/>
      <c r="GW272" s="89"/>
      <c r="GX272" s="89"/>
      <c r="GY272" s="89"/>
      <c r="GZ272" s="89"/>
      <c r="HA272" s="89"/>
      <c r="HB272" s="89"/>
      <c r="HC272" s="89"/>
    </row>
    <row r="273" customFormat="false" ht="28.5" hidden="true" customHeight="true" outlineLevel="0" collapsed="false">
      <c r="A273" s="89"/>
      <c r="B273" s="111" t="s">
        <v>657</v>
      </c>
      <c r="C273" s="111" t="n">
        <v>30000</v>
      </c>
      <c r="D273" s="89"/>
      <c r="E273" s="89"/>
      <c r="F273" s="89"/>
      <c r="G273" s="105"/>
      <c r="H273" s="106"/>
      <c r="I273" s="106"/>
      <c r="J273" s="107"/>
      <c r="K273" s="117" t="s">
        <v>658</v>
      </c>
      <c r="L273" s="118" t="n">
        <v>2150000</v>
      </c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89"/>
      <c r="AK273" s="89"/>
      <c r="AL273" s="89"/>
      <c r="AM273" s="89"/>
      <c r="AN273" s="89"/>
      <c r="AO273" s="89"/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89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89"/>
      <c r="DB273" s="89"/>
      <c r="DC273" s="89"/>
      <c r="DD273" s="89"/>
      <c r="DE273" s="89"/>
      <c r="DF273" s="89"/>
      <c r="DG273" s="89"/>
      <c r="DH273" s="89"/>
      <c r="DI273" s="89"/>
      <c r="DJ273" s="89"/>
      <c r="DK273" s="89"/>
      <c r="DL273" s="89"/>
      <c r="DM273" s="89"/>
      <c r="DN273" s="89"/>
      <c r="DO273" s="89"/>
      <c r="DP273" s="89"/>
      <c r="DQ273" s="89"/>
      <c r="DR273" s="89"/>
      <c r="DS273" s="89"/>
      <c r="DT273" s="89"/>
      <c r="DU273" s="89"/>
      <c r="DV273" s="89"/>
      <c r="DW273" s="89"/>
      <c r="DX273" s="89"/>
      <c r="DY273" s="89"/>
      <c r="DZ273" s="89"/>
      <c r="EA273" s="89"/>
      <c r="EB273" s="89"/>
      <c r="EC273" s="89"/>
      <c r="ED273" s="89"/>
      <c r="EE273" s="89"/>
      <c r="EF273" s="89"/>
      <c r="EG273" s="89"/>
      <c r="EH273" s="89"/>
      <c r="EI273" s="89"/>
      <c r="EJ273" s="89"/>
      <c r="EK273" s="89"/>
      <c r="EL273" s="89"/>
      <c r="EM273" s="89"/>
      <c r="EN273" s="89"/>
      <c r="EO273" s="89"/>
      <c r="EP273" s="89"/>
      <c r="EQ273" s="89"/>
      <c r="ER273" s="89"/>
      <c r="ES273" s="89"/>
      <c r="ET273" s="89"/>
      <c r="EU273" s="89"/>
      <c r="EV273" s="89"/>
      <c r="EW273" s="89"/>
      <c r="EX273" s="89"/>
      <c r="EY273" s="89"/>
      <c r="EZ273" s="89"/>
      <c r="FA273" s="89"/>
      <c r="FB273" s="89"/>
      <c r="FC273" s="89"/>
      <c r="FD273" s="89"/>
      <c r="FE273" s="89"/>
      <c r="FF273" s="89"/>
      <c r="FG273" s="89"/>
      <c r="FH273" s="89"/>
      <c r="FI273" s="89"/>
      <c r="FJ273" s="89"/>
      <c r="FK273" s="89"/>
      <c r="FL273" s="89"/>
      <c r="FM273" s="89"/>
      <c r="FN273" s="89"/>
      <c r="FO273" s="89"/>
      <c r="FP273" s="89"/>
      <c r="FQ273" s="89"/>
      <c r="FR273" s="89"/>
      <c r="FS273" s="89"/>
      <c r="FT273" s="89"/>
      <c r="FU273" s="89"/>
      <c r="FV273" s="89"/>
      <c r="FW273" s="89"/>
      <c r="FX273" s="89"/>
      <c r="FY273" s="89"/>
      <c r="FZ273" s="89"/>
      <c r="GA273" s="89"/>
      <c r="GB273" s="89"/>
      <c r="GC273" s="89"/>
      <c r="GD273" s="89"/>
      <c r="GE273" s="89"/>
      <c r="GF273" s="89"/>
      <c r="GG273" s="89"/>
      <c r="GH273" s="89"/>
      <c r="GI273" s="89"/>
      <c r="GJ273" s="89"/>
      <c r="GK273" s="89"/>
      <c r="GL273" s="89"/>
      <c r="GM273" s="89"/>
      <c r="GN273" s="89"/>
      <c r="GO273" s="89"/>
      <c r="GP273" s="89"/>
      <c r="GQ273" s="89"/>
      <c r="GR273" s="89"/>
      <c r="GS273" s="89"/>
      <c r="GT273" s="89"/>
      <c r="GU273" s="89"/>
      <c r="GV273" s="89"/>
      <c r="GW273" s="89"/>
      <c r="GX273" s="89"/>
      <c r="GY273" s="89"/>
      <c r="GZ273" s="89"/>
      <c r="HA273" s="89"/>
      <c r="HB273" s="89"/>
      <c r="HC273" s="89"/>
    </row>
    <row r="274" customFormat="false" ht="28.5" hidden="true" customHeight="true" outlineLevel="0" collapsed="false">
      <c r="A274" s="89"/>
      <c r="C274" s="111" t="n">
        <f aca="false">SUM(C269:C273)</f>
        <v>1610000</v>
      </c>
      <c r="D274" s="89"/>
      <c r="E274" s="89"/>
      <c r="F274" s="89"/>
      <c r="G274" s="105"/>
      <c r="H274" s="106"/>
      <c r="I274" s="106"/>
      <c r="J274" s="107" t="s">
        <v>214</v>
      </c>
      <c r="K274" s="119"/>
      <c r="L274" s="120"/>
      <c r="M274" s="89" t="s">
        <v>214</v>
      </c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89"/>
      <c r="AL274" s="89"/>
      <c r="AM274" s="89"/>
      <c r="AN274" s="89"/>
      <c r="AO274" s="89"/>
      <c r="AP274" s="89"/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89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89"/>
      <c r="DB274" s="89"/>
      <c r="DC274" s="89"/>
      <c r="DD274" s="89"/>
      <c r="DE274" s="89"/>
      <c r="DF274" s="89"/>
      <c r="DG274" s="89"/>
      <c r="DH274" s="89"/>
      <c r="DI274" s="89"/>
      <c r="DJ274" s="89"/>
      <c r="DK274" s="89"/>
      <c r="DL274" s="89"/>
      <c r="DM274" s="89"/>
      <c r="DN274" s="89"/>
      <c r="DO274" s="89"/>
      <c r="DP274" s="89"/>
      <c r="DQ274" s="89"/>
      <c r="DR274" s="89"/>
      <c r="DS274" s="89"/>
      <c r="DT274" s="89"/>
      <c r="DU274" s="89"/>
      <c r="DV274" s="89"/>
      <c r="DW274" s="89"/>
      <c r="DX274" s="89"/>
      <c r="DY274" s="89"/>
      <c r="DZ274" s="89"/>
      <c r="EA274" s="89"/>
      <c r="EB274" s="89"/>
      <c r="EC274" s="89"/>
      <c r="ED274" s="89"/>
      <c r="EE274" s="89"/>
      <c r="EF274" s="89"/>
      <c r="EG274" s="89"/>
      <c r="EH274" s="89"/>
      <c r="EI274" s="89"/>
      <c r="EJ274" s="89"/>
      <c r="EK274" s="89"/>
      <c r="EL274" s="89"/>
      <c r="EM274" s="89"/>
      <c r="EN274" s="89"/>
      <c r="EO274" s="89"/>
      <c r="EP274" s="89"/>
      <c r="EQ274" s="89"/>
      <c r="ER274" s="89"/>
      <c r="ES274" s="89"/>
      <c r="ET274" s="89"/>
      <c r="EU274" s="89"/>
      <c r="EV274" s="89"/>
      <c r="EW274" s="89"/>
      <c r="EX274" s="89"/>
      <c r="EY274" s="89"/>
      <c r="EZ274" s="89"/>
      <c r="FA274" s="89"/>
      <c r="FB274" s="89"/>
      <c r="FC274" s="89"/>
      <c r="FD274" s="89"/>
      <c r="FE274" s="89"/>
      <c r="FF274" s="89"/>
      <c r="FG274" s="89"/>
      <c r="FH274" s="89"/>
      <c r="FI274" s="89"/>
      <c r="FJ274" s="89"/>
      <c r="FK274" s="89"/>
      <c r="FL274" s="89"/>
      <c r="FM274" s="89"/>
      <c r="FN274" s="89"/>
      <c r="FO274" s="89"/>
      <c r="FP274" s="89"/>
      <c r="FQ274" s="89"/>
      <c r="FR274" s="89"/>
      <c r="FS274" s="89"/>
      <c r="FT274" s="89"/>
      <c r="FU274" s="89"/>
      <c r="FV274" s="89"/>
      <c r="FW274" s="89"/>
      <c r="FX274" s="89"/>
      <c r="FY274" s="89"/>
      <c r="FZ274" s="89"/>
      <c r="GA274" s="89"/>
      <c r="GB274" s="89"/>
      <c r="GC274" s="89"/>
      <c r="GD274" s="89"/>
      <c r="GE274" s="89"/>
      <c r="GF274" s="89"/>
      <c r="GG274" s="89"/>
      <c r="GH274" s="89"/>
      <c r="GI274" s="89"/>
      <c r="GJ274" s="89"/>
      <c r="GK274" s="89"/>
      <c r="GL274" s="89"/>
      <c r="GM274" s="89"/>
      <c r="GN274" s="89"/>
      <c r="GO274" s="89"/>
      <c r="GP274" s="89"/>
      <c r="GQ274" s="89"/>
      <c r="GR274" s="89"/>
      <c r="GS274" s="89"/>
      <c r="GT274" s="89"/>
      <c r="GU274" s="89"/>
      <c r="GV274" s="89"/>
      <c r="GW274" s="89"/>
      <c r="GX274" s="89" t="s">
        <v>214</v>
      </c>
      <c r="GY274" s="89"/>
      <c r="GZ274" s="89"/>
      <c r="HA274" s="89"/>
      <c r="HB274" s="89"/>
      <c r="HC274" s="89"/>
    </row>
    <row r="275" customFormat="false" ht="28.5" hidden="true" customHeight="true" outlineLevel="0" collapsed="false">
      <c r="A275" s="89"/>
      <c r="F275" s="89"/>
      <c r="G275" s="105"/>
      <c r="H275" s="106"/>
      <c r="I275" s="106"/>
      <c r="J275" s="107"/>
      <c r="K275" s="89"/>
      <c r="L275" s="89" t="s">
        <v>214</v>
      </c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89"/>
      <c r="AL275" s="89"/>
      <c r="AM275" s="89"/>
      <c r="AN275" s="89"/>
      <c r="AO275" s="89"/>
      <c r="AP275" s="89"/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89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89"/>
      <c r="DB275" s="89"/>
      <c r="DC275" s="89"/>
      <c r="DD275" s="89"/>
      <c r="DE275" s="89"/>
      <c r="DF275" s="89"/>
      <c r="DG275" s="89"/>
      <c r="DH275" s="89"/>
      <c r="DI275" s="89"/>
      <c r="DJ275" s="89"/>
      <c r="DK275" s="89"/>
      <c r="DL275" s="89"/>
      <c r="DM275" s="89"/>
      <c r="DN275" s="89"/>
      <c r="DO275" s="89"/>
      <c r="DP275" s="89"/>
      <c r="DQ275" s="89"/>
      <c r="DR275" s="89"/>
      <c r="DS275" s="89"/>
      <c r="DT275" s="89"/>
      <c r="DU275" s="89"/>
      <c r="DV275" s="89"/>
      <c r="DW275" s="89"/>
      <c r="DX275" s="89"/>
      <c r="DY275" s="89"/>
      <c r="DZ275" s="89"/>
      <c r="EA275" s="89"/>
      <c r="EB275" s="89"/>
      <c r="EC275" s="89"/>
      <c r="ED275" s="89"/>
      <c r="EE275" s="89"/>
      <c r="EF275" s="89"/>
      <c r="EG275" s="89"/>
      <c r="EH275" s="89"/>
      <c r="EI275" s="89"/>
      <c r="EJ275" s="89"/>
      <c r="EK275" s="89"/>
      <c r="EL275" s="89"/>
      <c r="EM275" s="89"/>
      <c r="EN275" s="89"/>
      <c r="EO275" s="89"/>
      <c r="EP275" s="89"/>
      <c r="EQ275" s="89"/>
      <c r="ER275" s="89"/>
      <c r="ES275" s="89"/>
      <c r="ET275" s="89"/>
      <c r="EU275" s="89"/>
      <c r="EV275" s="89"/>
      <c r="EW275" s="89"/>
      <c r="EX275" s="89"/>
      <c r="EY275" s="89"/>
      <c r="EZ275" s="89"/>
      <c r="FA275" s="89"/>
      <c r="FB275" s="89"/>
      <c r="FC275" s="89"/>
      <c r="FD275" s="89"/>
      <c r="FE275" s="89"/>
      <c r="FF275" s="89"/>
      <c r="FG275" s="89"/>
      <c r="FH275" s="89"/>
      <c r="FI275" s="89"/>
      <c r="FJ275" s="89"/>
      <c r="FK275" s="89"/>
      <c r="FL275" s="89"/>
      <c r="FM275" s="89"/>
      <c r="FN275" s="89"/>
      <c r="FO275" s="89"/>
      <c r="FP275" s="89"/>
      <c r="FQ275" s="89"/>
      <c r="FR275" s="89"/>
      <c r="FS275" s="89"/>
      <c r="FT275" s="89"/>
      <c r="FU275" s="89"/>
      <c r="FV275" s="89"/>
      <c r="FW275" s="89"/>
      <c r="FX275" s="89"/>
      <c r="FY275" s="89"/>
      <c r="FZ275" s="89"/>
      <c r="GA275" s="89"/>
      <c r="GB275" s="89"/>
      <c r="GC275" s="89"/>
      <c r="GD275" s="89"/>
      <c r="GE275" s="89"/>
      <c r="GF275" s="89"/>
      <c r="GG275" s="89"/>
      <c r="GH275" s="89"/>
      <c r="GI275" s="89"/>
      <c r="GJ275" s="89"/>
      <c r="GK275" s="89"/>
      <c r="GL275" s="89"/>
      <c r="GM275" s="89"/>
      <c r="GN275" s="89"/>
      <c r="GO275" s="89"/>
      <c r="GP275" s="89"/>
      <c r="GQ275" s="89"/>
      <c r="GR275" s="89"/>
      <c r="GS275" s="89"/>
      <c r="GT275" s="89"/>
      <c r="GU275" s="89"/>
      <c r="GV275" s="89"/>
      <c r="GW275" s="89"/>
      <c r="GX275" s="89"/>
      <c r="GY275" s="89"/>
      <c r="GZ275" s="89"/>
      <c r="HA275" s="89"/>
      <c r="HB275" s="89"/>
      <c r="HC275" s="89"/>
    </row>
    <row r="276" customFormat="false" ht="28.5" hidden="false" customHeight="true" outlineLevel="0" collapsed="false">
      <c r="A276" s="89"/>
      <c r="F276" s="89"/>
      <c r="G276" s="105"/>
      <c r="H276" s="106"/>
      <c r="I276" s="106"/>
      <c r="J276" s="107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  <c r="AN276" s="89"/>
      <c r="AO276" s="89"/>
      <c r="AP276" s="89"/>
      <c r="AQ276" s="89"/>
      <c r="AR276" s="89"/>
      <c r="AS276" s="89"/>
      <c r="AT276" s="89"/>
      <c r="AU276" s="89"/>
      <c r="AV276" s="89"/>
      <c r="AW276" s="89"/>
      <c r="AX276" s="89"/>
      <c r="AY276" s="89"/>
      <c r="AZ276" s="89"/>
      <c r="BA276" s="89"/>
      <c r="BB276" s="89"/>
      <c r="BC276" s="89"/>
      <c r="BD276" s="89"/>
      <c r="BE276" s="89"/>
      <c r="BF276" s="89"/>
      <c r="BG276" s="89"/>
      <c r="BH276" s="89"/>
      <c r="BI276" s="89"/>
      <c r="BJ276" s="89"/>
      <c r="BK276" s="89"/>
      <c r="BL276" s="89"/>
      <c r="BM276" s="89"/>
      <c r="BN276" s="89"/>
      <c r="BO276" s="89"/>
      <c r="BP276" s="89"/>
      <c r="BQ276" s="89"/>
      <c r="BR276" s="89"/>
      <c r="BS276" s="89"/>
      <c r="BT276" s="89"/>
      <c r="BU276" s="89"/>
      <c r="BV276" s="89"/>
      <c r="BW276" s="89"/>
      <c r="BX276" s="89"/>
      <c r="BY276" s="89"/>
      <c r="BZ276" s="89"/>
      <c r="CA276" s="89"/>
      <c r="CB276" s="89"/>
      <c r="CC276" s="89"/>
      <c r="CD276" s="89"/>
      <c r="CE276" s="89"/>
      <c r="CF276" s="89"/>
      <c r="CG276" s="89"/>
      <c r="CH276" s="89"/>
      <c r="CI276" s="89"/>
      <c r="CJ276" s="89"/>
      <c r="CK276" s="89"/>
      <c r="CL276" s="89"/>
      <c r="CM276" s="89"/>
      <c r="CN276" s="89"/>
      <c r="CO276" s="89"/>
      <c r="CP276" s="89"/>
      <c r="CQ276" s="89"/>
      <c r="CR276" s="89"/>
      <c r="CS276" s="89"/>
      <c r="CT276" s="89"/>
      <c r="CU276" s="89"/>
      <c r="CV276" s="89"/>
      <c r="CW276" s="89"/>
      <c r="CX276" s="89"/>
      <c r="CY276" s="89"/>
      <c r="CZ276" s="89"/>
      <c r="DA276" s="89"/>
      <c r="DB276" s="89"/>
      <c r="DC276" s="89"/>
      <c r="DD276" s="89"/>
      <c r="DE276" s="89"/>
      <c r="DF276" s="89"/>
      <c r="DG276" s="89"/>
      <c r="DH276" s="89"/>
      <c r="DI276" s="89"/>
      <c r="DJ276" s="89"/>
      <c r="DK276" s="89"/>
      <c r="DL276" s="89"/>
      <c r="DM276" s="89"/>
      <c r="DN276" s="89"/>
      <c r="DO276" s="89"/>
      <c r="DP276" s="89"/>
      <c r="DQ276" s="89"/>
      <c r="DR276" s="89"/>
      <c r="DS276" s="89"/>
      <c r="DT276" s="89"/>
      <c r="DU276" s="89"/>
      <c r="DV276" s="89"/>
      <c r="DW276" s="89"/>
      <c r="DX276" s="89"/>
      <c r="DY276" s="89"/>
      <c r="DZ276" s="89"/>
      <c r="EA276" s="89"/>
      <c r="EB276" s="89"/>
      <c r="EC276" s="89"/>
      <c r="ED276" s="89"/>
      <c r="EE276" s="89"/>
      <c r="EF276" s="89"/>
      <c r="EG276" s="89"/>
      <c r="EH276" s="89"/>
      <c r="EI276" s="89"/>
      <c r="EJ276" s="89"/>
      <c r="EK276" s="89"/>
      <c r="EL276" s="89"/>
      <c r="EM276" s="89"/>
      <c r="EN276" s="89"/>
      <c r="EO276" s="89"/>
      <c r="EP276" s="89"/>
      <c r="EQ276" s="89"/>
      <c r="ER276" s="89"/>
      <c r="ES276" s="89"/>
      <c r="ET276" s="89"/>
      <c r="EU276" s="89"/>
      <c r="EV276" s="89"/>
      <c r="EW276" s="89"/>
      <c r="EX276" s="89"/>
      <c r="EY276" s="89"/>
      <c r="EZ276" s="89"/>
      <c r="FA276" s="89"/>
      <c r="FB276" s="89"/>
      <c r="FC276" s="89"/>
      <c r="FD276" s="89"/>
      <c r="FE276" s="89"/>
      <c r="FF276" s="89"/>
      <c r="FG276" s="89"/>
      <c r="FH276" s="89"/>
      <c r="FI276" s="89"/>
      <c r="FJ276" s="89"/>
      <c r="FK276" s="89"/>
      <c r="FL276" s="89"/>
      <c r="FM276" s="89"/>
      <c r="FN276" s="89"/>
      <c r="FO276" s="89"/>
      <c r="FP276" s="89"/>
      <c r="FQ276" s="89"/>
      <c r="FR276" s="89"/>
      <c r="FS276" s="89"/>
      <c r="FT276" s="89"/>
      <c r="FU276" s="89"/>
      <c r="FV276" s="89"/>
      <c r="FW276" s="89"/>
      <c r="FX276" s="89"/>
      <c r="FY276" s="89"/>
      <c r="FZ276" s="89"/>
      <c r="GA276" s="89"/>
      <c r="GB276" s="89"/>
      <c r="GC276" s="89"/>
      <c r="GD276" s="89"/>
      <c r="GE276" s="89"/>
      <c r="GF276" s="89"/>
      <c r="GG276" s="89"/>
      <c r="GH276" s="89"/>
      <c r="GI276" s="89"/>
      <c r="GJ276" s="89"/>
      <c r="GK276" s="89"/>
      <c r="GL276" s="89"/>
      <c r="GM276" s="89"/>
      <c r="GN276" s="89"/>
      <c r="GO276" s="89"/>
      <c r="GP276" s="89"/>
      <c r="GQ276" s="89"/>
      <c r="GR276" s="89"/>
      <c r="GS276" s="89"/>
      <c r="GT276" s="89"/>
      <c r="GU276" s="89"/>
      <c r="GV276" s="89"/>
      <c r="GW276" s="89"/>
      <c r="GX276" s="89"/>
      <c r="GY276" s="89"/>
      <c r="GZ276" s="89"/>
      <c r="HA276" s="89"/>
      <c r="HB276" s="89"/>
      <c r="HC276" s="89"/>
    </row>
    <row r="277" customFormat="false" ht="28.5" hidden="false" customHeight="true" outlineLevel="0" collapsed="false">
      <c r="C277" s="2" t="s">
        <v>214</v>
      </c>
      <c r="HA277" s="1" t="s">
        <v>214</v>
      </c>
    </row>
    <row r="279" customFormat="false" ht="28.5" hidden="false" customHeight="true" outlineLevel="0" collapsed="false">
      <c r="K279" s="1" t="s">
        <v>214</v>
      </c>
    </row>
    <row r="281" customFormat="false" ht="28.5" hidden="false" customHeight="true" outlineLevel="0" collapsed="false">
      <c r="J281" s="5" t="s">
        <v>214</v>
      </c>
      <c r="M281" s="1" t="s">
        <v>214</v>
      </c>
    </row>
    <row r="282" customFormat="false" ht="28.5" hidden="false" customHeight="true" outlineLevel="0" collapsed="false">
      <c r="M282" s="1" t="s">
        <v>214</v>
      </c>
    </row>
    <row r="286" customFormat="false" ht="28.5" hidden="false" customHeight="true" outlineLevel="0" collapsed="false">
      <c r="B286" s="2" t="s">
        <v>214</v>
      </c>
    </row>
    <row r="297" customFormat="false" ht="28.5" hidden="false" customHeight="true" outlineLevel="0" collapsed="false">
      <c r="B297" s="2" t="s">
        <v>214</v>
      </c>
    </row>
  </sheetData>
  <autoFilter ref="A1:HE275">
    <filterColumn colId="1">
      <filters>
        <filter val="LAZARTE BERTA ROSA"/>
        <filter val="LAZARTE BERTA ROSA (yesica)"/>
        <filter val="LAZARTE BERTA ROSA(martin)"/>
      </filters>
    </filterColumn>
  </autoFilter>
  <printOptions headings="false" gridLines="false" gridLinesSet="true" horizontalCentered="false" verticalCentered="false"/>
  <pageMargins left="0.118055555555556" right="0.118055555555556" top="0.747916666666667" bottom="0.74791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0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19" activeCellId="0" sqref="A19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1" min="1" style="0" width="20.78"/>
    <col collapsed="false" customWidth="true" hidden="false" outlineLevel="0" max="2" min="2" style="0" width="26.84"/>
    <col collapsed="false" customWidth="true" hidden="false" outlineLevel="0" max="3" min="3" style="0" width="26.01"/>
    <col collapsed="false" customWidth="true" hidden="false" outlineLevel="0" max="4" min="4" style="0" width="19.33"/>
  </cols>
  <sheetData>
    <row r="1" customFormat="false" ht="17.9" hidden="false" customHeight="false" outlineLevel="0" collapsed="false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10" t="s">
        <v>8</v>
      </c>
      <c r="J1" s="7" t="s">
        <v>9</v>
      </c>
      <c r="K1" s="11" t="s">
        <v>10</v>
      </c>
      <c r="L1" s="12" t="s">
        <v>11</v>
      </c>
      <c r="M1" s="12" t="s">
        <v>12</v>
      </c>
      <c r="N1" s="15" t="s">
        <v>204</v>
      </c>
      <c r="O1" s="16" t="s">
        <v>205</v>
      </c>
      <c r="P1" s="17" t="s">
        <v>206</v>
      </c>
      <c r="Q1" s="10" t="s">
        <v>207</v>
      </c>
      <c r="R1" s="10" t="s">
        <v>208</v>
      </c>
      <c r="S1" s="18" t="s">
        <v>209</v>
      </c>
      <c r="T1" s="18" t="s">
        <v>210</v>
      </c>
    </row>
    <row r="2" s="1" customFormat="true" ht="14.9" hidden="false" customHeight="false" outlineLevel="0" collapsed="false">
      <c r="A2" s="26" t="n">
        <v>3683</v>
      </c>
      <c r="B2" s="21" t="s">
        <v>450</v>
      </c>
      <c r="C2" s="21" t="s">
        <v>451</v>
      </c>
      <c r="D2" s="34"/>
      <c r="E2" s="25" t="n">
        <v>46098</v>
      </c>
      <c r="F2" s="25" t="n">
        <v>46198</v>
      </c>
      <c r="G2" s="26" t="n">
        <v>72</v>
      </c>
      <c r="H2" s="27" t="n">
        <v>40</v>
      </c>
      <c r="I2" s="27" t="n">
        <v>32</v>
      </c>
      <c r="J2" s="22" t="s">
        <v>452</v>
      </c>
      <c r="K2" s="39" t="n">
        <v>30000</v>
      </c>
      <c r="L2" s="36" t="n">
        <v>64800</v>
      </c>
      <c r="M2" s="37" t="n">
        <v>4500</v>
      </c>
      <c r="N2" s="30" t="n">
        <v>4500</v>
      </c>
      <c r="O2" s="30" t="n">
        <v>36000</v>
      </c>
      <c r="P2" s="36" t="n">
        <v>28800</v>
      </c>
      <c r="Q2" s="32" t="n">
        <v>8</v>
      </c>
      <c r="R2" s="32" t="n">
        <v>6.4</v>
      </c>
      <c r="S2" s="33" t="n">
        <v>2</v>
      </c>
      <c r="T2" s="33" t="n">
        <v>1.6</v>
      </c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 t="s">
        <v>214</v>
      </c>
      <c r="EL2" s="41"/>
      <c r="EM2" s="41" t="s">
        <v>214</v>
      </c>
      <c r="EN2" s="41" t="s">
        <v>214</v>
      </c>
      <c r="EO2" s="41"/>
      <c r="EP2" s="41"/>
      <c r="EQ2" s="30"/>
      <c r="ER2" s="30"/>
      <c r="ES2" s="30" t="s">
        <v>214</v>
      </c>
      <c r="ET2" s="30"/>
      <c r="EU2" s="30"/>
      <c r="EV2" s="30" t="s">
        <v>214</v>
      </c>
      <c r="EW2" s="30"/>
      <c r="EX2" s="30"/>
      <c r="EY2" s="30"/>
      <c r="EZ2" s="30"/>
      <c r="FA2" s="30"/>
      <c r="FB2" s="30"/>
      <c r="FC2" s="30" t="s">
        <v>214</v>
      </c>
      <c r="FD2" s="30"/>
      <c r="FE2" s="30"/>
      <c r="FF2" s="30"/>
      <c r="FG2" s="30"/>
      <c r="FH2" s="30"/>
      <c r="FI2" s="30"/>
      <c r="FJ2" s="30"/>
      <c r="FK2" s="30"/>
      <c r="FL2" s="30" t="s">
        <v>214</v>
      </c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 t="n">
        <v>15000</v>
      </c>
      <c r="GI2" s="30" t="n">
        <v>15000</v>
      </c>
      <c r="GJ2" s="30" t="n">
        <v>15000</v>
      </c>
      <c r="GK2" s="30" t="n">
        <v>15000</v>
      </c>
      <c r="GL2" s="30"/>
      <c r="GM2" s="30" t="n">
        <v>15000</v>
      </c>
      <c r="GN2" s="30" t="n">
        <v>15000</v>
      </c>
      <c r="GO2" s="30" t="n">
        <v>15000</v>
      </c>
      <c r="GP2" s="30" t="n">
        <v>15000</v>
      </c>
      <c r="GQ2" s="30" t="n">
        <v>15000</v>
      </c>
      <c r="GR2" s="30" t="n">
        <v>15000</v>
      </c>
      <c r="GS2" s="30" t="n">
        <v>15000</v>
      </c>
      <c r="GT2" s="30"/>
      <c r="GU2" s="30" t="n">
        <v>15000</v>
      </c>
      <c r="GV2" s="30" t="n">
        <v>15000</v>
      </c>
      <c r="GW2" s="30" t="n">
        <v>15000</v>
      </c>
      <c r="GX2" s="30" t="n">
        <f aca="false">SUM(N2:GW2)</f>
        <v>279318</v>
      </c>
      <c r="GY2" s="36" t="n">
        <f aca="false">SUM(L2-GX2)</f>
        <v>-214518</v>
      </c>
      <c r="GZ2" s="32" t="n">
        <f aca="false">SUM( H2/5)</f>
        <v>8</v>
      </c>
      <c r="HA2" s="32" t="n">
        <f aca="false">SUM( I2/5)</f>
        <v>6.4</v>
      </c>
      <c r="HB2" s="33" t="n">
        <f aca="false">SUM(GZ2/4)</f>
        <v>2</v>
      </c>
      <c r="HC2" s="33" t="n">
        <f aca="false">SUM(HA2/4)</f>
        <v>1.6</v>
      </c>
      <c r="WXV2" s="0"/>
      <c r="WXW2" s="0"/>
      <c r="WXX2" s="0"/>
      <c r="WXY2" s="0"/>
      <c r="WXZ2" s="0"/>
      <c r="WYA2" s="0"/>
      <c r="WYB2" s="0"/>
      <c r="WYC2" s="0"/>
      <c r="WYD2" s="0"/>
      <c r="WYE2" s="0"/>
      <c r="WYF2" s="0"/>
      <c r="WYG2" s="0"/>
      <c r="WYH2" s="0"/>
      <c r="WYI2" s="0"/>
      <c r="WYJ2" s="0"/>
      <c r="WYK2" s="0"/>
      <c r="WYL2" s="0"/>
      <c r="WYM2" s="0"/>
      <c r="WYN2" s="0"/>
      <c r="WYO2" s="0"/>
      <c r="WYP2" s="0"/>
      <c r="WYQ2" s="0"/>
      <c r="WYR2" s="0"/>
      <c r="WYS2" s="0"/>
      <c r="WYT2" s="0"/>
      <c r="WYU2" s="0"/>
      <c r="WYV2" s="0"/>
      <c r="WYW2" s="0"/>
      <c r="WYX2" s="0"/>
      <c r="WYY2" s="0"/>
      <c r="WYZ2" s="0"/>
      <c r="WZA2" s="0"/>
      <c r="WZB2" s="0"/>
      <c r="WZC2" s="0"/>
      <c r="WZD2" s="0"/>
      <c r="WZE2" s="0"/>
      <c r="WZF2" s="0"/>
      <c r="WZG2" s="0"/>
      <c r="WZH2" s="0"/>
      <c r="WZI2" s="0"/>
      <c r="WZJ2" s="0"/>
      <c r="WZK2" s="0"/>
      <c r="WZL2" s="0"/>
      <c r="WZM2" s="0"/>
      <c r="WZN2" s="0"/>
      <c r="WZO2" s="0"/>
      <c r="WZP2" s="0"/>
      <c r="WZQ2" s="0"/>
      <c r="WZR2" s="0"/>
      <c r="WZS2" s="0"/>
      <c r="WZT2" s="0"/>
      <c r="WZU2" s="0"/>
      <c r="WZV2" s="0"/>
      <c r="WZW2" s="0"/>
      <c r="WZX2" s="0"/>
      <c r="WZY2" s="0"/>
      <c r="WZZ2" s="0"/>
      <c r="XAA2" s="0"/>
      <c r="XAB2" s="0"/>
      <c r="XAC2" s="0"/>
      <c r="XAD2" s="0"/>
      <c r="XAE2" s="0"/>
      <c r="XAF2" s="0"/>
      <c r="XAG2" s="0"/>
      <c r="XAH2" s="0"/>
      <c r="XAI2" s="0"/>
      <c r="XAJ2" s="0"/>
      <c r="XAK2" s="0"/>
      <c r="XAL2" s="0"/>
      <c r="XAM2" s="0"/>
      <c r="XAN2" s="0"/>
      <c r="XAO2" s="0"/>
      <c r="XAP2" s="0"/>
      <c r="XAQ2" s="0"/>
      <c r="XAR2" s="0"/>
      <c r="XAS2" s="0"/>
      <c r="XAT2" s="0"/>
      <c r="XAU2" s="0"/>
      <c r="XAV2" s="0"/>
      <c r="XAW2" s="0"/>
      <c r="XAX2" s="0"/>
      <c r="XAY2" s="0"/>
      <c r="XAZ2" s="0"/>
      <c r="XBA2" s="0"/>
      <c r="XBB2" s="0"/>
      <c r="XBC2" s="0"/>
      <c r="XBD2" s="0"/>
      <c r="XBE2" s="0"/>
      <c r="XBF2" s="0"/>
      <c r="XBG2" s="0"/>
      <c r="XBH2" s="0"/>
      <c r="XBI2" s="0"/>
      <c r="XBJ2" s="0"/>
      <c r="XBK2" s="0"/>
      <c r="XBL2" s="0"/>
      <c r="XBM2" s="0"/>
      <c r="XBN2" s="0"/>
      <c r="XBO2" s="0"/>
      <c r="XBP2" s="0"/>
      <c r="XBQ2" s="0"/>
      <c r="XBR2" s="0"/>
      <c r="XBS2" s="0"/>
      <c r="XBT2" s="0"/>
      <c r="XBU2" s="0"/>
      <c r="XBV2" s="0"/>
      <c r="XBW2" s="0"/>
      <c r="XBX2" s="0"/>
      <c r="XBY2" s="0"/>
      <c r="XBZ2" s="0"/>
      <c r="XCA2" s="0"/>
      <c r="XCB2" s="0"/>
      <c r="XCC2" s="0"/>
      <c r="XCD2" s="0"/>
      <c r="XCE2" s="0"/>
      <c r="XCF2" s="0"/>
      <c r="XCG2" s="0"/>
      <c r="XCH2" s="0"/>
      <c r="XCI2" s="0"/>
      <c r="XCJ2" s="0"/>
      <c r="XCK2" s="0"/>
      <c r="XCL2" s="0"/>
      <c r="XCM2" s="0"/>
      <c r="XCN2" s="0"/>
      <c r="XCO2" s="0"/>
      <c r="XCP2" s="0"/>
      <c r="XCQ2" s="0"/>
      <c r="XCR2" s="0"/>
      <c r="XCS2" s="0"/>
      <c r="XCT2" s="0"/>
      <c r="XCU2" s="0"/>
      <c r="XCV2" s="0"/>
      <c r="XCW2" s="0"/>
      <c r="XCX2" s="0"/>
      <c r="XCY2" s="0"/>
      <c r="XCZ2" s="0"/>
      <c r="XDA2" s="0"/>
      <c r="XDB2" s="0"/>
      <c r="XDC2" s="0"/>
      <c r="XDD2" s="0"/>
      <c r="XDE2" s="0"/>
      <c r="XDF2" s="0"/>
      <c r="XDG2" s="0"/>
      <c r="XDH2" s="0"/>
      <c r="XDI2" s="0"/>
      <c r="XDJ2" s="0"/>
      <c r="XDK2" s="0"/>
      <c r="XDL2" s="0"/>
      <c r="XDM2" s="0"/>
      <c r="XDN2" s="0"/>
      <c r="XDO2" s="0"/>
      <c r="XDP2" s="0"/>
      <c r="XDQ2" s="0"/>
      <c r="XDR2" s="0"/>
      <c r="XDS2" s="0"/>
      <c r="XDT2" s="0"/>
      <c r="XDU2" s="0"/>
      <c r="XDV2" s="0"/>
      <c r="XDW2" s="0"/>
      <c r="XDX2" s="0"/>
      <c r="XDY2" s="0"/>
      <c r="XDZ2" s="0"/>
      <c r="XEA2" s="0"/>
      <c r="XEB2" s="0"/>
      <c r="XEC2" s="0"/>
      <c r="XED2" s="0"/>
      <c r="XEE2" s="0"/>
      <c r="XEF2" s="0"/>
      <c r="XEG2" s="0"/>
      <c r="XEH2" s="0"/>
      <c r="XEI2" s="0"/>
      <c r="XEJ2" s="0"/>
      <c r="XEK2" s="0"/>
      <c r="XEL2" s="0"/>
      <c r="XEM2" s="0"/>
      <c r="XEN2" s="0"/>
      <c r="XEO2" s="0"/>
      <c r="XEP2" s="0"/>
      <c r="XEQ2" s="0"/>
      <c r="XER2" s="0"/>
      <c r="XES2" s="0"/>
      <c r="XET2" s="0"/>
      <c r="XEU2" s="0"/>
      <c r="XEV2" s="0"/>
      <c r="XEW2" s="0"/>
      <c r="XEX2" s="0"/>
      <c r="XEY2" s="0"/>
      <c r="XEZ2" s="0"/>
      <c r="XFA2" s="0"/>
      <c r="XFB2" s="0"/>
      <c r="XFC2" s="0"/>
      <c r="XFD2" s="0"/>
    </row>
    <row r="3" s="1" customFormat="true" ht="14.9" hidden="false" customHeight="false" outlineLevel="0" collapsed="false">
      <c r="A3" s="26" t="n">
        <v>3743</v>
      </c>
      <c r="B3" s="21" t="s">
        <v>450</v>
      </c>
      <c r="C3" s="21" t="s">
        <v>451</v>
      </c>
      <c r="D3" s="34"/>
      <c r="E3" s="25" t="n">
        <v>46137</v>
      </c>
      <c r="F3" s="25" t="n">
        <v>46238</v>
      </c>
      <c r="G3" s="26" t="n">
        <v>72</v>
      </c>
      <c r="H3" s="27" t="n">
        <v>35</v>
      </c>
      <c r="I3" s="27" t="n">
        <v>37</v>
      </c>
      <c r="J3" s="22" t="s">
        <v>266</v>
      </c>
      <c r="K3" s="46" t="n">
        <v>20000</v>
      </c>
      <c r="L3" s="36" t="n">
        <v>43200</v>
      </c>
      <c r="M3" s="29" t="n">
        <v>3000</v>
      </c>
      <c r="N3" s="30" t="n">
        <v>3000</v>
      </c>
      <c r="O3" s="30" t="n">
        <v>21000</v>
      </c>
      <c r="P3" s="36" t="n">
        <v>22200</v>
      </c>
      <c r="Q3" s="32" t="n">
        <v>7</v>
      </c>
      <c r="R3" s="32" t="n">
        <v>7.4</v>
      </c>
      <c r="S3" s="33" t="n">
        <v>1.75</v>
      </c>
      <c r="T3" s="33" t="n">
        <v>1.85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 t="s">
        <v>214</v>
      </c>
      <c r="EL3" s="41"/>
      <c r="EM3" s="41" t="s">
        <v>214</v>
      </c>
      <c r="EN3" s="41" t="s">
        <v>214</v>
      </c>
      <c r="EO3" s="41"/>
      <c r="EP3" s="41"/>
      <c r="EQ3" s="30"/>
      <c r="ER3" s="30"/>
      <c r="ES3" s="30" t="s">
        <v>214</v>
      </c>
      <c r="ET3" s="30"/>
      <c r="EU3" s="30"/>
      <c r="EV3" s="30" t="s">
        <v>214</v>
      </c>
      <c r="EW3" s="30"/>
      <c r="EX3" s="30"/>
      <c r="EY3" s="30"/>
      <c r="EZ3" s="30"/>
      <c r="FA3" s="30"/>
      <c r="FB3" s="30"/>
      <c r="FC3" s="30" t="s">
        <v>214</v>
      </c>
      <c r="FD3" s="30"/>
      <c r="FE3" s="30"/>
      <c r="FF3" s="30"/>
      <c r="FG3" s="30"/>
      <c r="FH3" s="30"/>
      <c r="FI3" s="30"/>
      <c r="FJ3" s="30"/>
      <c r="FK3" s="30"/>
      <c r="FL3" s="30" t="s">
        <v>214</v>
      </c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 t="n">
        <v>36000</v>
      </c>
      <c r="GI3" s="30" t="n">
        <v>36000</v>
      </c>
      <c r="GJ3" s="30" t="n">
        <v>36000</v>
      </c>
      <c r="GK3" s="30" t="n">
        <v>36000</v>
      </c>
      <c r="GL3" s="30"/>
      <c r="GM3" s="30" t="n">
        <v>36000</v>
      </c>
      <c r="GN3" s="30" t="n">
        <v>36000</v>
      </c>
      <c r="GO3" s="30" t="n">
        <v>36000</v>
      </c>
      <c r="GP3" s="30" t="n">
        <v>36000</v>
      </c>
      <c r="GQ3" s="30" t="n">
        <v>36000</v>
      </c>
      <c r="GR3" s="30" t="n">
        <v>24000</v>
      </c>
      <c r="GS3" s="30" t="n">
        <v>36000</v>
      </c>
      <c r="GT3" s="30"/>
      <c r="GU3" s="30" t="n">
        <v>36000</v>
      </c>
      <c r="GV3" s="30" t="n">
        <v>36000</v>
      </c>
      <c r="GW3" s="30" t="n">
        <v>36000</v>
      </c>
      <c r="GX3" s="30" t="n">
        <f aca="false">SUM(N3:GW3)</f>
        <v>538218</v>
      </c>
      <c r="GY3" s="36" t="n">
        <f aca="false">SUM(L3-GX3)</f>
        <v>-495018</v>
      </c>
      <c r="GZ3" s="32" t="n">
        <f aca="false">SUM( H3/5)</f>
        <v>7</v>
      </c>
      <c r="HA3" s="32" t="n">
        <f aca="false">SUM( I3/5)</f>
        <v>7.4</v>
      </c>
      <c r="HB3" s="33" t="n">
        <f aca="false">SUM(GZ3/4)</f>
        <v>1.75</v>
      </c>
      <c r="HC3" s="33" t="n">
        <f aca="false">SUM(HA3/4)</f>
        <v>1.85</v>
      </c>
      <c r="WXV3" s="121"/>
      <c r="WXW3" s="121"/>
      <c r="WXX3" s="121"/>
      <c r="WXY3" s="121"/>
      <c r="WXZ3" s="121"/>
      <c r="WYA3" s="121"/>
      <c r="WYB3" s="121"/>
      <c r="WYC3" s="121"/>
      <c r="WYD3" s="121"/>
      <c r="WYE3" s="121"/>
      <c r="WYF3" s="121"/>
      <c r="WYG3" s="121"/>
      <c r="WYH3" s="121"/>
      <c r="WYI3" s="121"/>
      <c r="WYJ3" s="121"/>
      <c r="WYK3" s="121"/>
      <c r="WYL3" s="121"/>
      <c r="WYM3" s="121"/>
      <c r="WYN3" s="121"/>
      <c r="WYO3" s="121"/>
      <c r="WYP3" s="121"/>
      <c r="WYQ3" s="121"/>
      <c r="WYR3" s="121"/>
      <c r="WYS3" s="121"/>
      <c r="WYT3" s="121"/>
      <c r="WYU3" s="121"/>
      <c r="WYV3" s="121"/>
      <c r="WYW3" s="121"/>
      <c r="WYX3" s="121"/>
      <c r="WYY3" s="121"/>
      <c r="WYZ3" s="121"/>
      <c r="WZA3" s="121"/>
      <c r="WZB3" s="121"/>
      <c r="WZC3" s="121"/>
      <c r="WZD3" s="121"/>
      <c r="WZE3" s="121"/>
      <c r="WZF3" s="121"/>
      <c r="WZG3" s="121"/>
      <c r="WZH3" s="121"/>
      <c r="WZI3" s="121"/>
      <c r="WZJ3" s="121"/>
      <c r="WZK3" s="121"/>
      <c r="WZL3" s="121"/>
      <c r="WZM3" s="121"/>
      <c r="WZN3" s="121"/>
      <c r="WZO3" s="121"/>
      <c r="WZP3" s="121"/>
      <c r="WZQ3" s="121"/>
      <c r="WZR3" s="121"/>
      <c r="WZS3" s="121"/>
      <c r="WZT3" s="121"/>
      <c r="WZU3" s="121"/>
      <c r="WZV3" s="121"/>
      <c r="WZW3" s="121"/>
      <c r="WZX3" s="121"/>
      <c r="WZY3" s="121"/>
      <c r="WZZ3" s="121"/>
      <c r="XAA3" s="121"/>
      <c r="XAB3" s="121"/>
      <c r="XAC3" s="121"/>
      <c r="XAD3" s="121"/>
      <c r="XAE3" s="121"/>
      <c r="XAF3" s="121"/>
      <c r="XAG3" s="121"/>
      <c r="XAH3" s="121"/>
      <c r="XAI3" s="121"/>
      <c r="XAJ3" s="121"/>
      <c r="XAK3" s="121"/>
      <c r="XAL3" s="121"/>
      <c r="XAM3" s="121"/>
      <c r="XAN3" s="121"/>
      <c r="XAO3" s="121"/>
      <c r="XAP3" s="121"/>
      <c r="XAQ3" s="121"/>
      <c r="XAR3" s="121"/>
      <c r="XAS3" s="121"/>
      <c r="XAT3" s="121"/>
      <c r="XAU3" s="121"/>
      <c r="XAV3" s="121"/>
      <c r="XAW3" s="121"/>
      <c r="XAX3" s="121"/>
      <c r="XAY3" s="121"/>
      <c r="XAZ3" s="121"/>
      <c r="XBA3" s="121"/>
      <c r="XBB3" s="121"/>
      <c r="XBC3" s="121"/>
      <c r="XBD3" s="121"/>
      <c r="XBE3" s="121"/>
      <c r="XBF3" s="121"/>
      <c r="XBG3" s="121"/>
      <c r="XBH3" s="121"/>
      <c r="XBI3" s="121"/>
      <c r="XBJ3" s="121"/>
      <c r="XBK3" s="121"/>
      <c r="XBL3" s="121"/>
      <c r="XBM3" s="121"/>
      <c r="XBN3" s="121"/>
      <c r="XBO3" s="121"/>
      <c r="XBP3" s="121"/>
      <c r="XBQ3" s="121"/>
      <c r="XBR3" s="121"/>
      <c r="XBS3" s="121"/>
      <c r="XBT3" s="121"/>
      <c r="XBU3" s="121"/>
      <c r="XBV3" s="121"/>
      <c r="XBW3" s="121"/>
      <c r="XBX3" s="121"/>
      <c r="XBY3" s="121"/>
      <c r="XBZ3" s="121"/>
      <c r="XCA3" s="121"/>
      <c r="XCB3" s="121"/>
      <c r="XCC3" s="121"/>
      <c r="XCD3" s="121"/>
      <c r="XCE3" s="121"/>
      <c r="XCF3" s="121"/>
      <c r="XCG3" s="121"/>
      <c r="XCH3" s="121"/>
      <c r="XCI3" s="121"/>
      <c r="XCJ3" s="121"/>
      <c r="XCK3" s="121"/>
      <c r="XCL3" s="121"/>
      <c r="XCM3" s="121"/>
      <c r="XCN3" s="121"/>
      <c r="XCO3" s="121"/>
      <c r="XCP3" s="121"/>
      <c r="XCQ3" s="121"/>
      <c r="XCR3" s="121"/>
      <c r="XCS3" s="121"/>
      <c r="XCT3" s="121"/>
      <c r="XCU3" s="121"/>
      <c r="XCV3" s="121"/>
      <c r="XCW3" s="121"/>
      <c r="XCX3" s="121"/>
      <c r="XCY3" s="121"/>
      <c r="XCZ3" s="121"/>
      <c r="XDA3" s="121"/>
      <c r="XDB3" s="121"/>
      <c r="XDC3" s="121"/>
      <c r="XDD3" s="121"/>
      <c r="XDE3" s="121"/>
      <c r="XDF3" s="121"/>
      <c r="XDG3" s="121"/>
      <c r="XDH3" s="121"/>
      <c r="XDI3" s="121"/>
      <c r="XDJ3" s="121"/>
      <c r="XDK3" s="121"/>
      <c r="XDL3" s="121"/>
      <c r="XDM3" s="121"/>
      <c r="XDN3" s="121"/>
      <c r="XDO3" s="121"/>
      <c r="XDP3" s="121"/>
      <c r="XDQ3" s="121"/>
      <c r="XDR3" s="121"/>
      <c r="XDS3" s="121"/>
      <c r="XDT3" s="121"/>
      <c r="XDU3" s="121"/>
      <c r="XDV3" s="121"/>
      <c r="XDW3" s="121"/>
      <c r="XDX3" s="121"/>
      <c r="XDY3" s="121"/>
      <c r="XDZ3" s="121"/>
      <c r="XEA3" s="121"/>
      <c r="XEB3" s="121"/>
      <c r="XEC3" s="121"/>
      <c r="XED3" s="121"/>
      <c r="XEE3" s="121"/>
      <c r="XEF3" s="121"/>
      <c r="XEG3" s="121"/>
      <c r="XEH3" s="121"/>
      <c r="XEI3" s="121"/>
      <c r="XEJ3" s="121"/>
      <c r="XEK3" s="121"/>
      <c r="XEL3" s="121"/>
      <c r="XEM3" s="121"/>
      <c r="XEN3" s="121"/>
      <c r="XEO3" s="121"/>
      <c r="XEP3" s="121"/>
      <c r="XEQ3" s="121"/>
      <c r="XER3" s="121"/>
      <c r="XES3" s="121"/>
      <c r="XET3" s="121"/>
      <c r="XEU3" s="121"/>
      <c r="XEV3" s="121"/>
      <c r="XEW3" s="121"/>
      <c r="XEX3" s="121"/>
      <c r="XEY3" s="121"/>
      <c r="XEZ3" s="121"/>
      <c r="XFA3" s="121"/>
      <c r="XFB3" s="121"/>
      <c r="XFC3" s="121"/>
      <c r="XFD3" s="121"/>
    </row>
    <row r="4" s="1" customFormat="true" ht="14.9" hidden="false" customHeight="false" outlineLevel="0" collapsed="false">
      <c r="A4" s="26" t="n">
        <v>3791</v>
      </c>
      <c r="B4" s="21" t="s">
        <v>450</v>
      </c>
      <c r="C4" s="21" t="s">
        <v>451</v>
      </c>
      <c r="D4" s="34"/>
      <c r="E4" s="25" t="n">
        <v>46176</v>
      </c>
      <c r="F4" s="25" t="n">
        <v>46276</v>
      </c>
      <c r="G4" s="26" t="n">
        <v>72</v>
      </c>
      <c r="H4" s="27" t="n">
        <v>10</v>
      </c>
      <c r="I4" s="27" t="n">
        <v>62</v>
      </c>
      <c r="J4" s="22" t="s">
        <v>266</v>
      </c>
      <c r="K4" s="45" t="n">
        <v>20000</v>
      </c>
      <c r="L4" s="31" t="n">
        <v>43200</v>
      </c>
      <c r="M4" s="29" t="n">
        <v>3000</v>
      </c>
      <c r="N4" s="30" t="n">
        <v>3000</v>
      </c>
      <c r="O4" s="30" t="n">
        <v>6000</v>
      </c>
      <c r="P4" s="36" t="n">
        <v>37200</v>
      </c>
      <c r="Q4" s="32" t="n">
        <v>2</v>
      </c>
      <c r="R4" s="32" t="n">
        <v>12.4</v>
      </c>
      <c r="S4" s="33" t="n">
        <v>0.5</v>
      </c>
      <c r="T4" s="33" t="n">
        <v>3.1</v>
      </c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 t="s">
        <v>214</v>
      </c>
      <c r="EL4" s="30"/>
      <c r="EM4" s="30" t="s">
        <v>214</v>
      </c>
      <c r="EN4" s="30" t="s">
        <v>214</v>
      </c>
      <c r="EO4" s="30"/>
      <c r="EP4" s="30"/>
      <c r="EQ4" s="30"/>
      <c r="ER4" s="30"/>
      <c r="ES4" s="30" t="s">
        <v>214</v>
      </c>
      <c r="ET4" s="30"/>
      <c r="EU4" s="30"/>
      <c r="EV4" s="30" t="s">
        <v>214</v>
      </c>
      <c r="EW4" s="30"/>
      <c r="EX4" s="30"/>
      <c r="EY4" s="30"/>
      <c r="EZ4" s="30"/>
      <c r="FA4" s="30"/>
      <c r="FB4" s="30"/>
      <c r="FC4" s="30" t="s">
        <v>214</v>
      </c>
      <c r="FD4" s="30"/>
      <c r="FE4" s="30"/>
      <c r="FF4" s="30"/>
      <c r="FG4" s="30"/>
      <c r="FH4" s="30"/>
      <c r="FI4" s="30"/>
      <c r="FJ4" s="30"/>
      <c r="FK4" s="30"/>
      <c r="FL4" s="30" t="s">
        <v>214</v>
      </c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 t="n">
        <v>45000</v>
      </c>
      <c r="GR4" s="30" t="n">
        <v>45000</v>
      </c>
      <c r="GS4" s="30" t="n">
        <v>45000</v>
      </c>
      <c r="GT4" s="30"/>
      <c r="GU4" s="30" t="n">
        <v>45000</v>
      </c>
      <c r="GV4" s="30" t="n">
        <v>45000</v>
      </c>
      <c r="GW4" s="30" t="n">
        <v>45000</v>
      </c>
      <c r="GX4" s="30" t="n">
        <f aca="false">SUM(N4:GW4)</f>
        <v>316218</v>
      </c>
      <c r="GY4" s="36" t="n">
        <f aca="false">SUM(L4-GX4)</f>
        <v>-273018</v>
      </c>
      <c r="GZ4" s="32" t="n">
        <f aca="false">SUM( H4/5)</f>
        <v>2</v>
      </c>
      <c r="HA4" s="32" t="n">
        <f aca="false">SUM( I4/5)</f>
        <v>12.4</v>
      </c>
      <c r="HB4" s="33" t="n">
        <f aca="false">SUM(GZ4/4)</f>
        <v>0.5</v>
      </c>
      <c r="HC4" s="33" t="n">
        <f aca="false">SUM(HA4/4)</f>
        <v>3.1</v>
      </c>
      <c r="WXV4" s="0"/>
      <c r="WXW4" s="0"/>
      <c r="WXX4" s="0"/>
      <c r="WXY4" s="0"/>
      <c r="WXZ4" s="0"/>
      <c r="WYA4" s="0"/>
      <c r="WYB4" s="0"/>
      <c r="WYC4" s="0"/>
      <c r="WYD4" s="0"/>
      <c r="WYE4" s="0"/>
      <c r="WYF4" s="0"/>
      <c r="WYG4" s="0"/>
      <c r="WYH4" s="0"/>
      <c r="WYI4" s="0"/>
      <c r="WYJ4" s="0"/>
      <c r="WYK4" s="0"/>
      <c r="WYL4" s="0"/>
      <c r="WYM4" s="0"/>
      <c r="WYN4" s="0"/>
      <c r="WYO4" s="0"/>
      <c r="WYP4" s="0"/>
      <c r="WYQ4" s="0"/>
      <c r="WYR4" s="0"/>
      <c r="WYS4" s="0"/>
      <c r="WYT4" s="0"/>
      <c r="WYU4" s="0"/>
      <c r="WYV4" s="0"/>
      <c r="WYW4" s="0"/>
      <c r="WYX4" s="0"/>
      <c r="WYY4" s="0"/>
      <c r="WYZ4" s="0"/>
      <c r="WZA4" s="0"/>
      <c r="WZB4" s="0"/>
      <c r="WZC4" s="0"/>
      <c r="WZD4" s="0"/>
      <c r="WZE4" s="0"/>
      <c r="WZF4" s="0"/>
      <c r="WZG4" s="0"/>
      <c r="WZH4" s="0"/>
      <c r="WZI4" s="0"/>
      <c r="WZJ4" s="0"/>
      <c r="WZK4" s="0"/>
      <c r="WZL4" s="0"/>
      <c r="WZM4" s="0"/>
      <c r="WZN4" s="0"/>
      <c r="WZO4" s="0"/>
      <c r="WZP4" s="0"/>
      <c r="WZQ4" s="0"/>
      <c r="WZR4" s="0"/>
      <c r="WZS4" s="0"/>
      <c r="WZT4" s="0"/>
      <c r="WZU4" s="0"/>
      <c r="WZV4" s="0"/>
      <c r="WZW4" s="0"/>
      <c r="WZX4" s="0"/>
      <c r="WZY4" s="0"/>
      <c r="WZZ4" s="0"/>
      <c r="XAA4" s="0"/>
      <c r="XAB4" s="0"/>
      <c r="XAC4" s="0"/>
      <c r="XAD4" s="0"/>
      <c r="XAE4" s="0"/>
      <c r="XAF4" s="0"/>
      <c r="XAG4" s="0"/>
      <c r="XAH4" s="0"/>
      <c r="XAI4" s="0"/>
      <c r="XAJ4" s="0"/>
      <c r="XAK4" s="0"/>
      <c r="XAL4" s="0"/>
      <c r="XAM4" s="0"/>
      <c r="XAN4" s="0"/>
      <c r="XAO4" s="0"/>
      <c r="XAP4" s="0"/>
      <c r="XAQ4" s="0"/>
      <c r="XAR4" s="0"/>
      <c r="XAS4" s="0"/>
      <c r="XAT4" s="0"/>
      <c r="XAU4" s="0"/>
      <c r="XAV4" s="0"/>
      <c r="XAW4" s="0"/>
      <c r="XAX4" s="0"/>
      <c r="XAY4" s="0"/>
      <c r="XAZ4" s="0"/>
      <c r="XBA4" s="0"/>
      <c r="XBB4" s="0"/>
      <c r="XBC4" s="0"/>
      <c r="XBD4" s="0"/>
      <c r="XBE4" s="0"/>
      <c r="XBF4" s="0"/>
      <c r="XBG4" s="0"/>
      <c r="XBH4" s="0"/>
      <c r="XBI4" s="0"/>
      <c r="XBJ4" s="0"/>
      <c r="XBK4" s="0"/>
      <c r="XBL4" s="0"/>
      <c r="XBM4" s="0"/>
      <c r="XBN4" s="0"/>
      <c r="XBO4" s="0"/>
      <c r="XBP4" s="0"/>
      <c r="XBQ4" s="0"/>
      <c r="XBR4" s="0"/>
      <c r="XBS4" s="0"/>
      <c r="XBT4" s="0"/>
      <c r="XBU4" s="0"/>
      <c r="XBV4" s="0"/>
      <c r="XBW4" s="0"/>
      <c r="XBX4" s="0"/>
      <c r="XBY4" s="0"/>
      <c r="XBZ4" s="0"/>
      <c r="XCA4" s="0"/>
      <c r="XCB4" s="0"/>
      <c r="XCC4" s="0"/>
      <c r="XCD4" s="0"/>
      <c r="XCE4" s="0"/>
      <c r="XCF4" s="0"/>
      <c r="XCG4" s="0"/>
      <c r="XCH4" s="0"/>
      <c r="XCI4" s="0"/>
      <c r="XCJ4" s="0"/>
      <c r="XCK4" s="0"/>
      <c r="XCL4" s="0"/>
      <c r="XCM4" s="0"/>
      <c r="XCN4" s="0"/>
      <c r="XCO4" s="0"/>
      <c r="XCP4" s="0"/>
      <c r="XCQ4" s="0"/>
      <c r="XCR4" s="0"/>
      <c r="XCS4" s="0"/>
      <c r="XCT4" s="0"/>
      <c r="XCU4" s="0"/>
      <c r="XCV4" s="0"/>
      <c r="XCW4" s="0"/>
      <c r="XCX4" s="0"/>
      <c r="XCY4" s="0"/>
      <c r="XCZ4" s="0"/>
      <c r="XDA4" s="0"/>
      <c r="XDB4" s="0"/>
      <c r="XDC4" s="0"/>
      <c r="XDD4" s="0"/>
      <c r="XDE4" s="0"/>
      <c r="XDF4" s="0"/>
      <c r="XDG4" s="0"/>
      <c r="XDH4" s="0"/>
      <c r="XDI4" s="0"/>
      <c r="XDJ4" s="0"/>
      <c r="XDK4" s="0"/>
      <c r="XDL4" s="0"/>
      <c r="XDM4" s="0"/>
      <c r="XDN4" s="0"/>
      <c r="XDO4" s="0"/>
      <c r="XDP4" s="0"/>
      <c r="XDQ4" s="0"/>
      <c r="XDR4" s="0"/>
      <c r="XDS4" s="0"/>
      <c r="XDT4" s="0"/>
      <c r="XDU4" s="0"/>
      <c r="XDV4" s="0"/>
      <c r="XDW4" s="0"/>
      <c r="XDX4" s="0"/>
      <c r="XDY4" s="0"/>
      <c r="XDZ4" s="0"/>
      <c r="XEA4" s="0"/>
      <c r="XEB4" s="0"/>
      <c r="XEC4" s="0"/>
      <c r="XED4" s="0"/>
      <c r="XEE4" s="0"/>
      <c r="XEF4" s="0"/>
      <c r="XEG4" s="0"/>
      <c r="XEH4" s="0"/>
      <c r="XEI4" s="0"/>
      <c r="XEJ4" s="0"/>
      <c r="XEK4" s="0"/>
      <c r="XEL4" s="0"/>
      <c r="XEM4" s="0"/>
      <c r="XEN4" s="0"/>
      <c r="XEO4" s="0"/>
      <c r="XEP4" s="0"/>
      <c r="XEQ4" s="0"/>
      <c r="XER4" s="0"/>
      <c r="XES4" s="0"/>
      <c r="XET4" s="0"/>
      <c r="XEU4" s="0"/>
      <c r="XEV4" s="0"/>
      <c r="XEW4" s="0"/>
      <c r="XEX4" s="0"/>
      <c r="XEY4" s="0"/>
      <c r="XEZ4" s="0"/>
      <c r="XFA4" s="0"/>
      <c r="XFB4" s="0"/>
      <c r="XFC4" s="0"/>
      <c r="XFD4" s="0"/>
    </row>
    <row r="5" customFormat="false" ht="14.9" hidden="false" customHeight="false" outlineLevel="0" collapsed="false">
      <c r="A5" s="26" t="n">
        <v>3815</v>
      </c>
      <c r="B5" s="21" t="s">
        <v>453</v>
      </c>
      <c r="C5" s="21" t="s">
        <v>451</v>
      </c>
      <c r="D5" s="34"/>
      <c r="E5" s="24" t="n">
        <v>46195</v>
      </c>
      <c r="F5" s="25" t="n">
        <v>46027</v>
      </c>
      <c r="G5" s="26" t="n">
        <v>72</v>
      </c>
      <c r="H5" s="27" t="n">
        <v>5</v>
      </c>
      <c r="I5" s="27" t="n">
        <v>67</v>
      </c>
      <c r="J5" s="22" t="s">
        <v>381</v>
      </c>
      <c r="K5" s="46" t="n">
        <v>50000</v>
      </c>
      <c r="L5" s="36" t="n">
        <v>108000</v>
      </c>
      <c r="M5" s="37" t="n">
        <v>7500</v>
      </c>
      <c r="N5" s="30" t="n">
        <v>7500</v>
      </c>
      <c r="O5" s="30" t="n">
        <v>7500</v>
      </c>
      <c r="P5" s="36" t="n">
        <v>100500</v>
      </c>
      <c r="Q5" s="32" t="n">
        <v>1</v>
      </c>
      <c r="R5" s="32" t="n">
        <v>13.4</v>
      </c>
      <c r="S5" s="33" t="n">
        <v>0.25</v>
      </c>
      <c r="T5" s="33" t="n">
        <v>3.35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 t="s">
        <v>214</v>
      </c>
      <c r="EL5" s="30"/>
      <c r="EM5" s="30" t="s">
        <v>214</v>
      </c>
      <c r="EN5" s="30" t="s">
        <v>214</v>
      </c>
      <c r="EO5" s="30"/>
      <c r="EP5" s="30"/>
      <c r="EQ5" s="30"/>
      <c r="ER5" s="30"/>
      <c r="ES5" s="30" t="s">
        <v>214</v>
      </c>
      <c r="ET5" s="30"/>
      <c r="EU5" s="30"/>
      <c r="EV5" s="30" t="s">
        <v>214</v>
      </c>
      <c r="EW5" s="30"/>
      <c r="EX5" s="30"/>
      <c r="EY5" s="30"/>
      <c r="EZ5" s="30"/>
      <c r="FA5" s="30"/>
      <c r="FB5" s="30"/>
      <c r="FC5" s="30" t="s">
        <v>214</v>
      </c>
      <c r="FD5" s="30"/>
      <c r="FE5" s="30"/>
      <c r="FF5" s="30"/>
      <c r="FG5" s="30"/>
      <c r="FH5" s="30"/>
      <c r="FI5" s="30"/>
      <c r="FJ5" s="30"/>
      <c r="FK5" s="30"/>
      <c r="FL5" s="30" t="s">
        <v>214</v>
      </c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 t="n">
        <v>105468.75</v>
      </c>
      <c r="GT5" s="30"/>
      <c r="GU5" s="30" t="n">
        <v>105000</v>
      </c>
      <c r="GV5" s="30" t="n">
        <v>104000</v>
      </c>
      <c r="GW5" s="30" t="n">
        <v>104000</v>
      </c>
      <c r="GX5" s="30" t="n">
        <f aca="false">SUM(N5:GW5)</f>
        <v>533986.75</v>
      </c>
      <c r="GY5" s="36" t="n">
        <f aca="false">SUM(L5-GX5)</f>
        <v>-425986.75</v>
      </c>
      <c r="GZ5" s="32" t="n">
        <f aca="false">SUM( H5/5)</f>
        <v>1</v>
      </c>
      <c r="HA5" s="32" t="n">
        <f aca="false">SUM( I5/5)</f>
        <v>13.4</v>
      </c>
      <c r="HB5" s="33" t="n">
        <f aca="false">SUM(GZ5/4)</f>
        <v>0.25</v>
      </c>
      <c r="HC5" s="33" t="n">
        <f aca="false">SUM(HA5/4)</f>
        <v>3.35</v>
      </c>
    </row>
    <row r="6" s="121" customFormat="true" ht="14.9" hidden="false" customHeight="false" outlineLevel="0" collapsed="false">
      <c r="A6" s="26" t="n">
        <v>3697</v>
      </c>
      <c r="B6" s="21" t="s">
        <v>454</v>
      </c>
      <c r="C6" s="21" t="s">
        <v>451</v>
      </c>
      <c r="D6" s="34"/>
      <c r="E6" s="24" t="n">
        <v>46105</v>
      </c>
      <c r="F6" s="25" t="n">
        <v>46027</v>
      </c>
      <c r="G6" s="26" t="n">
        <v>72</v>
      </c>
      <c r="H6" s="27" t="n">
        <v>72</v>
      </c>
      <c r="I6" s="27" t="n">
        <v>0</v>
      </c>
      <c r="J6" s="22" t="s">
        <v>381</v>
      </c>
      <c r="K6" s="46" t="n">
        <v>50000</v>
      </c>
      <c r="L6" s="36" t="n">
        <v>108000</v>
      </c>
      <c r="M6" s="29" t="n">
        <v>7500</v>
      </c>
      <c r="N6" s="30" t="n">
        <v>3000</v>
      </c>
      <c r="O6" s="30" t="n">
        <v>108000</v>
      </c>
      <c r="P6" s="36" t="n">
        <v>0</v>
      </c>
      <c r="Q6" s="32" t="n">
        <v>14.4</v>
      </c>
      <c r="R6" s="32" t="n">
        <v>0</v>
      </c>
      <c r="S6" s="33" t="n">
        <v>3.6</v>
      </c>
      <c r="T6" s="33" t="n">
        <v>0</v>
      </c>
    </row>
    <row r="7" s="121" customFormat="true" ht="14.9" hidden="false" customHeight="false" outlineLevel="0" collapsed="false">
      <c r="A7" s="26" t="n">
        <v>3788</v>
      </c>
      <c r="B7" s="21" t="s">
        <v>454</v>
      </c>
      <c r="C7" s="21" t="s">
        <v>451</v>
      </c>
      <c r="D7" s="34"/>
      <c r="E7" s="25" t="n">
        <v>46174</v>
      </c>
      <c r="F7" s="25" t="n">
        <v>46027</v>
      </c>
      <c r="G7" s="26" t="n">
        <v>72</v>
      </c>
      <c r="H7" s="27" t="n">
        <v>20</v>
      </c>
      <c r="I7" s="27" t="n">
        <v>52</v>
      </c>
      <c r="J7" s="22" t="s">
        <v>381</v>
      </c>
      <c r="K7" s="46" t="n">
        <v>50000</v>
      </c>
      <c r="L7" s="36" t="n">
        <v>108000</v>
      </c>
      <c r="M7" s="29" t="n">
        <v>7500</v>
      </c>
      <c r="N7" s="30" t="n">
        <v>7500</v>
      </c>
      <c r="O7" s="30" t="n">
        <v>30000</v>
      </c>
      <c r="P7" s="36" t="n">
        <v>78000</v>
      </c>
      <c r="Q7" s="32" t="n">
        <v>4</v>
      </c>
      <c r="R7" s="32" t="n">
        <v>10.4</v>
      </c>
      <c r="S7" s="33" t="n">
        <v>1</v>
      </c>
      <c r="T7" s="33" t="n">
        <v>2.6</v>
      </c>
    </row>
    <row r="8" s="121" customFormat="true" ht="14.9" hidden="false" customHeight="false" outlineLevel="0" collapsed="false">
      <c r="A8" s="26" t="n">
        <v>3782</v>
      </c>
      <c r="B8" s="21" t="s">
        <v>455</v>
      </c>
      <c r="C8" s="21" t="s">
        <v>451</v>
      </c>
      <c r="D8" s="34"/>
      <c r="E8" s="25" t="n">
        <v>46169</v>
      </c>
      <c r="F8" s="25" t="n">
        <v>46269</v>
      </c>
      <c r="G8" s="26" t="n">
        <v>72</v>
      </c>
      <c r="H8" s="27" t="n">
        <v>15</v>
      </c>
      <c r="I8" s="27" t="n">
        <v>57</v>
      </c>
      <c r="J8" s="22" t="s">
        <v>266</v>
      </c>
      <c r="K8" s="46" t="n">
        <v>100000</v>
      </c>
      <c r="L8" s="36" t="n">
        <v>216000</v>
      </c>
      <c r="M8" s="37" t="n">
        <v>15000</v>
      </c>
      <c r="N8" s="30" t="s">
        <v>214</v>
      </c>
      <c r="O8" s="30" t="n">
        <v>45000</v>
      </c>
      <c r="P8" s="36" t="n">
        <v>171000</v>
      </c>
      <c r="Q8" s="32" t="n">
        <v>3</v>
      </c>
      <c r="R8" s="32" t="n">
        <v>11.4</v>
      </c>
      <c r="S8" s="33" t="n">
        <v>0.75</v>
      </c>
      <c r="T8" s="33" t="n">
        <v>2.85</v>
      </c>
    </row>
    <row r="9" s="121" customFormat="true" ht="14.25" hidden="false" customHeight="false" outlineLevel="0" collapsed="false">
      <c r="A9" s="26"/>
      <c r="B9" s="21"/>
      <c r="C9" s="21"/>
      <c r="D9" s="34"/>
      <c r="E9" s="122"/>
      <c r="F9" s="122"/>
      <c r="G9" s="123"/>
      <c r="H9" s="124"/>
      <c r="I9" s="124"/>
      <c r="J9" s="125"/>
      <c r="K9" s="126"/>
      <c r="L9" s="127"/>
      <c r="M9" s="128"/>
      <c r="N9" s="129"/>
      <c r="O9" s="129"/>
      <c r="P9" s="127"/>
      <c r="Q9" s="130"/>
      <c r="R9" s="130"/>
      <c r="S9" s="131"/>
      <c r="T9" s="131"/>
    </row>
    <row r="10" s="121" customFormat="true" ht="14.25" hidden="false" customHeight="false" outlineLevel="0" collapsed="false">
      <c r="A10" s="132"/>
      <c r="B10" s="133"/>
      <c r="C10" s="133"/>
      <c r="D10" s="134"/>
      <c r="E10" s="122"/>
      <c r="F10" s="122"/>
      <c r="G10" s="123"/>
      <c r="H10" s="124"/>
      <c r="I10" s="124"/>
      <c r="J10" s="125"/>
      <c r="K10" s="126"/>
      <c r="L10" s="127"/>
      <c r="M10" s="128"/>
      <c r="N10" s="129"/>
      <c r="O10" s="129"/>
      <c r="P10" s="127"/>
      <c r="Q10" s="130"/>
      <c r="R10" s="130"/>
      <c r="S10" s="131"/>
      <c r="T10" s="131"/>
    </row>
    <row r="11" customFormat="false" ht="17.35" hidden="false" customHeight="false" outlineLevel="0" collapsed="false">
      <c r="A11" s="135" t="s">
        <v>659</v>
      </c>
      <c r="B11" s="136" t="s">
        <v>660</v>
      </c>
      <c r="C11" s="135" t="s">
        <v>661</v>
      </c>
      <c r="D11" s="135" t="n">
        <v>102</v>
      </c>
    </row>
    <row r="12" customFormat="false" ht="17.35" hidden="false" customHeight="false" outlineLevel="0" collapsed="false">
      <c r="A12" s="137" t="s">
        <v>662</v>
      </c>
      <c r="B12" s="137"/>
      <c r="C12" s="135" t="s">
        <v>663</v>
      </c>
      <c r="D12" s="138" t="n">
        <v>46207</v>
      </c>
    </row>
    <row r="13" customFormat="false" ht="17.35" hidden="false" customHeight="false" outlineLevel="0" collapsed="false">
      <c r="A13" s="136" t="s">
        <v>664</v>
      </c>
      <c r="B13" s="136"/>
      <c r="C13" s="136"/>
      <c r="D13" s="136"/>
    </row>
    <row r="14" customFormat="false" ht="36" hidden="false" customHeight="true" outlineLevel="0" collapsed="false">
      <c r="A14" s="135" t="s">
        <v>665</v>
      </c>
      <c r="B14" s="139"/>
      <c r="C14" s="140" t="str">
        <f aca="false">$B$2</f>
        <v>LAZARTE BERTA ROSA</v>
      </c>
      <c r="D14" s="140"/>
      <c r="E14" s="0" t="s">
        <v>214</v>
      </c>
    </row>
    <row r="15" customFormat="false" ht="17.35" hidden="false" customHeight="false" outlineLevel="0" collapsed="false">
      <c r="A15" s="141"/>
      <c r="B15" s="142"/>
      <c r="C15" s="142"/>
      <c r="D15" s="143"/>
    </row>
    <row r="16" customFormat="false" ht="17.35" hidden="false" customHeight="false" outlineLevel="0" collapsed="false">
      <c r="A16" s="144" t="s">
        <v>666</v>
      </c>
      <c r="B16" s="144"/>
      <c r="C16" s="145" t="s">
        <v>667</v>
      </c>
      <c r="D16" s="146" t="s">
        <v>668</v>
      </c>
    </row>
    <row r="17" customFormat="false" ht="17.35" hidden="false" customHeight="false" outlineLevel="0" collapsed="false">
      <c r="A17" s="147" t="n">
        <f aca="false">A2</f>
        <v>3683</v>
      </c>
      <c r="B17" s="148"/>
      <c r="C17" s="30" t="n">
        <f aca="false">N2</f>
        <v>4500</v>
      </c>
      <c r="D17" s="149" t="n">
        <f aca="false">N2</f>
        <v>4500</v>
      </c>
    </row>
    <row r="18" customFormat="false" ht="17.35" hidden="false" customHeight="false" outlineLevel="0" collapsed="false">
      <c r="A18" s="147" t="n">
        <f aca="false">A3</f>
        <v>3743</v>
      </c>
      <c r="B18" s="148"/>
      <c r="C18" s="30" t="n">
        <f aca="false">N3</f>
        <v>3000</v>
      </c>
      <c r="D18" s="149" t="n">
        <f aca="false">N3</f>
        <v>3000</v>
      </c>
    </row>
    <row r="19" customFormat="false" ht="17.35" hidden="false" customHeight="false" outlineLevel="0" collapsed="false">
      <c r="A19" s="147" t="n">
        <f aca="false">A4</f>
        <v>3791</v>
      </c>
      <c r="B19" s="148"/>
      <c r="C19" s="30" t="n">
        <f aca="false">N4</f>
        <v>3000</v>
      </c>
      <c r="D19" s="149" t="n">
        <f aca="false">N4</f>
        <v>3000</v>
      </c>
    </row>
    <row r="20" customFormat="false" ht="17.35" hidden="false" customHeight="false" outlineLevel="0" collapsed="false">
      <c r="A20" s="147" t="n">
        <f aca="false">A5</f>
        <v>3815</v>
      </c>
      <c r="B20" s="148"/>
      <c r="C20" s="30" t="n">
        <f aca="false">N5</f>
        <v>7500</v>
      </c>
      <c r="D20" s="149" t="n">
        <f aca="false">N5</f>
        <v>7500</v>
      </c>
    </row>
    <row r="21" customFormat="false" ht="17.35" hidden="false" customHeight="false" outlineLevel="0" collapsed="false">
      <c r="A21" s="147" t="n">
        <f aca="false">A6</f>
        <v>3697</v>
      </c>
      <c r="B21" s="148"/>
      <c r="C21" s="30" t="n">
        <f aca="false">N6</f>
        <v>3000</v>
      </c>
      <c r="D21" s="149" t="n">
        <f aca="false">N6</f>
        <v>3000</v>
      </c>
    </row>
    <row r="22" customFormat="false" ht="17.35" hidden="false" customHeight="false" outlineLevel="0" collapsed="false">
      <c r="A22" s="147" t="n">
        <f aca="false">A7</f>
        <v>3788</v>
      </c>
      <c r="B22" s="148"/>
      <c r="C22" s="30" t="n">
        <f aca="false">N7</f>
        <v>7500</v>
      </c>
      <c r="D22" s="149" t="n">
        <f aca="false">N7</f>
        <v>7500</v>
      </c>
    </row>
    <row r="23" customFormat="false" ht="17.35" hidden="false" customHeight="false" outlineLevel="0" collapsed="false">
      <c r="A23" s="147" t="n">
        <f aca="false">A8</f>
        <v>3782</v>
      </c>
      <c r="B23" s="148"/>
      <c r="C23" s="30" t="str">
        <f aca="false">N8</f>
        <v> </v>
      </c>
      <c r="D23" s="149" t="str">
        <f aca="false">N8</f>
        <v> </v>
      </c>
    </row>
    <row r="24" customFormat="false" ht="17.35" hidden="false" customHeight="false" outlineLevel="0" collapsed="false">
      <c r="A24" s="147" t="n">
        <f aca="false">A9</f>
        <v>0</v>
      </c>
      <c r="B24" s="148"/>
      <c r="C24" s="30" t="n">
        <f aca="false">N9</f>
        <v>0</v>
      </c>
      <c r="D24" s="149" t="n">
        <f aca="false">N9</f>
        <v>0</v>
      </c>
    </row>
    <row r="25" customFormat="false" ht="17.35" hidden="false" customHeight="false" outlineLevel="0" collapsed="false">
      <c r="A25" s="150"/>
      <c r="B25" s="151" t="s">
        <v>669</v>
      </c>
      <c r="C25" s="151"/>
      <c r="D25" s="152" t="n">
        <f aca="false">SUM(D17:D24)</f>
        <v>28500</v>
      </c>
    </row>
    <row r="26" customFormat="false" ht="17.35" hidden="false" customHeight="false" outlineLevel="0" collapsed="false">
      <c r="A26" s="153" t="s">
        <v>670</v>
      </c>
      <c r="B26" s="152" t="n">
        <f aca="false">$D$25</f>
        <v>28500</v>
      </c>
      <c r="C26" s="154" t="s">
        <v>671</v>
      </c>
      <c r="D26" s="155"/>
    </row>
    <row r="27" customFormat="false" ht="17.35" hidden="false" customHeight="false" outlineLevel="0" collapsed="false">
      <c r="A27" s="147"/>
      <c r="B27" s="148"/>
      <c r="C27" s="148"/>
      <c r="D27" s="156" t="s">
        <v>672</v>
      </c>
    </row>
    <row r="28" customFormat="false" ht="17.35" hidden="false" customHeight="false" outlineLevel="0" collapsed="false">
      <c r="A28" s="147"/>
      <c r="B28" s="148"/>
      <c r="C28" s="148"/>
      <c r="D28" s="156"/>
    </row>
    <row r="29" customFormat="false" ht="17.35" hidden="false" customHeight="false" outlineLevel="0" collapsed="false">
      <c r="A29" s="147"/>
      <c r="B29" s="148"/>
      <c r="C29" s="148"/>
      <c r="D29" s="156"/>
    </row>
    <row r="30" customFormat="false" ht="17.35" hidden="false" customHeight="false" outlineLevel="0" collapsed="false">
      <c r="A30" s="157"/>
      <c r="B30" s="158"/>
      <c r="C30" s="135" t="s">
        <v>673</v>
      </c>
      <c r="D30" s="135" t="n">
        <f aca="false">$D$11</f>
        <v>102</v>
      </c>
    </row>
  </sheetData>
  <mergeCells count="4">
    <mergeCell ref="A12:B12"/>
    <mergeCell ref="A13:D13"/>
    <mergeCell ref="C14:D14"/>
    <mergeCell ref="A16:B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F25" activeCellId="0" sqref="F25"/>
    </sheetView>
  </sheetViews>
  <sheetFormatPr defaultColWidth="17.4453125" defaultRowHeight="14.25" customHeight="false" zeroHeight="false" outlineLevelRow="0" outlineLevelCol="0"/>
  <sheetData>
    <row r="1" customFormat="false" ht="30.75" hidden="false" customHeight="true" outlineLevel="0" collapsed="false">
      <c r="A1" s="159" t="s">
        <v>674</v>
      </c>
      <c r="B1" s="160" t="s">
        <v>584</v>
      </c>
      <c r="C1" s="160"/>
      <c r="D1" s="161" t="s">
        <v>675</v>
      </c>
      <c r="E1" s="162"/>
      <c r="F1" s="163" t="s">
        <v>676</v>
      </c>
    </row>
    <row r="2" customFormat="false" ht="17.35" hidden="false" customHeight="false" outlineLevel="0" collapsed="false">
      <c r="A2" s="159" t="s">
        <v>677</v>
      </c>
      <c r="B2" s="164" t="n">
        <v>3731</v>
      </c>
      <c r="C2" s="165" t="s">
        <v>214</v>
      </c>
      <c r="D2" s="159" t="s">
        <v>678</v>
      </c>
      <c r="E2" s="166" t="n">
        <v>46134</v>
      </c>
      <c r="F2" s="167" t="s">
        <v>679</v>
      </c>
    </row>
    <row r="3" customFormat="false" ht="17.35" hidden="false" customHeight="false" outlineLevel="0" collapsed="false">
      <c r="A3" s="159" t="s">
        <v>680</v>
      </c>
      <c r="B3" s="168" t="n">
        <v>3823</v>
      </c>
      <c r="C3" s="169" t="s">
        <v>214</v>
      </c>
      <c r="D3" s="170" t="s">
        <v>681</v>
      </c>
      <c r="E3" s="171" t="n">
        <v>46211</v>
      </c>
      <c r="F3" s="172" t="s">
        <v>682</v>
      </c>
    </row>
    <row r="4" customFormat="false" ht="17.35" hidden="false" customHeight="false" outlineLevel="0" collapsed="false">
      <c r="A4" s="173" t="s">
        <v>683</v>
      </c>
      <c r="B4" s="174" t="s">
        <v>684</v>
      </c>
      <c r="C4" s="175" t="s">
        <v>685</v>
      </c>
      <c r="D4" s="173" t="s">
        <v>683</v>
      </c>
      <c r="E4" s="174" t="s">
        <v>684</v>
      </c>
      <c r="F4" s="175" t="s">
        <v>685</v>
      </c>
    </row>
    <row r="5" customFormat="false" ht="26.25" hidden="false" customHeight="true" outlineLevel="0" collapsed="false">
      <c r="A5" s="176" t="s">
        <v>214</v>
      </c>
      <c r="B5" s="177"/>
      <c r="C5" s="178" t="n">
        <v>1</v>
      </c>
      <c r="D5" s="176" t="s">
        <v>214</v>
      </c>
      <c r="E5" s="179"/>
      <c r="F5" s="180" t="n">
        <v>29</v>
      </c>
    </row>
    <row r="6" customFormat="false" ht="26.25" hidden="false" customHeight="true" outlineLevel="0" collapsed="false">
      <c r="A6" s="181" t="s">
        <v>214</v>
      </c>
      <c r="B6" s="182"/>
      <c r="C6" s="183" t="n">
        <v>2</v>
      </c>
      <c r="D6" s="181" t="s">
        <v>214</v>
      </c>
      <c r="E6" s="184"/>
      <c r="F6" s="185" t="n">
        <v>30</v>
      </c>
    </row>
    <row r="7" customFormat="false" ht="26.25" hidden="false" customHeight="true" outlineLevel="0" collapsed="false">
      <c r="A7" s="181" t="s">
        <v>214</v>
      </c>
      <c r="B7" s="186"/>
      <c r="C7" s="183" t="n">
        <v>3</v>
      </c>
      <c r="D7" s="181" t="s">
        <v>214</v>
      </c>
      <c r="E7" s="184"/>
      <c r="F7" s="185" t="n">
        <v>31</v>
      </c>
    </row>
    <row r="8" customFormat="false" ht="26.25" hidden="false" customHeight="true" outlineLevel="0" collapsed="false">
      <c r="A8" s="181" t="s">
        <v>214</v>
      </c>
      <c r="B8" s="186"/>
      <c r="C8" s="183" t="n">
        <v>4</v>
      </c>
      <c r="D8" s="181" t="s">
        <v>214</v>
      </c>
      <c r="E8" s="184"/>
      <c r="F8" s="185" t="n">
        <v>32</v>
      </c>
    </row>
    <row r="9" customFormat="false" ht="26.25" hidden="false" customHeight="true" outlineLevel="0" collapsed="false">
      <c r="A9" s="187" t="s">
        <v>214</v>
      </c>
      <c r="B9" s="186" t="s">
        <v>214</v>
      </c>
      <c r="C9" s="183" t="n">
        <v>5</v>
      </c>
      <c r="D9" s="181" t="s">
        <v>214</v>
      </c>
      <c r="E9" s="184"/>
      <c r="F9" s="185" t="n">
        <v>33</v>
      </c>
    </row>
    <row r="10" customFormat="false" ht="26.25" hidden="false" customHeight="true" outlineLevel="0" collapsed="false">
      <c r="A10" s="181" t="s">
        <v>214</v>
      </c>
      <c r="B10" s="186"/>
      <c r="C10" s="183" t="n">
        <v>6</v>
      </c>
      <c r="D10" s="181" t="s">
        <v>214</v>
      </c>
      <c r="E10" s="184"/>
      <c r="F10" s="185" t="n">
        <v>34</v>
      </c>
    </row>
    <row r="11" customFormat="false" ht="26.25" hidden="false" customHeight="true" outlineLevel="0" collapsed="false">
      <c r="A11" s="181" t="s">
        <v>214</v>
      </c>
      <c r="B11" s="186"/>
      <c r="C11" s="183" t="n">
        <v>7</v>
      </c>
      <c r="D11" s="181" t="s">
        <v>214</v>
      </c>
      <c r="E11" s="184"/>
      <c r="F11" s="185" t="n">
        <v>35</v>
      </c>
    </row>
    <row r="12" customFormat="false" ht="26.25" hidden="false" customHeight="true" outlineLevel="0" collapsed="false">
      <c r="A12" s="181" t="s">
        <v>214</v>
      </c>
      <c r="B12" s="186"/>
      <c r="C12" s="183" t="n">
        <v>8</v>
      </c>
      <c r="D12" s="181" t="s">
        <v>214</v>
      </c>
      <c r="E12" s="184"/>
      <c r="F12" s="185" t="n">
        <v>36</v>
      </c>
    </row>
    <row r="13" customFormat="false" ht="26.25" hidden="false" customHeight="true" outlineLevel="0" collapsed="false">
      <c r="A13" s="181" t="s">
        <v>214</v>
      </c>
      <c r="B13" s="186" t="s">
        <v>214</v>
      </c>
      <c r="C13" s="183" t="n">
        <v>9</v>
      </c>
      <c r="D13" s="181"/>
      <c r="E13" s="184"/>
      <c r="F13" s="185" t="n">
        <v>37</v>
      </c>
    </row>
    <row r="14" customFormat="false" ht="26.25" hidden="false" customHeight="true" outlineLevel="0" collapsed="false">
      <c r="A14" s="181" t="s">
        <v>214</v>
      </c>
      <c r="B14" s="186"/>
      <c r="C14" s="188" t="n">
        <v>10</v>
      </c>
      <c r="D14" s="181"/>
      <c r="E14" s="184"/>
      <c r="F14" s="185" t="n">
        <v>38</v>
      </c>
    </row>
    <row r="15" customFormat="false" ht="26.25" hidden="false" customHeight="true" outlineLevel="0" collapsed="false">
      <c r="A15" s="181" t="s">
        <v>214</v>
      </c>
      <c r="B15" s="186"/>
      <c r="C15" s="183" t="n">
        <v>11</v>
      </c>
      <c r="D15" s="181"/>
      <c r="E15" s="184"/>
      <c r="F15" s="185" t="n">
        <v>39</v>
      </c>
    </row>
    <row r="16" customFormat="false" ht="26.25" hidden="false" customHeight="true" outlineLevel="0" collapsed="false">
      <c r="A16" s="181" t="s">
        <v>214</v>
      </c>
      <c r="B16" s="186"/>
      <c r="C16" s="183" t="n">
        <v>12</v>
      </c>
      <c r="D16" s="181"/>
      <c r="E16" s="184"/>
      <c r="F16" s="185" t="n">
        <v>40</v>
      </c>
    </row>
    <row r="17" customFormat="false" ht="26.25" hidden="false" customHeight="true" outlineLevel="0" collapsed="false">
      <c r="A17" s="181" t="s">
        <v>214</v>
      </c>
      <c r="B17" s="186"/>
      <c r="C17" s="183" t="n">
        <v>13</v>
      </c>
      <c r="D17" s="181"/>
      <c r="E17" s="184"/>
      <c r="F17" s="185" t="n">
        <v>41</v>
      </c>
    </row>
    <row r="18" customFormat="false" ht="26.25" hidden="false" customHeight="true" outlineLevel="0" collapsed="false">
      <c r="A18" s="181" t="s">
        <v>214</v>
      </c>
      <c r="B18" s="186"/>
      <c r="C18" s="183" t="n">
        <v>14</v>
      </c>
      <c r="D18" s="181"/>
      <c r="E18" s="184"/>
      <c r="F18" s="185" t="n">
        <v>42</v>
      </c>
    </row>
    <row r="19" customFormat="false" ht="26.25" hidden="false" customHeight="true" outlineLevel="0" collapsed="false">
      <c r="A19" s="181" t="s">
        <v>214</v>
      </c>
      <c r="B19" s="186"/>
      <c r="C19" s="183" t="n">
        <v>15</v>
      </c>
      <c r="D19" s="181"/>
      <c r="E19" s="184"/>
      <c r="F19" s="185" t="n">
        <v>43</v>
      </c>
    </row>
    <row r="20" customFormat="false" ht="26.25" hidden="false" customHeight="true" outlineLevel="0" collapsed="false">
      <c r="A20" s="181" t="s">
        <v>214</v>
      </c>
      <c r="B20" s="186"/>
      <c r="C20" s="183" t="n">
        <v>16</v>
      </c>
      <c r="D20" s="181" t="s">
        <v>214</v>
      </c>
      <c r="E20" s="184"/>
      <c r="F20" s="185" t="n">
        <v>44</v>
      </c>
    </row>
    <row r="21" customFormat="false" ht="26.25" hidden="false" customHeight="true" outlineLevel="0" collapsed="false">
      <c r="A21" s="181" t="s">
        <v>214</v>
      </c>
      <c r="B21" s="186"/>
      <c r="C21" s="183" t="n">
        <v>17</v>
      </c>
      <c r="D21" s="181"/>
      <c r="E21" s="184"/>
      <c r="F21" s="185" t="n">
        <v>45</v>
      </c>
    </row>
    <row r="22" customFormat="false" ht="26.25" hidden="false" customHeight="true" outlineLevel="0" collapsed="false">
      <c r="A22" s="181" t="s">
        <v>214</v>
      </c>
      <c r="B22" s="186"/>
      <c r="C22" s="183" t="n">
        <v>18</v>
      </c>
      <c r="D22" s="181"/>
      <c r="E22" s="184"/>
      <c r="F22" s="185" t="n">
        <v>46</v>
      </c>
    </row>
    <row r="23" customFormat="false" ht="26.25" hidden="false" customHeight="true" outlineLevel="0" collapsed="false">
      <c r="A23" s="181" t="s">
        <v>214</v>
      </c>
      <c r="B23" s="186"/>
      <c r="C23" s="183" t="n">
        <v>19</v>
      </c>
      <c r="D23" s="181"/>
      <c r="E23" s="184"/>
      <c r="F23" s="185" t="n">
        <v>47</v>
      </c>
    </row>
    <row r="24" customFormat="false" ht="26.25" hidden="false" customHeight="true" outlineLevel="0" collapsed="false">
      <c r="A24" s="181" t="s">
        <v>214</v>
      </c>
      <c r="B24" s="186"/>
      <c r="C24" s="188" t="n">
        <v>20</v>
      </c>
      <c r="D24" s="181"/>
      <c r="E24" s="184"/>
      <c r="F24" s="185" t="n">
        <v>48</v>
      </c>
    </row>
    <row r="25" customFormat="false" ht="26.25" hidden="false" customHeight="true" outlineLevel="0" collapsed="false">
      <c r="A25" s="181" t="s">
        <v>214</v>
      </c>
      <c r="B25" s="186"/>
      <c r="C25" s="183" t="n">
        <v>21</v>
      </c>
      <c r="D25" s="181"/>
      <c r="E25" s="184"/>
      <c r="F25" s="185" t="n">
        <v>49</v>
      </c>
    </row>
    <row r="26" customFormat="false" ht="26.25" hidden="false" customHeight="true" outlineLevel="0" collapsed="false">
      <c r="A26" s="181" t="s">
        <v>214</v>
      </c>
      <c r="B26" s="186"/>
      <c r="C26" s="183" t="n">
        <v>22</v>
      </c>
      <c r="D26" s="181"/>
      <c r="E26" s="184"/>
      <c r="F26" s="185" t="n">
        <v>50</v>
      </c>
    </row>
    <row r="27" customFormat="false" ht="26.25" hidden="false" customHeight="true" outlineLevel="0" collapsed="false">
      <c r="A27" s="181"/>
      <c r="B27" s="186"/>
      <c r="C27" s="183" t="n">
        <v>23</v>
      </c>
      <c r="D27" s="181" t="s">
        <v>214</v>
      </c>
      <c r="E27" s="184"/>
      <c r="F27" s="185" t="n">
        <v>51</v>
      </c>
    </row>
    <row r="28" customFormat="false" ht="26.25" hidden="false" customHeight="true" outlineLevel="0" collapsed="false">
      <c r="A28" s="181"/>
      <c r="B28" s="186"/>
      <c r="C28" s="183" t="n">
        <v>24</v>
      </c>
      <c r="D28" s="181" t="s">
        <v>214</v>
      </c>
      <c r="E28" s="184"/>
      <c r="F28" s="185" t="n">
        <v>52</v>
      </c>
    </row>
    <row r="29" customFormat="false" ht="26.25" hidden="false" customHeight="true" outlineLevel="0" collapsed="false">
      <c r="A29" s="181"/>
      <c r="B29" s="186"/>
      <c r="C29" s="183" t="n">
        <v>25</v>
      </c>
      <c r="D29" s="181" t="s">
        <v>214</v>
      </c>
      <c r="E29" s="184"/>
      <c r="F29" s="185" t="n">
        <v>53</v>
      </c>
    </row>
    <row r="30" customFormat="false" ht="26.25" hidden="false" customHeight="true" outlineLevel="0" collapsed="false">
      <c r="A30" s="181" t="s">
        <v>214</v>
      </c>
      <c r="B30" s="186"/>
      <c r="C30" s="183" t="n">
        <v>26</v>
      </c>
      <c r="D30" s="181" t="s">
        <v>214</v>
      </c>
      <c r="E30" s="184"/>
      <c r="F30" s="185" t="n">
        <v>54</v>
      </c>
    </row>
    <row r="31" customFormat="false" ht="26.25" hidden="false" customHeight="true" outlineLevel="0" collapsed="false">
      <c r="A31" s="181" t="s">
        <v>214</v>
      </c>
      <c r="B31" s="186"/>
      <c r="C31" s="183" t="n">
        <v>27</v>
      </c>
      <c r="D31" s="181" t="s">
        <v>214</v>
      </c>
      <c r="E31" s="184"/>
      <c r="F31" s="185" t="n">
        <v>55</v>
      </c>
    </row>
    <row r="32" customFormat="false" ht="26.25" hidden="false" customHeight="true" outlineLevel="0" collapsed="false">
      <c r="A32" s="189" t="s">
        <v>214</v>
      </c>
      <c r="B32" s="190"/>
      <c r="C32" s="191" t="n">
        <v>28</v>
      </c>
      <c r="E32" s="170" t="s">
        <v>686</v>
      </c>
      <c r="F32" s="192" t="s">
        <v>682</v>
      </c>
    </row>
  </sheetData>
  <mergeCells count="1">
    <mergeCell ref="B1:C1"/>
  </mergeCells>
  <printOptions headings="false" gridLines="false" gridLinesSet="true" horizontalCentered="false" verticalCentered="false"/>
  <pageMargins left="0.315277777777778" right="0.118055555555556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7.00390625" defaultRowHeight="21" customHeight="true" zeroHeight="false" outlineLevelRow="0" outlineLevelCol="0"/>
  <cols>
    <col collapsed="false" customWidth="false" hidden="false" outlineLevel="0" max="16384" min="1" style="193" width="17"/>
  </cols>
  <sheetData>
    <row r="1" customFormat="false" ht="21" hidden="false" customHeight="true" outlineLevel="0" collapsed="false">
      <c r="A1" s="159"/>
      <c r="B1" s="194" t="s">
        <v>380</v>
      </c>
      <c r="C1" s="194"/>
      <c r="D1" s="195" t="s">
        <v>687</v>
      </c>
      <c r="E1" s="196" t="s">
        <v>214</v>
      </c>
      <c r="F1" s="197" t="s">
        <v>688</v>
      </c>
    </row>
    <row r="2" customFormat="false" ht="20.25" hidden="false" customHeight="true" outlineLevel="0" collapsed="false">
      <c r="A2" s="159" t="s">
        <v>677</v>
      </c>
      <c r="B2" s="198" t="n">
        <v>3824</v>
      </c>
      <c r="C2" s="199" t="s">
        <v>214</v>
      </c>
      <c r="D2" s="159" t="s">
        <v>678</v>
      </c>
      <c r="E2" s="200" t="n">
        <v>46202</v>
      </c>
      <c r="F2" s="201" t="n">
        <v>0</v>
      </c>
    </row>
    <row r="3" customFormat="false" ht="17.25" hidden="false" customHeight="true" outlineLevel="0" collapsed="false">
      <c r="A3" s="159" t="s">
        <v>680</v>
      </c>
      <c r="B3" s="202" t="s">
        <v>689</v>
      </c>
      <c r="C3" s="169" t="s">
        <v>214</v>
      </c>
      <c r="D3" s="159" t="s">
        <v>690</v>
      </c>
      <c r="E3" s="200" t="n">
        <v>46302</v>
      </c>
      <c r="F3" s="203" t="s">
        <v>682</v>
      </c>
    </row>
    <row r="4" customFormat="false" ht="21" hidden="false" customHeight="true" outlineLevel="0" collapsed="false">
      <c r="A4" s="204" t="s">
        <v>683</v>
      </c>
      <c r="B4" s="205" t="s">
        <v>684</v>
      </c>
      <c r="C4" s="206" t="s">
        <v>685</v>
      </c>
      <c r="D4" s="204" t="s">
        <v>683</v>
      </c>
      <c r="E4" s="205" t="s">
        <v>684</v>
      </c>
      <c r="F4" s="206" t="s">
        <v>685</v>
      </c>
    </row>
    <row r="5" customFormat="false" ht="19.5" hidden="false" customHeight="true" outlineLevel="0" collapsed="false">
      <c r="A5" s="207" t="s">
        <v>214</v>
      </c>
      <c r="B5" s="208"/>
      <c r="C5" s="209" t="n">
        <v>1</v>
      </c>
      <c r="D5" s="176" t="s">
        <v>214</v>
      </c>
      <c r="E5" s="210"/>
      <c r="F5" s="178" t="n">
        <v>37</v>
      </c>
    </row>
    <row r="6" customFormat="false" ht="19.5" hidden="false" customHeight="true" outlineLevel="0" collapsed="false">
      <c r="A6" s="181" t="s">
        <v>214</v>
      </c>
      <c r="B6" s="182"/>
      <c r="C6" s="183" t="n">
        <v>2</v>
      </c>
      <c r="D6" s="181" t="s">
        <v>214</v>
      </c>
      <c r="E6" s="211"/>
      <c r="F6" s="183" t="n">
        <v>38</v>
      </c>
    </row>
    <row r="7" customFormat="false" ht="19.5" hidden="false" customHeight="true" outlineLevel="0" collapsed="false">
      <c r="A7" s="187" t="s">
        <v>214</v>
      </c>
      <c r="B7" s="186" t="s">
        <v>214</v>
      </c>
      <c r="C7" s="212" t="n">
        <v>3</v>
      </c>
      <c r="D7" s="181" t="s">
        <v>214</v>
      </c>
      <c r="E7" s="211"/>
      <c r="F7" s="183" t="n">
        <v>39</v>
      </c>
    </row>
    <row r="8" customFormat="false" ht="19.5" hidden="false" customHeight="true" outlineLevel="0" collapsed="false">
      <c r="A8" s="181" t="s">
        <v>214</v>
      </c>
      <c r="B8" s="186"/>
      <c r="C8" s="183" t="n">
        <v>4</v>
      </c>
      <c r="D8" s="181"/>
      <c r="E8" s="211" t="s">
        <v>214</v>
      </c>
      <c r="F8" s="183" t="n">
        <v>40</v>
      </c>
    </row>
    <row r="9" customFormat="false" ht="19.5" hidden="false" customHeight="true" outlineLevel="0" collapsed="false">
      <c r="A9" s="213" t="s">
        <v>214</v>
      </c>
      <c r="B9" s="214" t="s">
        <v>214</v>
      </c>
      <c r="C9" s="183" t="n">
        <v>5</v>
      </c>
      <c r="D9" s="181" t="s">
        <v>214</v>
      </c>
      <c r="E9" s="211"/>
      <c r="F9" s="183" t="n">
        <v>41</v>
      </c>
    </row>
    <row r="10" customFormat="false" ht="19.5" hidden="false" customHeight="true" outlineLevel="0" collapsed="false">
      <c r="A10" s="181" t="s">
        <v>214</v>
      </c>
      <c r="B10" s="186" t="s">
        <v>214</v>
      </c>
      <c r="C10" s="183" t="n">
        <v>6</v>
      </c>
      <c r="D10" s="181" t="s">
        <v>214</v>
      </c>
      <c r="E10" s="211" t="s">
        <v>214</v>
      </c>
      <c r="F10" s="183" t="n">
        <v>42</v>
      </c>
    </row>
    <row r="11" customFormat="false" ht="19.5" hidden="false" customHeight="true" outlineLevel="0" collapsed="false">
      <c r="A11" s="181" t="s">
        <v>214</v>
      </c>
      <c r="B11" s="186" t="s">
        <v>214</v>
      </c>
      <c r="C11" s="183" t="n">
        <v>7</v>
      </c>
      <c r="D11" s="181" t="s">
        <v>214</v>
      </c>
      <c r="E11" s="211"/>
      <c r="F11" s="183" t="n">
        <v>43</v>
      </c>
    </row>
    <row r="12" customFormat="false" ht="19.5" hidden="false" customHeight="true" outlineLevel="0" collapsed="false">
      <c r="A12" s="181" t="s">
        <v>214</v>
      </c>
      <c r="B12" s="186"/>
      <c r="C12" s="183" t="n">
        <v>8</v>
      </c>
      <c r="D12" s="181"/>
      <c r="E12" s="186"/>
      <c r="F12" s="183" t="n">
        <v>44</v>
      </c>
    </row>
    <row r="13" customFormat="false" ht="19.5" hidden="false" customHeight="true" outlineLevel="0" collapsed="false">
      <c r="A13" s="181" t="s">
        <v>214</v>
      </c>
      <c r="B13" s="186" t="s">
        <v>214</v>
      </c>
      <c r="C13" s="183" t="n">
        <v>9</v>
      </c>
      <c r="D13" s="215" t="s">
        <v>214</v>
      </c>
      <c r="E13" s="186" t="s">
        <v>214</v>
      </c>
      <c r="F13" s="183" t="n">
        <v>45</v>
      </c>
    </row>
    <row r="14" customFormat="false" ht="19.5" hidden="false" customHeight="true" outlineLevel="0" collapsed="false">
      <c r="A14" s="213" t="s">
        <v>214</v>
      </c>
      <c r="B14" s="216" t="s">
        <v>214</v>
      </c>
      <c r="C14" s="183" t="n">
        <v>10</v>
      </c>
      <c r="D14" s="181"/>
      <c r="E14" s="186"/>
      <c r="F14" s="183" t="n">
        <v>46</v>
      </c>
    </row>
    <row r="15" customFormat="false" ht="19.5" hidden="false" customHeight="true" outlineLevel="0" collapsed="false">
      <c r="A15" s="181" t="s">
        <v>214</v>
      </c>
      <c r="B15" s="186"/>
      <c r="C15" s="183" t="n">
        <v>11</v>
      </c>
      <c r="D15" s="181" t="s">
        <v>214</v>
      </c>
      <c r="E15" s="186"/>
      <c r="F15" s="183" t="n">
        <v>47</v>
      </c>
    </row>
    <row r="16" customFormat="false" ht="19.5" hidden="false" customHeight="true" outlineLevel="0" collapsed="false">
      <c r="A16" s="181" t="s">
        <v>214</v>
      </c>
      <c r="B16" s="186" t="s">
        <v>214</v>
      </c>
      <c r="C16" s="183" t="n">
        <v>12</v>
      </c>
      <c r="D16" s="181" t="s">
        <v>214</v>
      </c>
      <c r="E16" s="186"/>
      <c r="F16" s="183" t="n">
        <v>48</v>
      </c>
    </row>
    <row r="17" customFormat="false" ht="19.5" hidden="false" customHeight="true" outlineLevel="0" collapsed="false">
      <c r="A17" s="181" t="s">
        <v>214</v>
      </c>
      <c r="B17" s="217" t="s">
        <v>214</v>
      </c>
      <c r="C17" s="183" t="n">
        <v>13</v>
      </c>
      <c r="D17" s="218" t="s">
        <v>214</v>
      </c>
      <c r="E17" s="219" t="s">
        <v>214</v>
      </c>
      <c r="F17" s="183" t="n">
        <v>49</v>
      </c>
    </row>
    <row r="18" customFormat="false" ht="19.5" hidden="false" customHeight="true" outlineLevel="0" collapsed="false">
      <c r="A18" s="220" t="s">
        <v>214</v>
      </c>
      <c r="B18" s="221" t="s">
        <v>214</v>
      </c>
      <c r="C18" s="183" t="n">
        <v>14</v>
      </c>
      <c r="D18" s="181" t="s">
        <v>214</v>
      </c>
      <c r="E18" s="186"/>
      <c r="F18" s="183" t="n">
        <v>50</v>
      </c>
    </row>
    <row r="19" customFormat="false" ht="19.5" hidden="false" customHeight="true" outlineLevel="0" collapsed="false">
      <c r="A19" s="218" t="s">
        <v>214</v>
      </c>
      <c r="B19" s="186" t="s">
        <v>214</v>
      </c>
      <c r="C19" s="183" t="n">
        <v>15</v>
      </c>
      <c r="D19" s="181" t="s">
        <v>214</v>
      </c>
      <c r="E19" s="211"/>
      <c r="F19" s="183" t="n">
        <v>51</v>
      </c>
    </row>
    <row r="20" customFormat="false" ht="19.5" hidden="false" customHeight="true" outlineLevel="0" collapsed="false">
      <c r="A20" s="181" t="s">
        <v>214</v>
      </c>
      <c r="B20" s="186"/>
      <c r="C20" s="183" t="n">
        <v>16</v>
      </c>
      <c r="D20" s="181" t="s">
        <v>214</v>
      </c>
      <c r="E20" s="211"/>
      <c r="F20" s="183" t="n">
        <v>52</v>
      </c>
    </row>
    <row r="21" customFormat="false" ht="19.5" hidden="false" customHeight="true" outlineLevel="0" collapsed="false">
      <c r="A21" s="181" t="s">
        <v>214</v>
      </c>
      <c r="B21" s="186"/>
      <c r="C21" s="183" t="n">
        <v>17</v>
      </c>
      <c r="D21" s="181" t="s">
        <v>214</v>
      </c>
      <c r="E21" s="222" t="s">
        <v>214</v>
      </c>
      <c r="F21" s="183" t="n">
        <v>53</v>
      </c>
    </row>
    <row r="22" customFormat="false" ht="19.5" hidden="false" customHeight="true" outlineLevel="0" collapsed="false">
      <c r="A22" s="181" t="s">
        <v>214</v>
      </c>
      <c r="B22" s="186"/>
      <c r="C22" s="183" t="n">
        <v>18</v>
      </c>
      <c r="D22" s="181" t="s">
        <v>214</v>
      </c>
      <c r="E22" s="211"/>
      <c r="F22" s="183" t="n">
        <v>54</v>
      </c>
    </row>
    <row r="23" customFormat="false" ht="19.5" hidden="false" customHeight="true" outlineLevel="0" collapsed="false">
      <c r="A23" s="181" t="s">
        <v>214</v>
      </c>
      <c r="B23" s="186"/>
      <c r="C23" s="183" t="n">
        <v>19</v>
      </c>
      <c r="D23" s="181" t="s">
        <v>214</v>
      </c>
      <c r="E23" s="211"/>
      <c r="F23" s="183" t="n">
        <v>55</v>
      </c>
    </row>
    <row r="24" customFormat="false" ht="19.5" hidden="false" customHeight="true" outlineLevel="0" collapsed="false">
      <c r="A24" s="223" t="s">
        <v>214</v>
      </c>
      <c r="B24" s="186" t="s">
        <v>214</v>
      </c>
      <c r="C24" s="183" t="n">
        <v>20</v>
      </c>
      <c r="D24" s="181" t="s">
        <v>214</v>
      </c>
      <c r="E24" s="211"/>
      <c r="F24" s="183" t="n">
        <v>56</v>
      </c>
    </row>
    <row r="25" customFormat="false" ht="19.5" hidden="false" customHeight="true" outlineLevel="0" collapsed="false">
      <c r="A25" s="181" t="s">
        <v>214</v>
      </c>
      <c r="B25" s="224" t="s">
        <v>214</v>
      </c>
      <c r="C25" s="183" t="n">
        <v>21</v>
      </c>
      <c r="D25" s="181" t="s">
        <v>214</v>
      </c>
      <c r="E25" s="211"/>
      <c r="F25" s="183" t="n">
        <v>57</v>
      </c>
    </row>
    <row r="26" customFormat="false" ht="19.5" hidden="false" customHeight="true" outlineLevel="0" collapsed="false">
      <c r="A26" s="181" t="s">
        <v>214</v>
      </c>
      <c r="B26" s="186"/>
      <c r="C26" s="183" t="n">
        <v>22</v>
      </c>
      <c r="D26" s="181"/>
      <c r="E26" s="186"/>
      <c r="F26" s="183" t="n">
        <v>58</v>
      </c>
    </row>
    <row r="27" customFormat="false" ht="19.5" hidden="false" customHeight="true" outlineLevel="0" collapsed="false">
      <c r="A27" s="181" t="s">
        <v>214</v>
      </c>
      <c r="B27" s="186"/>
      <c r="C27" s="183" t="n">
        <v>23</v>
      </c>
      <c r="D27" s="181" t="s">
        <v>214</v>
      </c>
      <c r="E27" s="186"/>
      <c r="F27" s="183" t="n">
        <v>59</v>
      </c>
    </row>
    <row r="28" customFormat="false" ht="19.5" hidden="false" customHeight="true" outlineLevel="0" collapsed="false">
      <c r="A28" s="181" t="s">
        <v>214</v>
      </c>
      <c r="B28" s="186"/>
      <c r="C28" s="183" t="n">
        <v>24</v>
      </c>
      <c r="D28" s="181"/>
      <c r="E28" s="186"/>
      <c r="F28" s="183" t="n">
        <v>60</v>
      </c>
    </row>
    <row r="29" customFormat="false" ht="19.5" hidden="false" customHeight="true" outlineLevel="0" collapsed="false">
      <c r="A29" s="181" t="s">
        <v>214</v>
      </c>
      <c r="B29" s="186"/>
      <c r="C29" s="183" t="n">
        <v>25</v>
      </c>
      <c r="D29" s="181" t="s">
        <v>214</v>
      </c>
      <c r="E29" s="186"/>
      <c r="F29" s="183" t="n">
        <v>61</v>
      </c>
    </row>
    <row r="30" customFormat="false" ht="19.5" hidden="false" customHeight="true" outlineLevel="0" collapsed="false">
      <c r="A30" s="181" t="s">
        <v>214</v>
      </c>
      <c r="B30" s="186"/>
      <c r="C30" s="183" t="n">
        <v>26</v>
      </c>
      <c r="D30" s="181" t="s">
        <v>214</v>
      </c>
      <c r="E30" s="186"/>
      <c r="F30" s="183" t="n">
        <v>62</v>
      </c>
    </row>
    <row r="31" customFormat="false" ht="19.5" hidden="false" customHeight="true" outlineLevel="0" collapsed="false">
      <c r="A31" s="181" t="s">
        <v>214</v>
      </c>
      <c r="B31" s="186" t="s">
        <v>214</v>
      </c>
      <c r="C31" s="183" t="n">
        <v>27</v>
      </c>
      <c r="D31" s="225"/>
      <c r="E31" s="186"/>
      <c r="F31" s="183" t="n">
        <v>63</v>
      </c>
    </row>
    <row r="32" customFormat="false" ht="19.5" hidden="false" customHeight="true" outlineLevel="0" collapsed="false">
      <c r="A32" s="181" t="s">
        <v>214</v>
      </c>
      <c r="B32" s="186"/>
      <c r="C32" s="183" t="n">
        <v>28</v>
      </c>
      <c r="D32" s="225"/>
      <c r="E32" s="186"/>
      <c r="F32" s="183" t="n">
        <v>64</v>
      </c>
    </row>
    <row r="33" customFormat="false" ht="19.5" hidden="false" customHeight="true" outlineLevel="0" collapsed="false">
      <c r="A33" s="181" t="s">
        <v>214</v>
      </c>
      <c r="B33" s="186"/>
      <c r="C33" s="183" t="n">
        <v>29</v>
      </c>
      <c r="D33" s="225"/>
      <c r="E33" s="186"/>
      <c r="F33" s="183" t="n">
        <v>65</v>
      </c>
    </row>
    <row r="34" customFormat="false" ht="19.5" hidden="false" customHeight="true" outlineLevel="0" collapsed="false">
      <c r="A34" s="218" t="s">
        <v>214</v>
      </c>
      <c r="B34" s="186" t="s">
        <v>214</v>
      </c>
      <c r="C34" s="183" t="n">
        <v>30</v>
      </c>
      <c r="D34" s="225"/>
      <c r="E34" s="186"/>
      <c r="F34" s="183" t="n">
        <v>66</v>
      </c>
    </row>
    <row r="35" customFormat="false" ht="19.5" hidden="false" customHeight="true" outlineLevel="0" collapsed="false">
      <c r="A35" s="181" t="s">
        <v>214</v>
      </c>
      <c r="B35" s="186"/>
      <c r="C35" s="183" t="n">
        <v>31</v>
      </c>
      <c r="D35" s="225"/>
      <c r="E35" s="186"/>
      <c r="F35" s="183" t="n">
        <v>67</v>
      </c>
    </row>
    <row r="36" customFormat="false" ht="19.5" hidden="false" customHeight="true" outlineLevel="0" collapsed="false">
      <c r="A36" s="181" t="s">
        <v>214</v>
      </c>
      <c r="B36" s="186"/>
      <c r="C36" s="183" t="n">
        <v>32</v>
      </c>
      <c r="D36" s="225"/>
      <c r="E36" s="186"/>
      <c r="F36" s="183" t="n">
        <v>68</v>
      </c>
    </row>
    <row r="37" customFormat="false" ht="19.5" hidden="false" customHeight="true" outlineLevel="0" collapsed="false">
      <c r="A37" s="218" t="s">
        <v>214</v>
      </c>
      <c r="B37" s="226" t="s">
        <v>214</v>
      </c>
      <c r="C37" s="183" t="n">
        <v>33</v>
      </c>
      <c r="D37" s="225"/>
      <c r="E37" s="186"/>
      <c r="F37" s="183" t="n">
        <v>69</v>
      </c>
    </row>
    <row r="38" customFormat="false" ht="19.5" hidden="false" customHeight="true" outlineLevel="0" collapsed="false">
      <c r="A38" s="181" t="s">
        <v>214</v>
      </c>
      <c r="B38" s="186"/>
      <c r="C38" s="183" t="n">
        <v>34</v>
      </c>
      <c r="D38" s="227"/>
      <c r="E38" s="228"/>
      <c r="F38" s="229" t="n">
        <v>70</v>
      </c>
    </row>
    <row r="39" customFormat="false" ht="19.5" hidden="false" customHeight="true" outlineLevel="0" collapsed="false">
      <c r="A39" s="181" t="s">
        <v>214</v>
      </c>
      <c r="B39" s="186"/>
      <c r="C39" s="230" t="n">
        <v>35</v>
      </c>
      <c r="D39" s="225"/>
      <c r="E39" s="186"/>
      <c r="F39" s="183" t="n">
        <v>71</v>
      </c>
    </row>
    <row r="40" customFormat="false" ht="19.5" hidden="false" customHeight="true" outlineLevel="0" collapsed="false">
      <c r="A40" s="189" t="s">
        <v>214</v>
      </c>
      <c r="B40" s="190"/>
      <c r="C40" s="231" t="n">
        <v>36</v>
      </c>
      <c r="D40" s="232" t="s">
        <v>214</v>
      </c>
      <c r="E40" s="190" t="s">
        <v>214</v>
      </c>
      <c r="F40" s="191" t="n">
        <v>72</v>
      </c>
    </row>
    <row r="41" customFormat="false" ht="19.5" hidden="false" customHeight="true" outlineLevel="0" collapsed="false">
      <c r="A41" s="233"/>
      <c r="B41" s="233"/>
      <c r="C41" s="233"/>
      <c r="D41" s="233" t="s">
        <v>214</v>
      </c>
      <c r="E41" s="195" t="s">
        <v>691</v>
      </c>
      <c r="F41" s="234" t="s">
        <v>682</v>
      </c>
    </row>
    <row r="42" customFormat="false" ht="19.5" hidden="false" customHeight="true" outlineLevel="0" collapsed="false"/>
  </sheetData>
  <mergeCells count="1">
    <mergeCell ref="B1:C1"/>
  </mergeCells>
  <printOptions headings="false" gridLines="false" gridLinesSet="true" horizontalCentered="false" verticalCentered="false"/>
  <pageMargins left="0" right="0" top="0.157638888888889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1.00390625" defaultRowHeight="13.5" customHeight="false" zeroHeight="false" outlineLevelRow="0" outlineLevelCol="0"/>
  <cols>
    <col collapsed="false" customWidth="false" hidden="false" outlineLevel="0" max="2" min="1" style="235" width="11"/>
    <col collapsed="false" customWidth="true" hidden="false" outlineLevel="0" max="3" min="3" style="235" width="10.66"/>
    <col collapsed="false" customWidth="false" hidden="false" outlineLevel="0" max="4" min="4" style="235" width="11"/>
    <col collapsed="false" customWidth="true" hidden="false" outlineLevel="0" max="5" min="5" style="235" width="13"/>
    <col collapsed="false" customWidth="false" hidden="false" outlineLevel="0" max="16384" min="6" style="235" width="11"/>
  </cols>
  <sheetData>
    <row r="1" customFormat="false" ht="18" hidden="false" customHeight="true" outlineLevel="0" collapsed="false">
      <c r="A1" s="159" t="s">
        <v>674</v>
      </c>
      <c r="B1" s="236" t="s">
        <v>636</v>
      </c>
      <c r="C1" s="236"/>
      <c r="D1" s="237" t="s">
        <v>692</v>
      </c>
      <c r="E1" s="159"/>
      <c r="F1" s="238" t="s">
        <v>214</v>
      </c>
      <c r="G1" s="239" t="s">
        <v>214</v>
      </c>
      <c r="I1" s="240" t="s">
        <v>693</v>
      </c>
    </row>
    <row r="2" customFormat="false" ht="15.75" hidden="false" customHeight="true" outlineLevel="0" collapsed="false">
      <c r="A2" s="159" t="s">
        <v>677</v>
      </c>
      <c r="B2" s="198" t="n">
        <v>3786</v>
      </c>
      <c r="C2" s="241" t="s">
        <v>214</v>
      </c>
      <c r="D2" s="159" t="s">
        <v>678</v>
      </c>
      <c r="E2" s="242" t="n">
        <v>46174</v>
      </c>
      <c r="G2" s="241" t="s">
        <v>214</v>
      </c>
      <c r="I2" s="243"/>
    </row>
    <row r="3" customFormat="false" ht="13.5" hidden="false" customHeight="true" outlineLevel="0" collapsed="false">
      <c r="A3" s="159" t="s">
        <v>680</v>
      </c>
      <c r="B3" s="202" t="s">
        <v>694</v>
      </c>
      <c r="C3" s="169" t="s">
        <v>214</v>
      </c>
      <c r="D3" s="244" t="s">
        <v>695</v>
      </c>
      <c r="E3" s="242" t="n">
        <v>46328</v>
      </c>
      <c r="G3" s="245" t="s">
        <v>696</v>
      </c>
      <c r="H3" s="246" t="s">
        <v>682</v>
      </c>
      <c r="I3" s="246"/>
    </row>
    <row r="4" customFormat="false" ht="18" hidden="false" customHeight="true" outlineLevel="0" collapsed="false">
      <c r="A4" s="247" t="s">
        <v>683</v>
      </c>
      <c r="B4" s="248" t="s">
        <v>684</v>
      </c>
      <c r="C4" s="249" t="s">
        <v>685</v>
      </c>
      <c r="D4" s="173" t="s">
        <v>683</v>
      </c>
      <c r="E4" s="174" t="s">
        <v>684</v>
      </c>
      <c r="F4" s="175" t="s">
        <v>685</v>
      </c>
      <c r="G4" s="247" t="s">
        <v>683</v>
      </c>
      <c r="H4" s="248" t="s">
        <v>684</v>
      </c>
      <c r="I4" s="249" t="s">
        <v>685</v>
      </c>
    </row>
    <row r="5" customFormat="false" ht="18" hidden="false" customHeight="true" outlineLevel="0" collapsed="false">
      <c r="A5" s="250" t="s">
        <v>214</v>
      </c>
      <c r="B5" s="186"/>
      <c r="C5" s="251" t="n">
        <v>1</v>
      </c>
      <c r="D5" s="252" t="s">
        <v>214</v>
      </c>
      <c r="E5" s="210"/>
      <c r="F5" s="178" t="n">
        <v>43</v>
      </c>
      <c r="G5" s="253" t="s">
        <v>214</v>
      </c>
      <c r="H5" s="254" t="s">
        <v>214</v>
      </c>
      <c r="I5" s="178" t="n">
        <v>85</v>
      </c>
    </row>
    <row r="6" customFormat="false" ht="18" hidden="false" customHeight="true" outlineLevel="0" collapsed="false">
      <c r="A6" s="250"/>
      <c r="B6" s="186"/>
      <c r="C6" s="251" t="n">
        <v>2</v>
      </c>
      <c r="D6" s="255"/>
      <c r="E6" s="211"/>
      <c r="F6" s="183" t="n">
        <v>44</v>
      </c>
      <c r="G6" s="256"/>
      <c r="H6" s="257"/>
      <c r="I6" s="183" t="n">
        <v>86</v>
      </c>
    </row>
    <row r="7" customFormat="false" ht="18" hidden="false" customHeight="true" outlineLevel="0" collapsed="false">
      <c r="A7" s="250"/>
      <c r="B7" s="186"/>
      <c r="C7" s="251" t="n">
        <v>3</v>
      </c>
      <c r="D7" s="255"/>
      <c r="E7" s="217" t="s">
        <v>214</v>
      </c>
      <c r="F7" s="183" t="n">
        <v>45</v>
      </c>
      <c r="G7" s="256"/>
      <c r="H7" s="257"/>
      <c r="I7" s="183" t="n">
        <v>87</v>
      </c>
    </row>
    <row r="8" customFormat="false" ht="18" hidden="false" customHeight="true" outlineLevel="0" collapsed="false">
      <c r="A8" s="250"/>
      <c r="B8" s="186"/>
      <c r="C8" s="251" t="n">
        <v>4</v>
      </c>
      <c r="D8" s="255"/>
      <c r="E8" s="211"/>
      <c r="F8" s="183" t="n">
        <v>46</v>
      </c>
      <c r="G8" s="256"/>
      <c r="H8" s="257"/>
      <c r="I8" s="183" t="n">
        <v>88</v>
      </c>
    </row>
    <row r="9" customFormat="false" ht="18" hidden="false" customHeight="true" outlineLevel="0" collapsed="false">
      <c r="A9" s="250" t="s">
        <v>214</v>
      </c>
      <c r="B9" s="222" t="s">
        <v>214</v>
      </c>
      <c r="C9" s="251" t="n">
        <v>5</v>
      </c>
      <c r="D9" s="255" t="s">
        <v>214</v>
      </c>
      <c r="E9" s="211"/>
      <c r="F9" s="183" t="n">
        <v>47</v>
      </c>
      <c r="G9" s="256"/>
      <c r="H9" s="257"/>
      <c r="I9" s="183" t="n">
        <v>89</v>
      </c>
    </row>
    <row r="10" customFormat="false" ht="18" hidden="false" customHeight="true" outlineLevel="0" collapsed="false">
      <c r="A10" s="250" t="s">
        <v>214</v>
      </c>
      <c r="B10" s="186"/>
      <c r="C10" s="251" t="n">
        <v>6</v>
      </c>
      <c r="D10" s="255" t="s">
        <v>214</v>
      </c>
      <c r="E10" s="211"/>
      <c r="F10" s="183" t="n">
        <v>48</v>
      </c>
      <c r="G10" s="256"/>
      <c r="H10" s="257"/>
      <c r="I10" s="183" t="n">
        <v>90</v>
      </c>
    </row>
    <row r="11" customFormat="false" ht="18" hidden="false" customHeight="true" outlineLevel="0" collapsed="false">
      <c r="A11" s="250" t="s">
        <v>214</v>
      </c>
      <c r="B11" s="186"/>
      <c r="C11" s="251" t="n">
        <v>7</v>
      </c>
      <c r="D11" s="255" t="s">
        <v>214</v>
      </c>
      <c r="E11" s="211"/>
      <c r="F11" s="183" t="n">
        <v>49</v>
      </c>
      <c r="G11" s="256"/>
      <c r="H11" s="257"/>
      <c r="I11" s="183" t="n">
        <v>91</v>
      </c>
    </row>
    <row r="12" customFormat="false" ht="18" hidden="false" customHeight="true" outlineLevel="0" collapsed="false">
      <c r="A12" s="250" t="s">
        <v>214</v>
      </c>
      <c r="B12" s="186" t="s">
        <v>214</v>
      </c>
      <c r="C12" s="251" t="n">
        <v>8</v>
      </c>
      <c r="D12" s="255" t="s">
        <v>214</v>
      </c>
      <c r="E12" s="211"/>
      <c r="F12" s="183" t="n">
        <v>50</v>
      </c>
      <c r="G12" s="256"/>
      <c r="H12" s="257"/>
      <c r="I12" s="183" t="n">
        <v>92</v>
      </c>
    </row>
    <row r="13" customFormat="false" ht="18" hidden="false" customHeight="true" outlineLevel="0" collapsed="false">
      <c r="A13" s="250" t="s">
        <v>214</v>
      </c>
      <c r="B13" s="186"/>
      <c r="C13" s="251" t="n">
        <v>9</v>
      </c>
      <c r="D13" s="255" t="s">
        <v>214</v>
      </c>
      <c r="E13" s="211"/>
      <c r="F13" s="183" t="n">
        <v>51</v>
      </c>
      <c r="G13" s="256"/>
      <c r="H13" s="257"/>
      <c r="I13" s="183" t="n">
        <v>93</v>
      </c>
    </row>
    <row r="14" customFormat="false" ht="18" hidden="false" customHeight="true" outlineLevel="0" collapsed="false">
      <c r="A14" s="250" t="s">
        <v>214</v>
      </c>
      <c r="B14" s="219" t="s">
        <v>214</v>
      </c>
      <c r="C14" s="251" t="n">
        <v>10</v>
      </c>
      <c r="D14" s="255" t="s">
        <v>214</v>
      </c>
      <c r="E14" s="258"/>
      <c r="F14" s="183" t="n">
        <v>52</v>
      </c>
      <c r="G14" s="256"/>
      <c r="H14" s="257"/>
      <c r="I14" s="183" t="n">
        <v>94</v>
      </c>
    </row>
    <row r="15" customFormat="false" ht="18" hidden="false" customHeight="true" outlineLevel="0" collapsed="false">
      <c r="A15" s="250" t="s">
        <v>214</v>
      </c>
      <c r="B15" s="186"/>
      <c r="C15" s="251" t="n">
        <v>11</v>
      </c>
      <c r="D15" s="255"/>
      <c r="E15" s="186"/>
      <c r="F15" s="183" t="n">
        <v>53</v>
      </c>
      <c r="G15" s="256"/>
      <c r="H15" s="257"/>
      <c r="I15" s="183" t="n">
        <v>95</v>
      </c>
    </row>
    <row r="16" customFormat="false" ht="18" hidden="false" customHeight="true" outlineLevel="0" collapsed="false">
      <c r="A16" s="259" t="s">
        <v>214</v>
      </c>
      <c r="B16" s="186" t="s">
        <v>214</v>
      </c>
      <c r="C16" s="251" t="n">
        <v>12</v>
      </c>
      <c r="D16" s="255" t="s">
        <v>214</v>
      </c>
      <c r="E16" s="211"/>
      <c r="F16" s="183" t="n">
        <v>54</v>
      </c>
      <c r="G16" s="256"/>
      <c r="H16" s="257"/>
      <c r="I16" s="183" t="n">
        <v>96</v>
      </c>
    </row>
    <row r="17" customFormat="false" ht="18" hidden="false" customHeight="true" outlineLevel="0" collapsed="false">
      <c r="A17" s="250" t="s">
        <v>214</v>
      </c>
      <c r="B17" s="186"/>
      <c r="C17" s="251" t="n">
        <v>13</v>
      </c>
      <c r="D17" s="260" t="s">
        <v>214</v>
      </c>
      <c r="E17" s="261" t="s">
        <v>214</v>
      </c>
      <c r="F17" s="183" t="n">
        <v>55</v>
      </c>
      <c r="G17" s="256"/>
      <c r="H17" s="257"/>
      <c r="I17" s="183" t="n">
        <v>97</v>
      </c>
    </row>
    <row r="18" customFormat="false" ht="18" hidden="false" customHeight="true" outlineLevel="0" collapsed="false">
      <c r="A18" s="250" t="s">
        <v>214</v>
      </c>
      <c r="B18" s="186"/>
      <c r="C18" s="251" t="n">
        <v>14</v>
      </c>
      <c r="D18" s="255" t="s">
        <v>214</v>
      </c>
      <c r="E18" s="211"/>
      <c r="F18" s="183" t="n">
        <v>56</v>
      </c>
      <c r="G18" s="256"/>
      <c r="H18" s="257"/>
      <c r="I18" s="183" t="n">
        <v>98</v>
      </c>
    </row>
    <row r="19" customFormat="false" ht="18" hidden="false" customHeight="true" outlineLevel="0" collapsed="false">
      <c r="A19" s="250" t="s">
        <v>214</v>
      </c>
      <c r="B19" s="186"/>
      <c r="C19" s="251" t="n">
        <v>15</v>
      </c>
      <c r="D19" s="255" t="s">
        <v>214</v>
      </c>
      <c r="E19" s="211"/>
      <c r="F19" s="183" t="n">
        <v>57</v>
      </c>
      <c r="G19" s="256"/>
      <c r="H19" s="257"/>
      <c r="I19" s="183" t="n">
        <v>99</v>
      </c>
    </row>
    <row r="20" customFormat="false" ht="18" hidden="false" customHeight="true" outlineLevel="0" collapsed="false">
      <c r="A20" s="250" t="s">
        <v>214</v>
      </c>
      <c r="B20" s="186"/>
      <c r="C20" s="251" t="n">
        <v>16</v>
      </c>
      <c r="D20" s="255" t="s">
        <v>214</v>
      </c>
      <c r="E20" s="211"/>
      <c r="F20" s="183" t="n">
        <v>58</v>
      </c>
      <c r="G20" s="256"/>
      <c r="H20" s="257"/>
      <c r="I20" s="183" t="n">
        <v>100</v>
      </c>
    </row>
    <row r="21" customFormat="false" ht="18" hidden="false" customHeight="true" outlineLevel="0" collapsed="false">
      <c r="A21" s="250" t="s">
        <v>214</v>
      </c>
      <c r="B21" s="186"/>
      <c r="C21" s="251" t="n">
        <v>17</v>
      </c>
      <c r="D21" s="255" t="s">
        <v>214</v>
      </c>
      <c r="E21" s="211"/>
      <c r="F21" s="183" t="n">
        <v>59</v>
      </c>
      <c r="G21" s="256"/>
      <c r="H21" s="257" t="s">
        <v>214</v>
      </c>
      <c r="I21" s="183" t="n">
        <v>101</v>
      </c>
    </row>
    <row r="22" customFormat="false" ht="18" hidden="false" customHeight="true" outlineLevel="0" collapsed="false">
      <c r="A22" s="250" t="s">
        <v>214</v>
      </c>
      <c r="B22" s="186"/>
      <c r="C22" s="251" t="n">
        <v>18</v>
      </c>
      <c r="D22" s="262" t="s">
        <v>214</v>
      </c>
      <c r="E22" s="263" t="s">
        <v>214</v>
      </c>
      <c r="F22" s="183" t="n">
        <v>60</v>
      </c>
      <c r="G22" s="256"/>
      <c r="H22" s="257"/>
      <c r="I22" s="183" t="n">
        <v>102</v>
      </c>
    </row>
    <row r="23" customFormat="false" ht="18" hidden="false" customHeight="true" outlineLevel="0" collapsed="false">
      <c r="A23" s="250" t="s">
        <v>214</v>
      </c>
      <c r="B23" s="186"/>
      <c r="C23" s="251" t="n">
        <v>19</v>
      </c>
      <c r="D23" s="255"/>
      <c r="E23" s="186"/>
      <c r="F23" s="183" t="n">
        <v>61</v>
      </c>
      <c r="G23" s="256"/>
      <c r="H23" s="257"/>
      <c r="I23" s="183" t="n">
        <v>103</v>
      </c>
    </row>
    <row r="24" customFormat="false" ht="18" hidden="false" customHeight="true" outlineLevel="0" collapsed="false">
      <c r="A24" s="250" t="s">
        <v>214</v>
      </c>
      <c r="B24" s="186"/>
      <c r="C24" s="251" t="n">
        <v>20</v>
      </c>
      <c r="D24" s="255" t="s">
        <v>214</v>
      </c>
      <c r="E24" s="211"/>
      <c r="F24" s="183" t="n">
        <v>62</v>
      </c>
      <c r="G24" s="256"/>
      <c r="H24" s="257"/>
      <c r="I24" s="183" t="n">
        <v>104</v>
      </c>
    </row>
    <row r="25" customFormat="false" ht="18" hidden="false" customHeight="true" outlineLevel="0" collapsed="false">
      <c r="A25" s="250" t="s">
        <v>214</v>
      </c>
      <c r="B25" s="186"/>
      <c r="C25" s="251" t="n">
        <v>21</v>
      </c>
      <c r="D25" s="255" t="s">
        <v>214</v>
      </c>
      <c r="E25" s="211"/>
      <c r="F25" s="183" t="n">
        <v>63</v>
      </c>
      <c r="G25" s="256"/>
      <c r="H25" s="257"/>
      <c r="I25" s="183" t="n">
        <v>105</v>
      </c>
    </row>
    <row r="26" customFormat="false" ht="18" hidden="false" customHeight="true" outlineLevel="0" collapsed="false">
      <c r="A26" s="250" t="s">
        <v>214</v>
      </c>
      <c r="B26" s="186"/>
      <c r="C26" s="251" t="n">
        <v>22</v>
      </c>
      <c r="D26" s="255" t="s">
        <v>214</v>
      </c>
      <c r="E26" s="211"/>
      <c r="F26" s="183" t="n">
        <v>64</v>
      </c>
      <c r="G26" s="256"/>
      <c r="H26" s="257"/>
      <c r="I26" s="183" t="n">
        <v>106</v>
      </c>
    </row>
    <row r="27" customFormat="false" ht="18" hidden="false" customHeight="true" outlineLevel="0" collapsed="false">
      <c r="A27" s="250" t="s">
        <v>214</v>
      </c>
      <c r="B27" s="186"/>
      <c r="C27" s="251" t="n">
        <v>23</v>
      </c>
      <c r="D27" s="255" t="s">
        <v>214</v>
      </c>
      <c r="E27" s="211"/>
      <c r="F27" s="183" t="n">
        <v>65</v>
      </c>
      <c r="G27" s="256"/>
      <c r="H27" s="257"/>
      <c r="I27" s="183" t="n">
        <v>107</v>
      </c>
    </row>
    <row r="28" customFormat="false" ht="18" hidden="false" customHeight="true" outlineLevel="0" collapsed="false">
      <c r="A28" s="250" t="s">
        <v>214</v>
      </c>
      <c r="B28" s="186"/>
      <c r="C28" s="251" t="n">
        <v>24</v>
      </c>
      <c r="D28" s="255" t="s">
        <v>214</v>
      </c>
      <c r="E28" s="211"/>
      <c r="F28" s="183" t="n">
        <v>66</v>
      </c>
      <c r="G28" s="256"/>
      <c r="H28" s="257"/>
      <c r="I28" s="183" t="n">
        <v>108</v>
      </c>
    </row>
    <row r="29" customFormat="false" ht="18" hidden="false" customHeight="true" outlineLevel="0" collapsed="false">
      <c r="A29" s="250" t="s">
        <v>214</v>
      </c>
      <c r="B29" s="186"/>
      <c r="C29" s="251" t="n">
        <v>25</v>
      </c>
      <c r="D29" s="255" t="s">
        <v>214</v>
      </c>
      <c r="E29" s="211"/>
      <c r="F29" s="183" t="n">
        <v>67</v>
      </c>
      <c r="G29" s="256"/>
      <c r="H29" s="257"/>
      <c r="I29" s="183" t="n">
        <v>109</v>
      </c>
    </row>
    <row r="30" customFormat="false" ht="18" hidden="false" customHeight="true" outlineLevel="0" collapsed="false">
      <c r="A30" s="250" t="s">
        <v>214</v>
      </c>
      <c r="B30" s="186"/>
      <c r="C30" s="251" t="n">
        <v>26</v>
      </c>
      <c r="D30" s="255" t="s">
        <v>214</v>
      </c>
      <c r="E30" s="211"/>
      <c r="F30" s="183" t="n">
        <v>68</v>
      </c>
      <c r="G30" s="264"/>
      <c r="H30" s="265"/>
      <c r="I30" s="191" t="n">
        <v>110</v>
      </c>
    </row>
    <row r="31" customFormat="false" ht="18" hidden="false" customHeight="true" outlineLevel="0" collapsed="false">
      <c r="A31" s="250" t="s">
        <v>214</v>
      </c>
      <c r="B31" s="186"/>
      <c r="C31" s="251" t="n">
        <v>27</v>
      </c>
      <c r="D31" s="255"/>
      <c r="E31" s="186"/>
      <c r="F31" s="183" t="n">
        <v>69</v>
      </c>
    </row>
    <row r="32" customFormat="false" ht="18" hidden="false" customHeight="true" outlineLevel="0" collapsed="false">
      <c r="A32" s="250" t="s">
        <v>214</v>
      </c>
      <c r="B32" s="186"/>
      <c r="C32" s="251" t="n">
        <v>28</v>
      </c>
      <c r="D32" s="255" t="s">
        <v>214</v>
      </c>
      <c r="E32" s="211"/>
      <c r="F32" s="183" t="n">
        <v>70</v>
      </c>
      <c r="G32" s="235" t="s">
        <v>214</v>
      </c>
    </row>
    <row r="33" customFormat="false" ht="18" hidden="false" customHeight="true" outlineLevel="0" collapsed="false">
      <c r="A33" s="250" t="s">
        <v>214</v>
      </c>
      <c r="B33" s="186"/>
      <c r="C33" s="251" t="n">
        <v>29</v>
      </c>
      <c r="D33" s="255" t="s">
        <v>214</v>
      </c>
      <c r="E33" s="211"/>
      <c r="F33" s="183" t="n">
        <v>71</v>
      </c>
      <c r="G33" s="235" t="s">
        <v>214</v>
      </c>
    </row>
    <row r="34" customFormat="false" ht="18" hidden="false" customHeight="true" outlineLevel="0" collapsed="false">
      <c r="A34" s="250" t="s">
        <v>214</v>
      </c>
      <c r="B34" s="186" t="s">
        <v>214</v>
      </c>
      <c r="C34" s="251" t="n">
        <v>30</v>
      </c>
      <c r="D34" s="255" t="s">
        <v>214</v>
      </c>
      <c r="E34" s="211"/>
      <c r="F34" s="183" t="n">
        <v>72</v>
      </c>
    </row>
    <row r="35" customFormat="false" ht="18" hidden="false" customHeight="true" outlineLevel="0" collapsed="false">
      <c r="A35" s="250" t="s">
        <v>214</v>
      </c>
      <c r="B35" s="186"/>
      <c r="C35" s="251" t="n">
        <v>31</v>
      </c>
      <c r="D35" s="255" t="s">
        <v>214</v>
      </c>
      <c r="E35" s="211"/>
      <c r="F35" s="183" t="n">
        <v>73</v>
      </c>
    </row>
    <row r="36" customFormat="false" ht="18" hidden="false" customHeight="true" outlineLevel="0" collapsed="false">
      <c r="A36" s="250" t="s">
        <v>214</v>
      </c>
      <c r="B36" s="186"/>
      <c r="C36" s="251" t="n">
        <v>32</v>
      </c>
      <c r="D36" s="255" t="s">
        <v>214</v>
      </c>
      <c r="E36" s="211"/>
      <c r="F36" s="183" t="n">
        <v>74</v>
      </c>
    </row>
    <row r="37" customFormat="false" ht="18" hidden="false" customHeight="true" outlineLevel="0" collapsed="false">
      <c r="A37" s="250" t="s">
        <v>214</v>
      </c>
      <c r="B37" s="186"/>
      <c r="C37" s="251" t="n">
        <v>33</v>
      </c>
      <c r="D37" s="255" t="s">
        <v>214</v>
      </c>
      <c r="E37" s="211"/>
      <c r="F37" s="183" t="n">
        <v>75</v>
      </c>
    </row>
    <row r="38" customFormat="false" ht="18" hidden="false" customHeight="true" outlineLevel="0" collapsed="false">
      <c r="A38" s="250" t="s">
        <v>214</v>
      </c>
      <c r="B38" s="186"/>
      <c r="C38" s="251" t="n">
        <v>34</v>
      </c>
      <c r="D38" s="255" t="s">
        <v>214</v>
      </c>
      <c r="E38" s="211"/>
      <c r="F38" s="183" t="n">
        <v>76</v>
      </c>
    </row>
    <row r="39" customFormat="false" ht="18" hidden="false" customHeight="true" outlineLevel="0" collapsed="false">
      <c r="A39" s="250" t="s">
        <v>214</v>
      </c>
      <c r="B39" s="186"/>
      <c r="C39" s="251" t="n">
        <v>35</v>
      </c>
      <c r="D39" s="255"/>
      <c r="E39" s="186"/>
      <c r="F39" s="183" t="n">
        <v>77</v>
      </c>
    </row>
    <row r="40" customFormat="false" ht="18" hidden="false" customHeight="true" outlineLevel="0" collapsed="false">
      <c r="A40" s="250" t="s">
        <v>214</v>
      </c>
      <c r="B40" s="186"/>
      <c r="C40" s="251" t="n">
        <v>36</v>
      </c>
      <c r="D40" s="255" t="s">
        <v>214</v>
      </c>
      <c r="E40" s="211"/>
      <c r="F40" s="183" t="n">
        <v>78</v>
      </c>
    </row>
    <row r="41" customFormat="false" ht="18" hidden="false" customHeight="true" outlineLevel="0" collapsed="false">
      <c r="A41" s="250"/>
      <c r="B41" s="186" t="s">
        <v>214</v>
      </c>
      <c r="C41" s="251" t="n">
        <v>37</v>
      </c>
      <c r="D41" s="255" t="s">
        <v>214</v>
      </c>
      <c r="E41" s="211"/>
      <c r="F41" s="183" t="n">
        <v>79</v>
      </c>
    </row>
    <row r="42" customFormat="false" ht="18" hidden="false" customHeight="true" outlineLevel="0" collapsed="false">
      <c r="A42" s="250"/>
      <c r="B42" s="186"/>
      <c r="C42" s="251" t="n">
        <v>38</v>
      </c>
      <c r="D42" s="255" t="s">
        <v>214</v>
      </c>
      <c r="E42" s="211"/>
      <c r="F42" s="183" t="n">
        <v>80</v>
      </c>
    </row>
    <row r="43" customFormat="false" ht="18" hidden="false" customHeight="true" outlineLevel="0" collapsed="false">
      <c r="A43" s="250" t="s">
        <v>214</v>
      </c>
      <c r="B43" s="186"/>
      <c r="C43" s="251" t="n">
        <v>39</v>
      </c>
      <c r="D43" s="255" t="s">
        <v>214</v>
      </c>
      <c r="E43" s="211"/>
      <c r="F43" s="183" t="n">
        <v>81</v>
      </c>
    </row>
    <row r="44" customFormat="false" ht="18" hidden="false" customHeight="true" outlineLevel="0" collapsed="false">
      <c r="A44" s="181" t="s">
        <v>214</v>
      </c>
      <c r="B44" s="217" t="s">
        <v>214</v>
      </c>
      <c r="C44" s="183" t="n">
        <v>40</v>
      </c>
      <c r="D44" s="181" t="s">
        <v>214</v>
      </c>
      <c r="E44" s="211"/>
      <c r="F44" s="183" t="n">
        <v>82</v>
      </c>
    </row>
    <row r="45" customFormat="false" ht="18" hidden="false" customHeight="true" outlineLevel="0" collapsed="false">
      <c r="A45" s="181" t="s">
        <v>214</v>
      </c>
      <c r="B45" s="186"/>
      <c r="C45" s="183" t="n">
        <v>41</v>
      </c>
      <c r="D45" s="266"/>
      <c r="E45" s="267"/>
      <c r="F45" s="183" t="n">
        <v>83</v>
      </c>
    </row>
    <row r="46" customFormat="false" ht="18" hidden="false" customHeight="true" outlineLevel="0" collapsed="false">
      <c r="A46" s="189" t="s">
        <v>214</v>
      </c>
      <c r="B46" s="190"/>
      <c r="C46" s="191" t="n">
        <v>42</v>
      </c>
      <c r="D46" s="268"/>
      <c r="E46" s="269"/>
      <c r="F46" s="191" t="n">
        <v>84</v>
      </c>
      <c r="G46" s="245" t="s">
        <v>696</v>
      </c>
      <c r="H46" s="246" t="s">
        <v>682</v>
      </c>
      <c r="I46" s="246"/>
    </row>
  </sheetData>
  <mergeCells count="3">
    <mergeCell ref="B1:C1"/>
    <mergeCell ref="H3:I3"/>
    <mergeCell ref="H46:I46"/>
  </mergeCells>
  <printOptions headings="false" gridLines="false" gridLinesSet="true" horizontalCentered="false" verticalCentered="false"/>
  <pageMargins left="0.118055555555556" right="0.118055555555556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23.5625" defaultRowHeight="44.25" customHeight="true" zeroHeight="false" outlineLevelRow="0" outlineLevelCol="0"/>
  <sheetData>
    <row r="1" customFormat="false" ht="29.25" hidden="false" customHeight="true" outlineLevel="0" collapsed="false">
      <c r="A1" s="159" t="s">
        <v>674</v>
      </c>
      <c r="B1" s="270" t="s">
        <v>476</v>
      </c>
      <c r="C1" s="270"/>
      <c r="D1" s="195" t="s">
        <v>697</v>
      </c>
      <c r="E1" s="196" t="s">
        <v>214</v>
      </c>
      <c r="F1" s="271" t="s">
        <v>698</v>
      </c>
    </row>
    <row r="2" customFormat="false" ht="44.25" hidden="false" customHeight="false" outlineLevel="0" collapsed="false">
      <c r="A2" s="159" t="s">
        <v>677</v>
      </c>
      <c r="B2" s="198" t="n">
        <v>3693</v>
      </c>
      <c r="C2" s="272" t="s">
        <v>214</v>
      </c>
      <c r="D2" s="159" t="s">
        <v>678</v>
      </c>
      <c r="E2" s="200" t="n">
        <v>46102</v>
      </c>
      <c r="F2" s="273" t="s">
        <v>679</v>
      </c>
    </row>
    <row r="3" customFormat="false" ht="27" hidden="false" customHeight="true" outlineLevel="0" collapsed="false">
      <c r="A3" s="159" t="s">
        <v>680</v>
      </c>
      <c r="B3" s="202" t="s">
        <v>689</v>
      </c>
      <c r="C3" s="274"/>
      <c r="D3" s="233" t="s">
        <v>699</v>
      </c>
      <c r="E3" s="200" t="n">
        <v>46185</v>
      </c>
      <c r="F3" s="275" t="s">
        <v>682</v>
      </c>
    </row>
    <row r="4" customFormat="false" ht="44.25" hidden="false" customHeight="false" outlineLevel="0" collapsed="false">
      <c r="A4" s="276" t="s">
        <v>683</v>
      </c>
      <c r="B4" s="276" t="s">
        <v>684</v>
      </c>
      <c r="C4" s="276" t="s">
        <v>685</v>
      </c>
      <c r="D4" s="276" t="s">
        <v>683</v>
      </c>
      <c r="E4" s="276" t="s">
        <v>684</v>
      </c>
      <c r="F4" s="276" t="s">
        <v>685</v>
      </c>
    </row>
    <row r="5" customFormat="false" ht="39.75" hidden="false" customHeight="true" outlineLevel="0" collapsed="false">
      <c r="A5" s="277" t="s">
        <v>700</v>
      </c>
      <c r="B5" s="278" t="n">
        <v>64000</v>
      </c>
      <c r="C5" s="279" t="n">
        <v>1</v>
      </c>
      <c r="D5" s="277" t="s">
        <v>701</v>
      </c>
      <c r="E5" s="280"/>
      <c r="F5" s="281" t="n">
        <v>8</v>
      </c>
    </row>
    <row r="6" customFormat="false" ht="39.75" hidden="false" customHeight="true" outlineLevel="0" collapsed="false">
      <c r="A6" s="277" t="s">
        <v>702</v>
      </c>
      <c r="B6" s="278" t="n">
        <v>64000</v>
      </c>
      <c r="C6" s="279" t="n">
        <v>2</v>
      </c>
      <c r="D6" s="277" t="s">
        <v>703</v>
      </c>
      <c r="E6" s="280"/>
      <c r="F6" s="281" t="n">
        <v>9</v>
      </c>
    </row>
    <row r="7" customFormat="false" ht="40.5" hidden="false" customHeight="true" outlineLevel="0" collapsed="false">
      <c r="A7" s="277" t="s">
        <v>704</v>
      </c>
      <c r="B7" s="282" t="s">
        <v>214</v>
      </c>
      <c r="C7" s="279" t="n">
        <v>3</v>
      </c>
      <c r="D7" s="277" t="s">
        <v>705</v>
      </c>
      <c r="E7" s="280"/>
      <c r="F7" s="281" t="n">
        <v>10</v>
      </c>
    </row>
    <row r="8" customFormat="false" ht="39.75" hidden="false" customHeight="true" outlineLevel="0" collapsed="false">
      <c r="A8" s="277" t="s">
        <v>706</v>
      </c>
      <c r="B8" s="283"/>
      <c r="C8" s="279" t="n">
        <v>4</v>
      </c>
      <c r="D8" s="277" t="s">
        <v>707</v>
      </c>
      <c r="E8" s="280"/>
      <c r="F8" s="281" t="n">
        <v>11</v>
      </c>
    </row>
    <row r="9" customFormat="false" ht="39.75" hidden="false" customHeight="true" outlineLevel="0" collapsed="false">
      <c r="A9" s="277" t="s">
        <v>708</v>
      </c>
      <c r="B9" s="284"/>
      <c r="C9" s="279" t="n">
        <v>5</v>
      </c>
      <c r="D9" s="277" t="s">
        <v>709</v>
      </c>
      <c r="E9" s="280"/>
      <c r="F9" s="281" t="n">
        <v>12</v>
      </c>
    </row>
    <row r="10" customFormat="false" ht="39.75" hidden="false" customHeight="true" outlineLevel="0" collapsed="false">
      <c r="A10" s="277" t="s">
        <v>710</v>
      </c>
      <c r="B10" s="283"/>
      <c r="C10" s="279" t="n">
        <v>6</v>
      </c>
      <c r="D10" s="277" t="s">
        <v>711</v>
      </c>
      <c r="E10" s="280"/>
      <c r="F10" s="281" t="n">
        <v>13</v>
      </c>
    </row>
    <row r="11" customFormat="false" ht="39.75" hidden="true" customHeight="true" outlineLevel="0" collapsed="false">
      <c r="A11" s="277" t="s">
        <v>701</v>
      </c>
      <c r="B11" s="283"/>
      <c r="C11" s="279" t="n">
        <v>7</v>
      </c>
      <c r="D11" s="277" t="s">
        <v>712</v>
      </c>
      <c r="E11" s="280"/>
      <c r="F11" s="281" t="n">
        <v>14</v>
      </c>
    </row>
    <row r="12" customFormat="false" ht="39.75" hidden="true" customHeight="true" outlineLevel="0" collapsed="false">
      <c r="A12" s="277" t="s">
        <v>703</v>
      </c>
      <c r="B12" s="280"/>
      <c r="C12" s="281" t="n">
        <v>8</v>
      </c>
      <c r="D12" s="277" t="s">
        <v>713</v>
      </c>
      <c r="E12" s="280"/>
      <c r="F12" s="281" t="n">
        <v>15</v>
      </c>
    </row>
  </sheetData>
  <mergeCells count="1">
    <mergeCell ref="B1:C1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28.3359375" defaultRowHeight="42" customHeight="true" zeroHeight="false" outlineLevelRow="0" outlineLevelCol="0"/>
  <sheetData>
    <row r="1" customFormat="false" ht="42" hidden="false" customHeight="true" outlineLevel="0" collapsed="false">
      <c r="A1" s="159" t="s">
        <v>674</v>
      </c>
      <c r="B1" s="285" t="s">
        <v>565</v>
      </c>
      <c r="C1" s="285"/>
      <c r="D1" s="195" t="s">
        <v>714</v>
      </c>
      <c r="E1" s="286" t="s">
        <v>214</v>
      </c>
      <c r="F1" s="271" t="s">
        <v>698</v>
      </c>
    </row>
    <row r="2" customFormat="false" ht="42" hidden="false" customHeight="true" outlineLevel="0" collapsed="false">
      <c r="A2" s="159" t="s">
        <v>677</v>
      </c>
      <c r="B2" s="198" t="n">
        <v>3769</v>
      </c>
      <c r="C2" s="199" t="s">
        <v>214</v>
      </c>
      <c r="D2" s="159" t="s">
        <v>678</v>
      </c>
      <c r="E2" s="200" t="n">
        <v>46158</v>
      </c>
      <c r="F2" s="273" t="s">
        <v>679</v>
      </c>
    </row>
    <row r="3" customFormat="false" ht="42" hidden="false" customHeight="true" outlineLevel="0" collapsed="false">
      <c r="A3" s="159" t="s">
        <v>680</v>
      </c>
      <c r="B3" s="202"/>
      <c r="C3" s="169" t="s">
        <v>214</v>
      </c>
      <c r="D3" s="233" t="s">
        <v>690</v>
      </c>
      <c r="E3" s="200" t="n">
        <v>46325</v>
      </c>
      <c r="F3" s="275" t="s">
        <v>682</v>
      </c>
    </row>
    <row r="4" customFormat="false" ht="42" hidden="false" customHeight="true" outlineLevel="0" collapsed="false">
      <c r="A4" s="276" t="s">
        <v>683</v>
      </c>
      <c r="B4" s="276" t="s">
        <v>684</v>
      </c>
      <c r="C4" s="276" t="s">
        <v>685</v>
      </c>
      <c r="D4" s="276" t="s">
        <v>683</v>
      </c>
      <c r="E4" s="276" t="s">
        <v>684</v>
      </c>
      <c r="F4" s="276" t="s">
        <v>685</v>
      </c>
    </row>
    <row r="5" customFormat="false" ht="57.75" hidden="false" customHeight="true" outlineLevel="0" collapsed="false">
      <c r="A5" s="287" t="s">
        <v>715</v>
      </c>
      <c r="B5" s="288" t="n">
        <v>220000</v>
      </c>
      <c r="C5" s="289" t="n">
        <v>1</v>
      </c>
      <c r="D5" s="277" t="s">
        <v>716</v>
      </c>
      <c r="E5" s="284"/>
      <c r="F5" s="279" t="s">
        <v>214</v>
      </c>
    </row>
    <row r="6" customFormat="false" ht="57.75" hidden="false" customHeight="true" outlineLevel="0" collapsed="false">
      <c r="A6" s="277" t="s">
        <v>717</v>
      </c>
      <c r="B6" s="290" t="s">
        <v>214</v>
      </c>
      <c r="C6" s="279" t="n">
        <v>2</v>
      </c>
      <c r="D6" s="277" t="s">
        <v>718</v>
      </c>
      <c r="E6" s="284"/>
      <c r="F6" s="279" t="s">
        <v>214</v>
      </c>
    </row>
    <row r="7" customFormat="false" ht="57.75" hidden="false" customHeight="true" outlineLevel="0" collapsed="false">
      <c r="A7" s="277" t="s">
        <v>719</v>
      </c>
      <c r="B7" s="284"/>
      <c r="C7" s="279" t="n">
        <v>3</v>
      </c>
      <c r="D7" s="277" t="s">
        <v>720</v>
      </c>
      <c r="E7" s="280"/>
      <c r="F7" s="281" t="s">
        <v>214</v>
      </c>
    </row>
    <row r="8" customFormat="false" ht="57.75" hidden="false" customHeight="true" outlineLevel="0" collapsed="false">
      <c r="A8" s="277" t="s">
        <v>721</v>
      </c>
      <c r="B8" s="284"/>
      <c r="C8" s="279" t="n">
        <v>4</v>
      </c>
      <c r="D8" s="277" t="s">
        <v>722</v>
      </c>
      <c r="E8" s="280"/>
      <c r="F8" s="281" t="s">
        <v>214</v>
      </c>
    </row>
    <row r="9" customFormat="false" ht="42" hidden="true" customHeight="true" outlineLevel="0" collapsed="false">
      <c r="A9" s="277" t="s">
        <v>716</v>
      </c>
      <c r="B9" s="284"/>
      <c r="C9" s="279"/>
      <c r="D9" s="277" t="s">
        <v>723</v>
      </c>
      <c r="E9" s="284"/>
      <c r="F9" s="279" t="s">
        <v>214</v>
      </c>
    </row>
    <row r="10" customFormat="false" ht="42" hidden="true" customHeight="true" outlineLevel="0" collapsed="false">
      <c r="A10" s="277" t="s">
        <v>718</v>
      </c>
      <c r="B10" s="284"/>
      <c r="C10" s="279"/>
      <c r="D10" s="277" t="s">
        <v>724</v>
      </c>
      <c r="E10" s="284"/>
      <c r="F10" s="279" t="s">
        <v>214</v>
      </c>
    </row>
    <row r="11" customFormat="false" ht="42" hidden="true" customHeight="true" outlineLevel="0" collapsed="false">
      <c r="A11" s="277" t="s">
        <v>720</v>
      </c>
      <c r="B11" s="284"/>
      <c r="C11" s="279"/>
      <c r="D11" s="277" t="s">
        <v>725</v>
      </c>
      <c r="E11" s="284"/>
      <c r="F11" s="279" t="s">
        <v>214</v>
      </c>
    </row>
    <row r="12" customFormat="false" ht="42" hidden="true" customHeight="true" outlineLevel="0" collapsed="false">
      <c r="A12" s="277" t="s">
        <v>722</v>
      </c>
      <c r="B12" s="284"/>
      <c r="C12" s="279"/>
      <c r="D12" s="277" t="s">
        <v>726</v>
      </c>
      <c r="E12" s="284"/>
      <c r="F12" s="279" t="s">
        <v>214</v>
      </c>
    </row>
    <row r="13" customFormat="false" ht="42" hidden="true" customHeight="true" outlineLevel="0" collapsed="false">
      <c r="A13" s="277" t="s">
        <v>727</v>
      </c>
      <c r="B13" s="284"/>
      <c r="C13" s="279"/>
      <c r="D13" s="277" t="s">
        <v>728</v>
      </c>
      <c r="E13" s="284"/>
      <c r="F13" s="279" t="s">
        <v>214</v>
      </c>
    </row>
    <row r="14" customFormat="false" ht="42" hidden="false" customHeight="true" outlineLevel="0" collapsed="false">
      <c r="E14" s="0" t="s">
        <v>729</v>
      </c>
      <c r="F14" s="275" t="s">
        <v>682</v>
      </c>
    </row>
  </sheetData>
  <mergeCells count="1">
    <mergeCell ref="B1:C1"/>
  </mergeCells>
  <printOptions headings="false" gridLines="false" gridLinesSet="true" horizontalCentered="false" verticalCentered="false"/>
  <pageMargins left="0.511805555555556" right="0.511805555555556" top="0.747916666666667" bottom="0.157638888888889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XFD143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1315" activePane="bottomLeft" state="frozen"/>
      <selection pane="topLeft" activeCell="A1" activeCellId="0" sqref="A1"/>
      <selection pane="bottomLeft" activeCell="A1" activeCellId="0" sqref="A1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3" style="0" width="13.11"/>
    <col collapsed="false" customWidth="true" hidden="false" outlineLevel="0" max="4" min="4" style="0" width="10.88"/>
    <col collapsed="false" customWidth="true" hidden="false" outlineLevel="0" max="5" min="5" style="0" width="10.44"/>
    <col collapsed="false" customWidth="true" hidden="false" outlineLevel="0" max="6" min="6" style="0" width="9.44"/>
    <col collapsed="false" customWidth="true" hidden="false" outlineLevel="0" max="7" min="7" style="0" width="7.33"/>
    <col collapsed="false" customWidth="true" hidden="false" outlineLevel="0" max="14" min="14" style="0" width="12"/>
    <col collapsed="false" customWidth="true" hidden="false" outlineLevel="0" max="16" min="16" style="0" width="8.88"/>
  </cols>
  <sheetData>
    <row r="1" s="301" customFormat="true" ht="28.35" hidden="false" customHeight="false" outlineLevel="0" collapsed="false">
      <c r="A1" s="291" t="s">
        <v>730</v>
      </c>
      <c r="B1" s="292" t="s">
        <v>1</v>
      </c>
      <c r="C1" s="292" t="s">
        <v>731</v>
      </c>
      <c r="D1" s="292" t="s">
        <v>3</v>
      </c>
      <c r="E1" s="293" t="s">
        <v>732</v>
      </c>
      <c r="F1" s="293" t="s">
        <v>733</v>
      </c>
      <c r="G1" s="293" t="s">
        <v>6</v>
      </c>
      <c r="H1" s="292" t="s">
        <v>734</v>
      </c>
      <c r="I1" s="292" t="s">
        <v>735</v>
      </c>
      <c r="J1" s="294" t="s">
        <v>736</v>
      </c>
      <c r="K1" s="295" t="s">
        <v>10</v>
      </c>
      <c r="L1" s="295" t="s">
        <v>737</v>
      </c>
      <c r="M1" s="296" t="s">
        <v>738</v>
      </c>
      <c r="N1" s="297" t="s">
        <v>739</v>
      </c>
      <c r="O1" s="298" t="s">
        <v>740</v>
      </c>
      <c r="P1" s="299" t="s">
        <v>741</v>
      </c>
      <c r="Q1" s="300" t="s">
        <v>742</v>
      </c>
      <c r="XDB1" s="0"/>
      <c r="XDC1" s="0"/>
      <c r="XDD1" s="0"/>
      <c r="XDE1" s="0"/>
      <c r="XDF1" s="0"/>
      <c r="XDG1" s="0"/>
      <c r="XDH1" s="0"/>
      <c r="XDI1" s="0"/>
      <c r="XDJ1" s="0"/>
      <c r="XDK1" s="0"/>
      <c r="XDL1" s="0"/>
      <c r="XDM1" s="0"/>
      <c r="XDN1" s="0"/>
      <c r="XDO1" s="0"/>
      <c r="XDP1" s="0"/>
      <c r="XDQ1" s="0"/>
      <c r="XDR1" s="0"/>
      <c r="XDS1" s="0"/>
      <c r="XDT1" s="0"/>
      <c r="XDU1" s="0"/>
      <c r="XDV1" s="0"/>
      <c r="XDW1" s="0"/>
      <c r="XDX1" s="0"/>
      <c r="XDY1" s="0"/>
      <c r="XDZ1" s="0"/>
      <c r="XEA1" s="0"/>
      <c r="XEB1" s="0"/>
      <c r="XEC1" s="0"/>
      <c r="XED1" s="0"/>
      <c r="XEE1" s="0"/>
      <c r="XEF1" s="0"/>
      <c r="XEG1" s="0"/>
      <c r="XEH1" s="0"/>
      <c r="XEI1" s="0"/>
      <c r="XEJ1" s="0"/>
      <c r="XEK1" s="0"/>
      <c r="XEL1" s="0"/>
      <c r="XEM1" s="0"/>
      <c r="XEN1" s="0"/>
      <c r="XEO1" s="0"/>
      <c r="XEP1" s="0"/>
      <c r="XEQ1" s="0"/>
      <c r="XER1" s="0"/>
      <c r="XES1" s="0"/>
      <c r="XET1" s="0"/>
      <c r="XEU1" s="0"/>
      <c r="XEV1" s="0"/>
      <c r="XEW1" s="0"/>
      <c r="XEX1" s="0"/>
      <c r="XEY1" s="0"/>
      <c r="XEZ1" s="0"/>
      <c r="XFA1" s="0"/>
      <c r="XFB1" s="0"/>
      <c r="XFC1" s="0"/>
      <c r="XFD1" s="0"/>
    </row>
    <row r="2" customFormat="false" ht="35.05" hidden="true" customHeight="false" outlineLevel="0" collapsed="false">
      <c r="A2" s="20" t="n">
        <v>2968</v>
      </c>
      <c r="B2" s="21" t="s">
        <v>280</v>
      </c>
      <c r="C2" s="21" t="s">
        <v>281</v>
      </c>
      <c r="D2" s="34" t="n">
        <v>20386454729</v>
      </c>
      <c r="E2" s="25" t="n">
        <v>45649</v>
      </c>
      <c r="F2" s="25" t="n">
        <v>45817</v>
      </c>
      <c r="G2" s="26" t="n">
        <v>120</v>
      </c>
      <c r="H2" s="71" t="n">
        <v>120</v>
      </c>
      <c r="I2" s="71" t="n">
        <v>0</v>
      </c>
      <c r="J2" s="35" t="s">
        <v>743</v>
      </c>
      <c r="K2" s="66" t="n">
        <v>200000</v>
      </c>
      <c r="L2" s="31" t="n">
        <v>528000</v>
      </c>
      <c r="M2" s="37" t="n">
        <v>22000</v>
      </c>
      <c r="N2" s="30" t="n">
        <v>88000</v>
      </c>
      <c r="O2" s="30" t="n">
        <v>528000</v>
      </c>
      <c r="P2" s="31" t="n">
        <v>0</v>
      </c>
      <c r="Q2" s="302" t="n">
        <v>38533</v>
      </c>
    </row>
    <row r="3" customFormat="false" ht="46.25" hidden="true" customHeight="false" outlineLevel="0" collapsed="false">
      <c r="A3" s="303" t="n">
        <v>2079</v>
      </c>
      <c r="B3" s="22" t="s">
        <v>744</v>
      </c>
      <c r="C3" s="22" t="s">
        <v>745</v>
      </c>
      <c r="D3" s="22"/>
      <c r="E3" s="25" t="n">
        <v>45048</v>
      </c>
      <c r="F3" s="24" t="n">
        <v>45148</v>
      </c>
      <c r="G3" s="26" t="n">
        <v>72</v>
      </c>
      <c r="H3" s="73" t="n">
        <v>75.5555555555556</v>
      </c>
      <c r="I3" s="73" t="n">
        <v>-3.55555555555556</v>
      </c>
      <c r="J3" s="34" t="s">
        <v>452</v>
      </c>
      <c r="K3" s="28" t="n">
        <v>30000</v>
      </c>
      <c r="L3" s="28" t="n">
        <v>67800</v>
      </c>
      <c r="M3" s="304" t="n">
        <v>4500</v>
      </c>
      <c r="N3" s="305" t="n">
        <v>1500</v>
      </c>
      <c r="O3" s="305" t="n">
        <v>68000</v>
      </c>
      <c r="P3" s="28" t="n">
        <v>-200</v>
      </c>
      <c r="Q3" s="302" t="n">
        <v>45201</v>
      </c>
    </row>
    <row r="4" customFormat="false" ht="46.25" hidden="true" customHeight="false" outlineLevel="0" collapsed="false">
      <c r="A4" s="303" t="n">
        <v>2056</v>
      </c>
      <c r="B4" s="22" t="s">
        <v>407</v>
      </c>
      <c r="C4" s="22" t="s">
        <v>397</v>
      </c>
      <c r="D4" s="22"/>
      <c r="E4" s="25" t="n">
        <v>45028</v>
      </c>
      <c r="F4" s="24" t="n">
        <v>45182</v>
      </c>
      <c r="G4" s="26" t="n">
        <v>110</v>
      </c>
      <c r="H4" s="73" t="n">
        <v>110</v>
      </c>
      <c r="I4" s="73" t="n">
        <v>0</v>
      </c>
      <c r="J4" s="68" t="s">
        <v>746</v>
      </c>
      <c r="K4" s="28" t="n">
        <v>100000</v>
      </c>
      <c r="L4" s="28" t="n">
        <v>275000</v>
      </c>
      <c r="M4" s="304" t="n">
        <v>12500</v>
      </c>
      <c r="N4" s="305" t="n">
        <v>25000</v>
      </c>
      <c r="O4" s="305" t="n">
        <v>275000</v>
      </c>
      <c r="P4" s="28" t="n">
        <v>0</v>
      </c>
      <c r="Q4" s="306" t="n">
        <v>45201</v>
      </c>
    </row>
    <row r="5" customFormat="false" ht="37.3" hidden="true" customHeight="false" outlineLevel="0" collapsed="false">
      <c r="A5" s="303" t="n">
        <v>2132</v>
      </c>
      <c r="B5" s="22" t="s">
        <v>747</v>
      </c>
      <c r="C5" s="22" t="s">
        <v>748</v>
      </c>
      <c r="D5" s="22"/>
      <c r="E5" s="25" t="n">
        <v>45094</v>
      </c>
      <c r="F5" s="24" t="n">
        <v>45195</v>
      </c>
      <c r="G5" s="26" t="n">
        <v>72</v>
      </c>
      <c r="H5" s="73" t="n">
        <v>72</v>
      </c>
      <c r="I5" s="73" t="n">
        <v>0</v>
      </c>
      <c r="J5" s="34" t="s">
        <v>749</v>
      </c>
      <c r="K5" s="28" t="n">
        <v>20000</v>
      </c>
      <c r="L5" s="28" t="n">
        <v>43200</v>
      </c>
      <c r="M5" s="304" t="n">
        <v>3000</v>
      </c>
      <c r="N5" s="305" t="n">
        <v>1200</v>
      </c>
      <c r="O5" s="305" t="n">
        <v>43200</v>
      </c>
      <c r="P5" s="28" t="n">
        <v>0</v>
      </c>
      <c r="Q5" s="302" t="n">
        <v>45201</v>
      </c>
    </row>
    <row r="6" customFormat="false" ht="37.3" hidden="true" customHeight="false" outlineLevel="0" collapsed="false">
      <c r="A6" s="303" t="n">
        <v>2271</v>
      </c>
      <c r="B6" s="22" t="s">
        <v>747</v>
      </c>
      <c r="C6" s="22" t="s">
        <v>750</v>
      </c>
      <c r="D6" s="22"/>
      <c r="E6" s="25" t="n">
        <v>45198</v>
      </c>
      <c r="F6" s="24" t="n">
        <v>45205</v>
      </c>
      <c r="G6" s="26" t="n">
        <v>5</v>
      </c>
      <c r="H6" s="73" t="e">
        <f aca="false">#VALUE!</f>
        <v>#VALUE!</v>
      </c>
      <c r="I6" s="73" t="e">
        <f aca="false">#VALUE!</f>
        <v>#VALUE!</v>
      </c>
      <c r="J6" s="52" t="s">
        <v>751</v>
      </c>
      <c r="K6" s="28" t="n">
        <v>10000</v>
      </c>
      <c r="L6" s="28" t="n">
        <v>12250</v>
      </c>
      <c r="M6" s="304" t="s">
        <v>214</v>
      </c>
      <c r="N6" s="305" t="n">
        <v>12500</v>
      </c>
      <c r="O6" s="305" t="n">
        <v>12500</v>
      </c>
      <c r="P6" s="28" t="n">
        <v>-250</v>
      </c>
      <c r="Q6" s="306" t="n">
        <v>45201</v>
      </c>
    </row>
    <row r="7" customFormat="false" ht="28.35" hidden="true" customHeight="false" outlineLevel="0" collapsed="false">
      <c r="A7" s="303" t="n">
        <v>2131</v>
      </c>
      <c r="B7" s="22" t="s">
        <v>752</v>
      </c>
      <c r="C7" s="22" t="s">
        <v>753</v>
      </c>
      <c r="D7" s="22"/>
      <c r="E7" s="25" t="n">
        <v>45086</v>
      </c>
      <c r="F7" s="24" t="n">
        <v>45188</v>
      </c>
      <c r="G7" s="26" t="n">
        <v>72</v>
      </c>
      <c r="H7" s="73" t="n">
        <v>72</v>
      </c>
      <c r="I7" s="73" t="n">
        <v>0</v>
      </c>
      <c r="J7" s="34" t="s">
        <v>749</v>
      </c>
      <c r="K7" s="28" t="n">
        <v>20000</v>
      </c>
      <c r="L7" s="28" t="n">
        <v>43200</v>
      </c>
      <c r="M7" s="304" t="n">
        <v>3000</v>
      </c>
      <c r="N7" s="305" t="n">
        <v>1200</v>
      </c>
      <c r="O7" s="305" t="n">
        <v>43200</v>
      </c>
      <c r="P7" s="28" t="n">
        <v>0</v>
      </c>
      <c r="Q7" s="302" t="n">
        <v>45201</v>
      </c>
    </row>
    <row r="8" customFormat="false" ht="37.3" hidden="true" customHeight="false" outlineLevel="0" collapsed="false">
      <c r="A8" s="303" t="n">
        <v>2240</v>
      </c>
      <c r="B8" s="22" t="s">
        <v>754</v>
      </c>
      <c r="C8" s="22" t="s">
        <v>755</v>
      </c>
      <c r="D8" s="22"/>
      <c r="E8" s="24" t="n">
        <v>45176</v>
      </c>
      <c r="F8" s="24" t="n">
        <v>45204</v>
      </c>
      <c r="G8" s="70" t="n">
        <v>20</v>
      </c>
      <c r="H8" s="73" t="e">
        <f aca="false">#DIV/0!</f>
        <v>#DIV/0!</v>
      </c>
      <c r="I8" s="73" t="e">
        <f aca="false">#DIV/0!</f>
        <v>#DIV/0!</v>
      </c>
      <c r="J8" s="52" t="s">
        <v>751</v>
      </c>
      <c r="K8" s="307" t="n">
        <v>35000</v>
      </c>
      <c r="L8" s="307" t="n">
        <v>56000</v>
      </c>
      <c r="M8" s="308"/>
      <c r="N8" s="305" t="n">
        <v>56000</v>
      </c>
      <c r="O8" s="305" t="n">
        <v>56000</v>
      </c>
      <c r="P8" s="28" t="n">
        <v>0</v>
      </c>
      <c r="Q8" s="306" t="n">
        <v>45201</v>
      </c>
    </row>
    <row r="9" customFormat="false" ht="28.35" hidden="true" customHeight="false" outlineLevel="0" collapsed="false">
      <c r="A9" s="303" t="n">
        <v>2252</v>
      </c>
      <c r="B9" s="22" t="s">
        <v>756</v>
      </c>
      <c r="C9" s="22" t="s">
        <v>241</v>
      </c>
      <c r="D9" s="22"/>
      <c r="E9" s="25" t="n">
        <v>45183</v>
      </c>
      <c r="F9" s="24" t="n">
        <v>45208</v>
      </c>
      <c r="G9" s="26" t="n">
        <v>17</v>
      </c>
      <c r="H9" s="73" t="e">
        <f aca="false">#DIV/0!</f>
        <v>#DIV/0!</v>
      </c>
      <c r="I9" s="73" t="e">
        <f aca="false">#DIV/0!</f>
        <v>#DIV/0!</v>
      </c>
      <c r="J9" s="52" t="s">
        <v>751</v>
      </c>
      <c r="K9" s="307" t="n">
        <v>10000</v>
      </c>
      <c r="L9" s="307" t="n">
        <v>16000</v>
      </c>
      <c r="M9" s="304"/>
      <c r="N9" s="305" t="n">
        <v>16000</v>
      </c>
      <c r="O9" s="305" t="n">
        <v>16000</v>
      </c>
      <c r="P9" s="28" t="n">
        <v>0</v>
      </c>
      <c r="Q9" s="302" t="n">
        <v>45201</v>
      </c>
    </row>
    <row r="10" customFormat="false" ht="28.35" hidden="true" customHeight="false" outlineLevel="0" collapsed="false">
      <c r="A10" s="303" t="n">
        <v>2025</v>
      </c>
      <c r="B10" s="22" t="s">
        <v>507</v>
      </c>
      <c r="C10" s="22" t="s">
        <v>241</v>
      </c>
      <c r="D10" s="22"/>
      <c r="E10" s="25" t="n">
        <v>45004</v>
      </c>
      <c r="F10" s="24" t="n">
        <v>45209</v>
      </c>
      <c r="G10" s="26" t="n">
        <v>147</v>
      </c>
      <c r="H10" s="73" t="n">
        <v>140</v>
      </c>
      <c r="I10" s="73" t="n">
        <v>7</v>
      </c>
      <c r="J10" s="52" t="s">
        <v>757</v>
      </c>
      <c r="K10" s="307" t="n">
        <v>70000</v>
      </c>
      <c r="L10" s="307" t="n">
        <v>184800</v>
      </c>
      <c r="M10" s="308" t="n">
        <v>6600</v>
      </c>
      <c r="N10" s="305" t="n">
        <v>26400</v>
      </c>
      <c r="O10" s="305" t="n">
        <v>184800</v>
      </c>
      <c r="P10" s="28" t="n">
        <v>0</v>
      </c>
      <c r="Q10" s="306" t="n">
        <v>45201</v>
      </c>
    </row>
    <row r="11" customFormat="false" ht="28.35" hidden="true" customHeight="false" outlineLevel="0" collapsed="false">
      <c r="A11" s="303" t="n">
        <v>2245</v>
      </c>
      <c r="B11" s="22" t="s">
        <v>758</v>
      </c>
      <c r="C11" s="22" t="s">
        <v>759</v>
      </c>
      <c r="D11" s="22"/>
      <c r="E11" s="24" t="n">
        <v>45180</v>
      </c>
      <c r="F11" s="24" t="n">
        <v>45208</v>
      </c>
      <c r="G11" s="70" t="n">
        <v>20</v>
      </c>
      <c r="H11" s="73" t="e">
        <f aca="false">#DIV/0!</f>
        <v>#DIV/0!</v>
      </c>
      <c r="I11" s="73" t="e">
        <f aca="false">#DIV/0!</f>
        <v>#DIV/0!</v>
      </c>
      <c r="J11" s="52" t="s">
        <v>751</v>
      </c>
      <c r="K11" s="28" t="n">
        <v>15000</v>
      </c>
      <c r="L11" s="28" t="n">
        <v>23000</v>
      </c>
      <c r="M11" s="304"/>
      <c r="N11" s="305" t="n">
        <v>23000</v>
      </c>
      <c r="O11" s="305" t="n">
        <v>23000</v>
      </c>
      <c r="P11" s="28" t="n">
        <v>0</v>
      </c>
      <c r="Q11" s="302" t="n">
        <v>45201</v>
      </c>
    </row>
    <row r="12" customFormat="false" ht="28.35" hidden="true" customHeight="false" outlineLevel="0" collapsed="false">
      <c r="A12" s="303" t="n">
        <v>2256</v>
      </c>
      <c r="B12" s="22" t="s">
        <v>760</v>
      </c>
      <c r="C12" s="22" t="s">
        <v>759</v>
      </c>
      <c r="D12" s="22"/>
      <c r="E12" s="25" t="n">
        <v>45187</v>
      </c>
      <c r="F12" s="24" t="n">
        <v>45208</v>
      </c>
      <c r="G12" s="26" t="n">
        <v>15</v>
      </c>
      <c r="H12" s="73" t="e">
        <f aca="false">#DIV/0!</f>
        <v>#DIV/0!</v>
      </c>
      <c r="I12" s="73" t="e">
        <f aca="false">#DIV/0!</f>
        <v>#DIV/0!</v>
      </c>
      <c r="J12" s="52" t="s">
        <v>751</v>
      </c>
      <c r="K12" s="28" t="n">
        <v>10000</v>
      </c>
      <c r="L12" s="28" t="n">
        <v>16000</v>
      </c>
      <c r="M12" s="304"/>
      <c r="N12" s="305" t="n">
        <v>16000</v>
      </c>
      <c r="O12" s="305" t="n">
        <v>16000</v>
      </c>
      <c r="P12" s="28" t="n">
        <v>0</v>
      </c>
      <c r="Q12" s="306" t="n">
        <v>45201</v>
      </c>
    </row>
    <row r="13" customFormat="false" ht="64.15" hidden="true" customHeight="false" outlineLevel="0" collapsed="false">
      <c r="A13" s="303" t="n">
        <v>1861</v>
      </c>
      <c r="B13" s="22" t="s">
        <v>761</v>
      </c>
      <c r="C13" s="22" t="s">
        <v>585</v>
      </c>
      <c r="D13" s="22"/>
      <c r="E13" s="25" t="n">
        <v>44877</v>
      </c>
      <c r="F13" s="24" t="n">
        <v>45177</v>
      </c>
      <c r="G13" s="26" t="n">
        <v>215</v>
      </c>
      <c r="H13" s="73" t="n">
        <v>215</v>
      </c>
      <c r="I13" s="73" t="n">
        <v>0</v>
      </c>
      <c r="J13" s="34" t="s">
        <v>762</v>
      </c>
      <c r="K13" s="307" t="n">
        <v>50000</v>
      </c>
      <c r="L13" s="307" t="n">
        <v>129000</v>
      </c>
      <c r="M13" s="308" t="n">
        <v>3000</v>
      </c>
      <c r="N13" s="305" t="n">
        <v>36050</v>
      </c>
      <c r="O13" s="305" t="n">
        <v>129000</v>
      </c>
      <c r="P13" s="307" t="n">
        <v>0</v>
      </c>
      <c r="Q13" s="302" t="n">
        <v>45201</v>
      </c>
    </row>
    <row r="14" customFormat="false" ht="64.15" hidden="true" customHeight="false" outlineLevel="0" collapsed="false">
      <c r="A14" s="303" t="n">
        <v>2144</v>
      </c>
      <c r="B14" s="309" t="s">
        <v>763</v>
      </c>
      <c r="C14" s="22" t="s">
        <v>764</v>
      </c>
      <c r="D14" s="22"/>
      <c r="E14" s="25" t="n">
        <v>45179</v>
      </c>
      <c r="F14" s="24" t="n">
        <v>45205</v>
      </c>
      <c r="G14" s="26" t="n">
        <v>20</v>
      </c>
      <c r="H14" s="73" t="e">
        <f aca="false">#DIV/0!</f>
        <v>#DIV/0!</v>
      </c>
      <c r="I14" s="73" t="e">
        <f aca="false">#DIV/0!</f>
        <v>#DIV/0!</v>
      </c>
      <c r="J14" s="52" t="s">
        <v>751</v>
      </c>
      <c r="K14" s="307" t="n">
        <v>50000</v>
      </c>
      <c r="L14" s="307" t="n">
        <v>67000</v>
      </c>
      <c r="M14" s="308"/>
      <c r="N14" s="305" t="n">
        <v>67000</v>
      </c>
      <c r="O14" s="305" t="n">
        <v>67000</v>
      </c>
      <c r="P14" s="307" t="n">
        <v>0</v>
      </c>
      <c r="Q14" s="302" t="n">
        <v>45208</v>
      </c>
    </row>
    <row r="15" customFormat="false" ht="28.35" hidden="true" customHeight="false" outlineLevel="0" collapsed="false">
      <c r="A15" s="303" t="n">
        <v>2055</v>
      </c>
      <c r="B15" s="22" t="s">
        <v>765</v>
      </c>
      <c r="C15" s="22" t="s">
        <v>252</v>
      </c>
      <c r="D15" s="22" t="s">
        <v>253</v>
      </c>
      <c r="E15" s="25" t="n">
        <v>45028</v>
      </c>
      <c r="F15" s="24" t="n">
        <v>45210</v>
      </c>
      <c r="G15" s="70" t="n">
        <v>130</v>
      </c>
      <c r="H15" s="73" t="n">
        <v>120</v>
      </c>
      <c r="I15" s="73" t="n">
        <v>10</v>
      </c>
      <c r="J15" s="52" t="s">
        <v>766</v>
      </c>
      <c r="K15" s="307" t="n">
        <v>30000</v>
      </c>
      <c r="L15" s="307" t="n">
        <v>79200</v>
      </c>
      <c r="M15" s="308" t="n">
        <v>3300</v>
      </c>
      <c r="N15" s="305" t="n">
        <v>13200</v>
      </c>
      <c r="O15" s="305" t="n">
        <v>79200</v>
      </c>
      <c r="P15" s="307" t="n">
        <v>0</v>
      </c>
      <c r="Q15" s="302" t="n">
        <v>45208</v>
      </c>
    </row>
    <row r="16" customFormat="false" ht="37.3" hidden="true" customHeight="false" outlineLevel="0" collapsed="false">
      <c r="A16" s="303" t="n">
        <v>2118</v>
      </c>
      <c r="B16" s="22" t="s">
        <v>767</v>
      </c>
      <c r="C16" s="22" t="s">
        <v>768</v>
      </c>
      <c r="D16" s="22"/>
      <c r="E16" s="25" t="n">
        <v>45087</v>
      </c>
      <c r="F16" s="24" t="n">
        <v>45188</v>
      </c>
      <c r="G16" s="26" t="n">
        <v>72</v>
      </c>
      <c r="H16" s="73" t="n">
        <v>72</v>
      </c>
      <c r="I16" s="73" t="n">
        <v>0</v>
      </c>
      <c r="J16" s="34" t="s">
        <v>769</v>
      </c>
      <c r="K16" s="28" t="n">
        <v>10000</v>
      </c>
      <c r="L16" s="28" t="n">
        <v>21600</v>
      </c>
      <c r="M16" s="304" t="n">
        <v>1500</v>
      </c>
      <c r="N16" s="305" t="n">
        <v>3600</v>
      </c>
      <c r="O16" s="305" t="n">
        <v>21600</v>
      </c>
      <c r="P16" s="28" t="n">
        <v>0</v>
      </c>
      <c r="Q16" s="302" t="n">
        <v>45208</v>
      </c>
    </row>
    <row r="17" customFormat="false" ht="28.35" hidden="true" customHeight="false" outlineLevel="0" collapsed="false">
      <c r="A17" s="303" t="n">
        <v>2057</v>
      </c>
      <c r="B17" s="22" t="s">
        <v>326</v>
      </c>
      <c r="C17" s="22" t="s">
        <v>770</v>
      </c>
      <c r="D17" s="22"/>
      <c r="E17" s="25" t="n">
        <v>45029</v>
      </c>
      <c r="F17" s="24" t="n">
        <v>45197</v>
      </c>
      <c r="G17" s="26" t="n">
        <v>120</v>
      </c>
      <c r="H17" s="73" t="n">
        <v>120</v>
      </c>
      <c r="I17" s="73" t="n">
        <v>0</v>
      </c>
      <c r="J17" s="52" t="s">
        <v>771</v>
      </c>
      <c r="K17" s="307" t="n">
        <v>20000</v>
      </c>
      <c r="L17" s="307" t="n">
        <v>52800</v>
      </c>
      <c r="M17" s="304" t="n">
        <v>2200</v>
      </c>
      <c r="N17" s="305" t="n">
        <v>8800</v>
      </c>
      <c r="O17" s="305" t="n">
        <v>52800</v>
      </c>
      <c r="P17" s="28" t="n">
        <v>0</v>
      </c>
      <c r="Q17" s="302" t="n">
        <v>45208</v>
      </c>
    </row>
    <row r="18" customFormat="false" ht="19.4" hidden="true" customHeight="false" outlineLevel="0" collapsed="false">
      <c r="A18" s="303" t="n">
        <v>2140</v>
      </c>
      <c r="B18" s="22" t="s">
        <v>772</v>
      </c>
      <c r="C18" s="22" t="s">
        <v>773</v>
      </c>
      <c r="D18" s="22"/>
      <c r="E18" s="25" t="n">
        <v>45108</v>
      </c>
      <c r="F18" s="24" t="n">
        <v>45209</v>
      </c>
      <c r="G18" s="26" t="n">
        <v>72</v>
      </c>
      <c r="H18" s="73" t="n">
        <v>72</v>
      </c>
      <c r="I18" s="73" t="n">
        <v>0</v>
      </c>
      <c r="J18" s="34" t="s">
        <v>774</v>
      </c>
      <c r="K18" s="28" t="n">
        <v>25000</v>
      </c>
      <c r="L18" s="28" t="n">
        <v>54000</v>
      </c>
      <c r="M18" s="304" t="n">
        <v>3750</v>
      </c>
      <c r="N18" s="305" t="n">
        <v>16000</v>
      </c>
      <c r="O18" s="305" t="n">
        <v>54000</v>
      </c>
      <c r="P18" s="28" t="n">
        <v>0</v>
      </c>
      <c r="Q18" s="302" t="n">
        <v>45208</v>
      </c>
    </row>
    <row r="19" customFormat="false" ht="28.35" hidden="true" customHeight="false" outlineLevel="0" collapsed="false">
      <c r="A19" s="303" t="n">
        <v>2130</v>
      </c>
      <c r="B19" s="22" t="s">
        <v>425</v>
      </c>
      <c r="C19" s="22" t="s">
        <v>426</v>
      </c>
      <c r="D19" s="22"/>
      <c r="E19" s="25" t="n">
        <v>45093</v>
      </c>
      <c r="F19" s="24" t="n">
        <v>45209</v>
      </c>
      <c r="G19" s="26" t="n">
        <v>82</v>
      </c>
      <c r="H19" s="73" t="n">
        <v>80</v>
      </c>
      <c r="I19" s="73" t="n">
        <v>2</v>
      </c>
      <c r="J19" s="52" t="s">
        <v>775</v>
      </c>
      <c r="K19" s="307" t="n">
        <v>20000</v>
      </c>
      <c r="L19" s="307" t="n">
        <v>43200</v>
      </c>
      <c r="M19" s="308" t="n">
        <v>2700</v>
      </c>
      <c r="N19" s="305" t="n">
        <v>10800</v>
      </c>
      <c r="O19" s="305" t="n">
        <v>43200</v>
      </c>
      <c r="P19" s="28" t="n">
        <v>0</v>
      </c>
      <c r="Q19" s="302" t="n">
        <v>45208</v>
      </c>
    </row>
    <row r="20" customFormat="false" ht="46.25" hidden="true" customHeight="false" outlineLevel="0" collapsed="false">
      <c r="A20" s="303" t="n">
        <v>2135</v>
      </c>
      <c r="B20" s="22" t="s">
        <v>776</v>
      </c>
      <c r="C20" s="22" t="s">
        <v>445</v>
      </c>
      <c r="D20" s="22"/>
      <c r="E20" s="25" t="n">
        <v>45100</v>
      </c>
      <c r="F20" s="24" t="n">
        <v>45202</v>
      </c>
      <c r="G20" s="70" t="n">
        <v>72</v>
      </c>
      <c r="H20" s="73" t="n">
        <v>72</v>
      </c>
      <c r="I20" s="73" t="n">
        <v>0</v>
      </c>
      <c r="J20" s="34" t="s">
        <v>452</v>
      </c>
      <c r="K20" s="28" t="n">
        <v>30000</v>
      </c>
      <c r="L20" s="28" t="n">
        <v>64800</v>
      </c>
      <c r="M20" s="304" t="n">
        <v>4500</v>
      </c>
      <c r="N20" s="305" t="n">
        <v>1800</v>
      </c>
      <c r="O20" s="305" t="n">
        <v>64800</v>
      </c>
      <c r="P20" s="28" t="n">
        <v>0</v>
      </c>
      <c r="Q20" s="302" t="n">
        <v>45208</v>
      </c>
    </row>
    <row r="21" customFormat="false" ht="37.3" hidden="true" customHeight="false" outlineLevel="0" collapsed="false">
      <c r="A21" s="303" t="n">
        <v>2147</v>
      </c>
      <c r="B21" s="22" t="s">
        <v>777</v>
      </c>
      <c r="C21" s="22" t="s">
        <v>484</v>
      </c>
      <c r="D21" s="22"/>
      <c r="E21" s="25" t="n">
        <v>45112</v>
      </c>
      <c r="F21" s="24" t="n">
        <v>45210</v>
      </c>
      <c r="G21" s="26" t="n">
        <v>70</v>
      </c>
      <c r="H21" s="73" t="n">
        <v>70</v>
      </c>
      <c r="I21" s="73" t="n">
        <v>0</v>
      </c>
      <c r="J21" s="52" t="s">
        <v>778</v>
      </c>
      <c r="K21" s="28" t="n">
        <v>20000</v>
      </c>
      <c r="L21" s="28" t="n">
        <v>43400</v>
      </c>
      <c r="M21" s="304" t="n">
        <v>3100</v>
      </c>
      <c r="N21" s="305" t="n">
        <v>6200</v>
      </c>
      <c r="O21" s="305" t="n">
        <v>43400</v>
      </c>
      <c r="P21" s="28" t="n">
        <v>0</v>
      </c>
      <c r="Q21" s="302" t="n">
        <v>45208</v>
      </c>
    </row>
    <row r="22" customFormat="false" ht="37.3" hidden="true" customHeight="false" outlineLevel="0" collapsed="false">
      <c r="A22" s="303" t="n">
        <v>2061</v>
      </c>
      <c r="B22" s="22" t="s">
        <v>779</v>
      </c>
      <c r="C22" s="22"/>
      <c r="D22" s="22"/>
      <c r="E22" s="25" t="n">
        <v>45030</v>
      </c>
      <c r="F22" s="24" t="n">
        <v>45208</v>
      </c>
      <c r="G22" s="26" t="n">
        <v>126</v>
      </c>
      <c r="H22" s="73" t="n">
        <v>120</v>
      </c>
      <c r="I22" s="73" t="n">
        <v>6</v>
      </c>
      <c r="J22" s="52" t="s">
        <v>780</v>
      </c>
      <c r="K22" s="307" t="n">
        <v>30000</v>
      </c>
      <c r="L22" s="307" t="n">
        <v>60000</v>
      </c>
      <c r="M22" s="308" t="n">
        <v>2500</v>
      </c>
      <c r="N22" s="305" t="n">
        <v>10000</v>
      </c>
      <c r="O22" s="305" t="n">
        <v>60000</v>
      </c>
      <c r="P22" s="28" t="n">
        <v>0</v>
      </c>
      <c r="Q22" s="302" t="n">
        <v>45208</v>
      </c>
    </row>
    <row r="23" customFormat="false" ht="19.4" hidden="true" customHeight="false" outlineLevel="0" collapsed="false">
      <c r="A23" s="303" t="n">
        <v>2075</v>
      </c>
      <c r="B23" s="22" t="s">
        <v>510</v>
      </c>
      <c r="C23" s="22"/>
      <c r="D23" s="22"/>
      <c r="E23" s="25" t="n">
        <v>45043</v>
      </c>
      <c r="F23" s="24" t="n">
        <v>45211</v>
      </c>
      <c r="G23" s="26" t="n">
        <v>120</v>
      </c>
      <c r="H23" s="73" t="n">
        <v>120</v>
      </c>
      <c r="I23" s="73" t="n">
        <v>0</v>
      </c>
      <c r="J23" s="52" t="s">
        <v>780</v>
      </c>
      <c r="K23" s="28" t="n">
        <v>30000</v>
      </c>
      <c r="L23" s="28" t="n">
        <v>60000</v>
      </c>
      <c r="M23" s="304" t="n">
        <v>2500</v>
      </c>
      <c r="N23" s="305" t="n">
        <v>10000</v>
      </c>
      <c r="O23" s="305" t="n">
        <v>60000</v>
      </c>
      <c r="P23" s="28" t="n">
        <v>0</v>
      </c>
      <c r="Q23" s="302" t="n">
        <v>45208</v>
      </c>
    </row>
    <row r="24" customFormat="false" ht="37.3" hidden="true" customHeight="false" outlineLevel="0" collapsed="false">
      <c r="A24" s="303" t="n">
        <v>2066</v>
      </c>
      <c r="B24" s="22" t="s">
        <v>531</v>
      </c>
      <c r="C24" s="22" t="s">
        <v>532</v>
      </c>
      <c r="D24" s="22"/>
      <c r="E24" s="25" t="n">
        <v>45036</v>
      </c>
      <c r="F24" s="24" t="n">
        <v>45138</v>
      </c>
      <c r="G24" s="26" t="n">
        <v>72</v>
      </c>
      <c r="H24" s="73" t="n">
        <v>72</v>
      </c>
      <c r="I24" s="73" t="n">
        <v>0</v>
      </c>
      <c r="J24" s="34" t="s">
        <v>769</v>
      </c>
      <c r="K24" s="307" t="n">
        <v>10000</v>
      </c>
      <c r="L24" s="307" t="n">
        <v>21600</v>
      </c>
      <c r="M24" s="304" t="n">
        <v>1500</v>
      </c>
      <c r="N24" s="305" t="n">
        <v>5100</v>
      </c>
      <c r="O24" s="305" t="n">
        <v>21600</v>
      </c>
      <c r="P24" s="28" t="n">
        <v>0</v>
      </c>
      <c r="Q24" s="302" t="n">
        <v>45208</v>
      </c>
    </row>
    <row r="25" customFormat="false" ht="28.35" hidden="true" customHeight="false" outlineLevel="0" collapsed="false">
      <c r="A25" s="303" t="n">
        <v>1968</v>
      </c>
      <c r="B25" s="22" t="s">
        <v>781</v>
      </c>
      <c r="C25" s="22" t="s">
        <v>782</v>
      </c>
      <c r="D25" s="22"/>
      <c r="E25" s="25" t="n">
        <v>44952</v>
      </c>
      <c r="F25" s="24" t="n">
        <v>45117</v>
      </c>
      <c r="G25" s="26" t="n">
        <v>117</v>
      </c>
      <c r="H25" s="73" t="n">
        <v>121.363636363636</v>
      </c>
      <c r="I25" s="73" t="n">
        <v>-4.36363636363636</v>
      </c>
      <c r="J25" s="52" t="s">
        <v>783</v>
      </c>
      <c r="K25" s="307" t="n">
        <v>20000</v>
      </c>
      <c r="L25" s="307" t="n">
        <v>52800</v>
      </c>
      <c r="M25" s="304" t="n">
        <v>2200</v>
      </c>
      <c r="N25" s="305" t="n">
        <v>8800</v>
      </c>
      <c r="O25" s="305" t="n">
        <v>53400</v>
      </c>
      <c r="P25" s="28" t="n">
        <v>-600</v>
      </c>
      <c r="Q25" s="302" t="n">
        <v>45208</v>
      </c>
    </row>
    <row r="26" customFormat="false" ht="37.3" hidden="true" customHeight="false" outlineLevel="0" collapsed="false">
      <c r="A26" s="303" t="n">
        <v>2141</v>
      </c>
      <c r="B26" s="22" t="s">
        <v>607</v>
      </c>
      <c r="C26" s="22" t="s">
        <v>608</v>
      </c>
      <c r="D26" s="22"/>
      <c r="E26" s="25" t="n">
        <v>45108</v>
      </c>
      <c r="F26" s="24" t="n">
        <v>45209</v>
      </c>
      <c r="G26" s="26" t="n">
        <v>72</v>
      </c>
      <c r="H26" s="73" t="n">
        <v>72</v>
      </c>
      <c r="I26" s="73" t="n">
        <v>0</v>
      </c>
      <c r="J26" s="34" t="s">
        <v>749</v>
      </c>
      <c r="K26" s="28" t="n">
        <v>20000</v>
      </c>
      <c r="L26" s="28" t="n">
        <v>43200</v>
      </c>
      <c r="M26" s="304" t="n">
        <v>3000</v>
      </c>
      <c r="N26" s="305" t="n">
        <v>7200</v>
      </c>
      <c r="O26" s="305" t="n">
        <v>43200</v>
      </c>
      <c r="P26" s="28" t="n">
        <v>0</v>
      </c>
      <c r="Q26" s="302" t="n">
        <v>45208</v>
      </c>
    </row>
    <row r="27" customFormat="false" ht="34.3" hidden="true" customHeight="false" outlineLevel="0" collapsed="false">
      <c r="A27" s="310" t="n">
        <v>2154</v>
      </c>
      <c r="B27" s="34" t="s">
        <v>767</v>
      </c>
      <c r="C27" s="34" t="s">
        <v>768</v>
      </c>
      <c r="D27" s="34"/>
      <c r="E27" s="25" t="n">
        <v>45118</v>
      </c>
      <c r="F27" s="25" t="n">
        <v>45218</v>
      </c>
      <c r="G27" s="26" t="n">
        <v>72</v>
      </c>
      <c r="H27" s="73" t="n">
        <v>72</v>
      </c>
      <c r="I27" s="73" t="n">
        <v>0</v>
      </c>
      <c r="J27" s="34" t="s">
        <v>784</v>
      </c>
      <c r="K27" s="36" t="n">
        <v>5000</v>
      </c>
      <c r="L27" s="36" t="n">
        <v>10800</v>
      </c>
      <c r="M27" s="29" t="n">
        <v>750</v>
      </c>
      <c r="N27" s="30" t="n">
        <v>400</v>
      </c>
      <c r="O27" s="30" t="n">
        <v>10800</v>
      </c>
      <c r="P27" s="36" t="n">
        <v>0</v>
      </c>
      <c r="Q27" s="302" t="n">
        <v>45215</v>
      </c>
    </row>
    <row r="28" customFormat="false" ht="50.7" hidden="true" customHeight="false" outlineLevel="0" collapsed="false">
      <c r="A28" s="20" t="n">
        <v>2189</v>
      </c>
      <c r="B28" s="34" t="s">
        <v>310</v>
      </c>
      <c r="C28" s="34" t="s">
        <v>311</v>
      </c>
      <c r="D28" s="34"/>
      <c r="E28" s="25" t="n">
        <v>45141</v>
      </c>
      <c r="F28" s="25" t="n">
        <v>45243</v>
      </c>
      <c r="G28" s="26" t="n">
        <v>72</v>
      </c>
      <c r="H28" s="73" t="n">
        <v>72</v>
      </c>
      <c r="I28" s="73" t="n">
        <v>0</v>
      </c>
      <c r="J28" s="34" t="s">
        <v>452</v>
      </c>
      <c r="K28" s="31" t="n">
        <v>30000</v>
      </c>
      <c r="L28" s="31" t="n">
        <v>64800</v>
      </c>
      <c r="M28" s="37" t="n">
        <v>4500</v>
      </c>
      <c r="N28" s="74" t="n">
        <v>19800</v>
      </c>
      <c r="O28" s="30" t="n">
        <v>64800</v>
      </c>
      <c r="P28" s="36" t="n">
        <v>0</v>
      </c>
      <c r="Q28" s="302" t="n">
        <v>45215</v>
      </c>
    </row>
    <row r="29" customFormat="false" ht="42.5" hidden="true" customHeight="false" outlineLevel="0" collapsed="false">
      <c r="A29" s="20" t="n">
        <v>2110</v>
      </c>
      <c r="B29" s="34" t="s">
        <v>785</v>
      </c>
      <c r="C29" s="34" t="s">
        <v>786</v>
      </c>
      <c r="D29" s="34" t="s">
        <v>787</v>
      </c>
      <c r="E29" s="25" t="n">
        <v>45080</v>
      </c>
      <c r="F29" s="25" t="n">
        <v>45181</v>
      </c>
      <c r="G29" s="26" t="n">
        <v>72</v>
      </c>
      <c r="H29" s="73" t="n">
        <v>72</v>
      </c>
      <c r="I29" s="73" t="n">
        <v>0</v>
      </c>
      <c r="J29" s="34" t="s">
        <v>452</v>
      </c>
      <c r="K29" s="31" t="n">
        <v>30000</v>
      </c>
      <c r="L29" s="31" t="n">
        <v>64800</v>
      </c>
      <c r="M29" s="37" t="n">
        <v>4500</v>
      </c>
      <c r="N29" s="311" t="n">
        <v>10000</v>
      </c>
      <c r="O29" s="311" t="n">
        <v>64800</v>
      </c>
      <c r="P29" s="31" t="n">
        <v>0</v>
      </c>
      <c r="Q29" s="302" t="n">
        <v>45215</v>
      </c>
    </row>
    <row r="30" customFormat="false" ht="42.5" hidden="true" customHeight="false" outlineLevel="0" collapsed="false">
      <c r="A30" s="20" t="n">
        <v>2181</v>
      </c>
      <c r="B30" s="34" t="s">
        <v>480</v>
      </c>
      <c r="C30" s="34" t="s">
        <v>481</v>
      </c>
      <c r="D30" s="34" t="n">
        <v>29201110</v>
      </c>
      <c r="E30" s="25" t="n">
        <v>45135</v>
      </c>
      <c r="F30" s="25" t="n">
        <v>45237</v>
      </c>
      <c r="G30" s="26" t="n">
        <v>72</v>
      </c>
      <c r="H30" s="73" t="n">
        <v>72</v>
      </c>
      <c r="I30" s="73" t="n">
        <v>0</v>
      </c>
      <c r="J30" s="34" t="s">
        <v>788</v>
      </c>
      <c r="K30" s="31" t="n">
        <v>15000</v>
      </c>
      <c r="L30" s="31" t="n">
        <v>32400</v>
      </c>
      <c r="M30" s="37" t="n">
        <v>2250</v>
      </c>
      <c r="N30" s="30" t="n">
        <v>9900</v>
      </c>
      <c r="O30" s="30" t="n">
        <v>32400</v>
      </c>
      <c r="P30" s="36" t="n">
        <v>0</v>
      </c>
      <c r="Q30" s="302" t="n">
        <v>45215</v>
      </c>
    </row>
    <row r="31" customFormat="false" ht="34.3" hidden="true" customHeight="false" outlineLevel="0" collapsed="false">
      <c r="A31" s="123" t="n">
        <v>2162</v>
      </c>
      <c r="B31" s="34" t="s">
        <v>789</v>
      </c>
      <c r="C31" s="34" t="s">
        <v>495</v>
      </c>
      <c r="D31" s="34"/>
      <c r="E31" s="25" t="n">
        <v>45122</v>
      </c>
      <c r="F31" s="25" t="n">
        <v>45223</v>
      </c>
      <c r="G31" s="26" t="n">
        <v>72</v>
      </c>
      <c r="H31" s="73" t="n">
        <v>72</v>
      </c>
      <c r="I31" s="73" t="n">
        <v>0</v>
      </c>
      <c r="J31" s="34" t="s">
        <v>452</v>
      </c>
      <c r="K31" s="31" t="n">
        <v>30000</v>
      </c>
      <c r="L31" s="31" t="n">
        <v>64800</v>
      </c>
      <c r="M31" s="37" t="n">
        <v>4500</v>
      </c>
      <c r="N31" s="312" t="n">
        <v>10800</v>
      </c>
      <c r="O31" s="312" t="n">
        <v>64800</v>
      </c>
      <c r="P31" s="313" t="n">
        <v>0</v>
      </c>
      <c r="Q31" s="302" t="n">
        <v>45215</v>
      </c>
    </row>
    <row r="32" customFormat="false" ht="34.3" hidden="true" customHeight="false" outlineLevel="0" collapsed="false">
      <c r="A32" s="314"/>
      <c r="B32" s="34" t="s">
        <v>590</v>
      </c>
      <c r="C32" s="34" t="s">
        <v>591</v>
      </c>
      <c r="D32" s="34" t="s">
        <v>592</v>
      </c>
      <c r="E32" s="25" t="n">
        <v>45204</v>
      </c>
      <c r="F32" s="25" t="n">
        <f aca="false">WORKDAY(E32,G32)</f>
        <v>45306</v>
      </c>
      <c r="G32" s="26" t="n">
        <v>72</v>
      </c>
      <c r="H32" s="73" t="n">
        <f aca="false">(BS32* 5)/M32</f>
        <v>0</v>
      </c>
      <c r="I32" s="73" t="n">
        <f aca="false">G32-H32</f>
        <v>72</v>
      </c>
      <c r="J32" s="34" t="s">
        <v>381</v>
      </c>
      <c r="K32" s="31" t="n">
        <v>50000</v>
      </c>
      <c r="L32" s="31" t="n">
        <v>108000</v>
      </c>
      <c r="M32" s="37" t="n">
        <v>7500</v>
      </c>
      <c r="N32" s="315" t="n">
        <v>60000</v>
      </c>
      <c r="O32" s="315" t="n">
        <v>108000</v>
      </c>
      <c r="P32" s="36" t="n">
        <v>0</v>
      </c>
      <c r="Q32" s="302" t="n">
        <v>45215</v>
      </c>
    </row>
    <row r="33" customFormat="false" ht="42" hidden="true" customHeight="false" outlineLevel="0" collapsed="false">
      <c r="A33" s="20" t="n">
        <v>2293</v>
      </c>
      <c r="B33" s="34" t="s">
        <v>790</v>
      </c>
      <c r="C33" s="34" t="s">
        <v>750</v>
      </c>
      <c r="D33" s="34"/>
      <c r="E33" s="25" t="n">
        <v>45211</v>
      </c>
      <c r="F33" s="25" t="n">
        <v>45218</v>
      </c>
      <c r="G33" s="26" t="n">
        <v>5</v>
      </c>
      <c r="H33" s="73" t="e">
        <f aca="false">#VALUE!</f>
        <v>#VALUE!</v>
      </c>
      <c r="I33" s="73" t="e">
        <f aca="false">#VALUE!</f>
        <v>#VALUE!</v>
      </c>
      <c r="J33" s="52" t="s">
        <v>751</v>
      </c>
      <c r="K33" s="36" t="n">
        <v>10000</v>
      </c>
      <c r="L33" s="36" t="n">
        <v>12500</v>
      </c>
      <c r="M33" s="29" t="s">
        <v>214</v>
      </c>
      <c r="N33" s="30" t="n">
        <v>12500</v>
      </c>
      <c r="O33" s="30" t="n">
        <v>12500</v>
      </c>
      <c r="P33" s="36" t="n">
        <v>0</v>
      </c>
      <c r="Q33" s="302" t="n">
        <v>45222</v>
      </c>
    </row>
    <row r="34" customFormat="false" ht="34.3" hidden="true" customHeight="false" outlineLevel="0" collapsed="false">
      <c r="A34" s="20" t="n">
        <v>2126</v>
      </c>
      <c r="B34" s="34" t="s">
        <v>450</v>
      </c>
      <c r="C34" s="34" t="s">
        <v>451</v>
      </c>
      <c r="D34" s="34"/>
      <c r="E34" s="25" t="n">
        <v>45092</v>
      </c>
      <c r="F34" s="25" t="n">
        <v>45194</v>
      </c>
      <c r="G34" s="26" t="n">
        <v>72</v>
      </c>
      <c r="H34" s="73" t="n">
        <v>72</v>
      </c>
      <c r="I34" s="73" t="n">
        <v>0</v>
      </c>
      <c r="J34" s="34" t="s">
        <v>769</v>
      </c>
      <c r="K34" s="36" t="n">
        <v>10000</v>
      </c>
      <c r="L34" s="36" t="n">
        <v>21600</v>
      </c>
      <c r="M34" s="29" t="n">
        <v>1500</v>
      </c>
      <c r="N34" s="30" t="n">
        <v>600</v>
      </c>
      <c r="O34" s="30" t="n">
        <v>21600</v>
      </c>
      <c r="P34" s="36" t="n">
        <v>0</v>
      </c>
      <c r="Q34" s="302" t="n">
        <v>45222</v>
      </c>
    </row>
    <row r="35" customFormat="false" ht="17.9" hidden="true" customHeight="false" outlineLevel="0" collapsed="false">
      <c r="A35" s="20" t="n">
        <v>2076</v>
      </c>
      <c r="B35" s="34" t="s">
        <v>791</v>
      </c>
      <c r="C35" s="34"/>
      <c r="D35" s="34"/>
      <c r="E35" s="25" t="n">
        <v>45044</v>
      </c>
      <c r="F35" s="25" t="n">
        <v>45146</v>
      </c>
      <c r="G35" s="26" t="n">
        <v>72</v>
      </c>
      <c r="H35" s="73" t="n">
        <v>72</v>
      </c>
      <c r="I35" s="73" t="n">
        <v>0</v>
      </c>
      <c r="J35" s="34" t="s">
        <v>792</v>
      </c>
      <c r="K35" s="31" t="n">
        <v>60000</v>
      </c>
      <c r="L35" s="31" t="n">
        <v>129600</v>
      </c>
      <c r="M35" s="37" t="n">
        <v>9000</v>
      </c>
      <c r="N35" s="30" t="n">
        <v>4900</v>
      </c>
      <c r="O35" s="30" t="n">
        <v>129600</v>
      </c>
      <c r="P35" s="36" t="n">
        <v>0</v>
      </c>
      <c r="Q35" s="302" t="n">
        <v>45222</v>
      </c>
    </row>
    <row r="36" customFormat="false" ht="58.95" hidden="true" customHeight="false" outlineLevel="0" collapsed="false">
      <c r="A36" s="20" t="n">
        <v>2100</v>
      </c>
      <c r="B36" s="34" t="s">
        <v>563</v>
      </c>
      <c r="C36" s="34" t="s">
        <v>564</v>
      </c>
      <c r="D36" s="34"/>
      <c r="E36" s="25" t="n">
        <v>45069</v>
      </c>
      <c r="F36" s="25" t="n">
        <v>45169</v>
      </c>
      <c r="G36" s="26" t="n">
        <v>72</v>
      </c>
      <c r="H36" s="73" t="n">
        <v>72</v>
      </c>
      <c r="I36" s="73" t="n">
        <v>0</v>
      </c>
      <c r="J36" s="34" t="s">
        <v>381</v>
      </c>
      <c r="K36" s="36" t="n">
        <v>50000</v>
      </c>
      <c r="L36" s="36" t="n">
        <v>108000</v>
      </c>
      <c r="M36" s="29" t="n">
        <v>7500</v>
      </c>
      <c r="N36" s="30" t="n">
        <v>4850</v>
      </c>
      <c r="O36" s="30" t="n">
        <v>108000</v>
      </c>
      <c r="P36" s="36" t="n">
        <v>0</v>
      </c>
      <c r="Q36" s="302" t="n">
        <v>45222</v>
      </c>
    </row>
    <row r="37" customFormat="false" ht="34.3" hidden="true" customHeight="false" outlineLevel="0" collapsed="false">
      <c r="A37" s="20" t="n">
        <v>2279</v>
      </c>
      <c r="B37" s="34" t="s">
        <v>590</v>
      </c>
      <c r="C37" s="34" t="s">
        <v>591</v>
      </c>
      <c r="D37" s="34" t="s">
        <v>592</v>
      </c>
      <c r="E37" s="25" t="n">
        <v>45204</v>
      </c>
      <c r="F37" s="25" t="n">
        <v>45306</v>
      </c>
      <c r="G37" s="26" t="n">
        <v>72</v>
      </c>
      <c r="H37" s="73" t="n">
        <v>72</v>
      </c>
      <c r="I37" s="73" t="n">
        <v>0</v>
      </c>
      <c r="J37" s="34" t="s">
        <v>381</v>
      </c>
      <c r="K37" s="31" t="n">
        <v>50000</v>
      </c>
      <c r="L37" s="31" t="n">
        <v>108000</v>
      </c>
      <c r="M37" s="37" t="n">
        <v>7500</v>
      </c>
      <c r="N37" s="30"/>
      <c r="O37" s="30" t="n">
        <v>108000</v>
      </c>
      <c r="P37" s="36" t="n">
        <v>0</v>
      </c>
      <c r="Q37" s="302" t="n">
        <v>45222</v>
      </c>
    </row>
    <row r="38" customFormat="false" ht="42.5" hidden="true" customHeight="false" outlineLevel="0" collapsed="false">
      <c r="A38" s="20" t="n">
        <v>2173</v>
      </c>
      <c r="B38" s="34" t="s">
        <v>793</v>
      </c>
      <c r="C38" s="34" t="s">
        <v>623</v>
      </c>
      <c r="D38" s="34"/>
      <c r="E38" s="25" t="n">
        <v>45129</v>
      </c>
      <c r="F38" s="25" t="n">
        <v>45230</v>
      </c>
      <c r="G38" s="26" t="n">
        <v>72</v>
      </c>
      <c r="H38" s="73" t="n">
        <v>72</v>
      </c>
      <c r="I38" s="73" t="n">
        <v>0</v>
      </c>
      <c r="J38" s="34" t="s">
        <v>769</v>
      </c>
      <c r="K38" s="31" t="n">
        <v>10000</v>
      </c>
      <c r="L38" s="31" t="n">
        <v>21600</v>
      </c>
      <c r="M38" s="37" t="n">
        <v>1500</v>
      </c>
      <c r="N38" s="30" t="n">
        <v>3600</v>
      </c>
      <c r="O38" s="30" t="n">
        <v>21600</v>
      </c>
      <c r="P38" s="31" t="n">
        <v>0</v>
      </c>
      <c r="Q38" s="302" t="n">
        <v>45222</v>
      </c>
    </row>
    <row r="39" customFormat="false" ht="26.1" hidden="true" customHeight="false" outlineLevel="0" collapsed="false">
      <c r="A39" s="20" t="n">
        <v>2174</v>
      </c>
      <c r="B39" s="34" t="s">
        <v>794</v>
      </c>
      <c r="C39" s="34" t="s">
        <v>795</v>
      </c>
      <c r="D39" s="34"/>
      <c r="E39" s="25" t="n">
        <v>45061</v>
      </c>
      <c r="F39" s="25" t="n">
        <v>45161</v>
      </c>
      <c r="G39" s="26" t="n">
        <v>72</v>
      </c>
      <c r="H39" s="316" t="n">
        <v>72</v>
      </c>
      <c r="I39" s="316" t="n">
        <v>0</v>
      </c>
      <c r="J39" s="34" t="s">
        <v>788</v>
      </c>
      <c r="K39" s="31" t="n">
        <v>15000</v>
      </c>
      <c r="L39" s="31" t="n">
        <v>32400</v>
      </c>
      <c r="M39" s="29" t="n">
        <v>2250</v>
      </c>
      <c r="N39" s="30" t="n">
        <v>3150</v>
      </c>
      <c r="O39" s="30" t="n">
        <v>32400</v>
      </c>
      <c r="P39" s="36" t="n">
        <v>0</v>
      </c>
      <c r="Q39" s="302" t="n">
        <v>45229</v>
      </c>
    </row>
    <row r="40" customFormat="false" ht="26.1" hidden="true" customHeight="false" outlineLevel="0" collapsed="false">
      <c r="A40" s="20" t="n">
        <v>2049</v>
      </c>
      <c r="B40" s="34" t="s">
        <v>385</v>
      </c>
      <c r="C40" s="34" t="s">
        <v>796</v>
      </c>
      <c r="D40" s="34"/>
      <c r="E40" s="25" t="n">
        <v>45118</v>
      </c>
      <c r="F40" s="25" t="n">
        <v>45271</v>
      </c>
      <c r="G40" s="26" t="n">
        <v>109</v>
      </c>
      <c r="H40" s="316" t="n">
        <v>110</v>
      </c>
      <c r="I40" s="316" t="n">
        <v>-1</v>
      </c>
      <c r="J40" s="52" t="s">
        <v>797</v>
      </c>
      <c r="K40" s="31" t="n">
        <v>15000</v>
      </c>
      <c r="L40" s="31" t="n">
        <v>39600</v>
      </c>
      <c r="M40" s="37" t="n">
        <v>1800</v>
      </c>
      <c r="N40" s="30" t="n">
        <v>1000</v>
      </c>
      <c r="O40" s="30" t="n">
        <v>39600</v>
      </c>
      <c r="P40" s="36" t="n">
        <v>0</v>
      </c>
      <c r="Q40" s="302" t="n">
        <v>45229</v>
      </c>
    </row>
    <row r="41" customFormat="false" ht="42.5" hidden="true" customHeight="false" outlineLevel="0" collapsed="false">
      <c r="A41" s="20" t="n">
        <v>2017</v>
      </c>
      <c r="B41" s="34" t="s">
        <v>798</v>
      </c>
      <c r="C41" s="34" t="s">
        <v>411</v>
      </c>
      <c r="D41" s="25"/>
      <c r="E41" s="25" t="n">
        <v>44986</v>
      </c>
      <c r="F41" s="25" t="n">
        <v>45140</v>
      </c>
      <c r="G41" s="317" t="n">
        <v>110</v>
      </c>
      <c r="H41" s="316" t="n">
        <v>102.5</v>
      </c>
      <c r="I41" s="316" t="n">
        <v>7.5</v>
      </c>
      <c r="J41" s="31" t="s">
        <v>799</v>
      </c>
      <c r="K41" s="36" t="n">
        <v>60000</v>
      </c>
      <c r="L41" s="29" t="n">
        <v>132000</v>
      </c>
      <c r="M41" s="30" t="n">
        <v>6600</v>
      </c>
      <c r="N41" s="30" t="n">
        <v>6000</v>
      </c>
      <c r="O41" s="30" t="n">
        <v>135300</v>
      </c>
      <c r="P41" s="36" t="n">
        <v>-3300</v>
      </c>
      <c r="Q41" s="302" t="n">
        <v>45229</v>
      </c>
    </row>
    <row r="42" customFormat="false" ht="34.3" hidden="true" customHeight="false" outlineLevel="0" collapsed="false">
      <c r="A42" s="20" t="n">
        <v>2177</v>
      </c>
      <c r="B42" s="34" t="s">
        <v>430</v>
      </c>
      <c r="C42" s="34" t="s">
        <v>800</v>
      </c>
      <c r="D42" s="34"/>
      <c r="E42" s="25" t="n">
        <v>45133</v>
      </c>
      <c r="F42" s="25" t="n">
        <v>45259</v>
      </c>
      <c r="G42" s="26" t="n">
        <v>90</v>
      </c>
      <c r="H42" s="316" t="n">
        <v>80</v>
      </c>
      <c r="I42" s="316" t="n">
        <v>10</v>
      </c>
      <c r="J42" s="52" t="s">
        <v>801</v>
      </c>
      <c r="K42" s="31" t="n">
        <v>10000</v>
      </c>
      <c r="L42" s="31" t="n">
        <v>21600</v>
      </c>
      <c r="M42" s="37" t="n">
        <v>1350</v>
      </c>
      <c r="N42" s="30" t="n">
        <v>5400</v>
      </c>
      <c r="O42" s="30" t="n">
        <v>21600</v>
      </c>
      <c r="P42" s="36" t="n">
        <v>0</v>
      </c>
      <c r="Q42" s="302" t="n">
        <v>45229</v>
      </c>
    </row>
    <row r="43" customFormat="false" ht="26.1" hidden="true" customHeight="false" outlineLevel="0" collapsed="false">
      <c r="A43" s="20" t="n">
        <v>2283</v>
      </c>
      <c r="B43" s="34" t="s">
        <v>754</v>
      </c>
      <c r="C43" s="34" t="s">
        <v>755</v>
      </c>
      <c r="D43" s="34"/>
      <c r="E43" s="25" t="n">
        <v>45206</v>
      </c>
      <c r="F43" s="25" t="n">
        <v>45233</v>
      </c>
      <c r="G43" s="26" t="n">
        <v>20</v>
      </c>
      <c r="H43" s="316" t="e">
        <f aca="false">#DIV/0!</f>
        <v>#DIV/0!</v>
      </c>
      <c r="I43" s="316" t="e">
        <f aca="false">#DIV/0!</f>
        <v>#DIV/0!</v>
      </c>
      <c r="J43" s="52" t="s">
        <v>751</v>
      </c>
      <c r="K43" s="36" t="n">
        <v>15000</v>
      </c>
      <c r="L43" s="36" t="n">
        <v>22500</v>
      </c>
      <c r="M43" s="29"/>
      <c r="N43" s="30" t="n">
        <v>22500</v>
      </c>
      <c r="O43" s="30" t="n">
        <v>22500</v>
      </c>
      <c r="P43" s="36" t="n">
        <v>0</v>
      </c>
      <c r="Q43" s="302" t="n">
        <v>45229</v>
      </c>
    </row>
    <row r="44" customFormat="false" ht="26.1" hidden="true" customHeight="false" outlineLevel="0" collapsed="false">
      <c r="A44" s="20" t="n">
        <v>2284</v>
      </c>
      <c r="B44" s="34" t="s">
        <v>754</v>
      </c>
      <c r="C44" s="34" t="s">
        <v>755</v>
      </c>
      <c r="D44" s="34"/>
      <c r="E44" s="25" t="n">
        <v>45206</v>
      </c>
      <c r="F44" s="25" t="n">
        <v>45231</v>
      </c>
      <c r="G44" s="26" t="n">
        <v>18</v>
      </c>
      <c r="H44" s="316" t="e">
        <f aca="false">#DIV/0!</f>
        <v>#DIV/0!</v>
      </c>
      <c r="I44" s="316" t="e">
        <f aca="false">#DIV/0!</f>
        <v>#DIV/0!</v>
      </c>
      <c r="J44" s="52" t="s">
        <v>751</v>
      </c>
      <c r="K44" s="36" t="n">
        <v>25000</v>
      </c>
      <c r="L44" s="36" t="n">
        <v>37500</v>
      </c>
      <c r="M44" s="29"/>
      <c r="N44" s="30" t="n">
        <v>37500</v>
      </c>
      <c r="O44" s="30" t="n">
        <v>37500</v>
      </c>
      <c r="P44" s="36" t="n">
        <v>0</v>
      </c>
      <c r="Q44" s="302" t="n">
        <v>45229</v>
      </c>
    </row>
    <row r="45" customFormat="false" ht="42" hidden="true" customHeight="false" outlineLevel="0" collapsed="false">
      <c r="A45" s="20" t="n">
        <v>2155</v>
      </c>
      <c r="B45" s="34" t="s">
        <v>802</v>
      </c>
      <c r="C45" s="34" t="s">
        <v>241</v>
      </c>
      <c r="D45" s="34"/>
      <c r="E45" s="25" t="n">
        <v>45119</v>
      </c>
      <c r="F45" s="25" t="n">
        <v>45231</v>
      </c>
      <c r="G45" s="26" t="n">
        <v>80</v>
      </c>
      <c r="H45" s="316" t="n">
        <v>80</v>
      </c>
      <c r="I45" s="316" t="n">
        <v>0</v>
      </c>
      <c r="J45" s="52" t="s">
        <v>470</v>
      </c>
      <c r="K45" s="36" t="n">
        <v>50000</v>
      </c>
      <c r="L45" s="36" t="n">
        <v>108000</v>
      </c>
      <c r="M45" s="29" t="n">
        <v>6750</v>
      </c>
      <c r="N45" s="30" t="n">
        <v>27000</v>
      </c>
      <c r="O45" s="30" t="n">
        <v>108000</v>
      </c>
      <c r="P45" s="36" t="n">
        <v>0</v>
      </c>
      <c r="Q45" s="302" t="n">
        <v>45229</v>
      </c>
    </row>
    <row r="46" customFormat="false" ht="26.1" hidden="true" customHeight="false" outlineLevel="0" collapsed="false">
      <c r="A46" s="20" t="n">
        <v>2090</v>
      </c>
      <c r="B46" s="34" t="s">
        <v>636</v>
      </c>
      <c r="C46" s="34" t="s">
        <v>637</v>
      </c>
      <c r="D46" s="34"/>
      <c r="E46" s="25" t="n">
        <v>45059</v>
      </c>
      <c r="F46" s="25" t="n">
        <v>45212</v>
      </c>
      <c r="G46" s="26" t="n">
        <v>110</v>
      </c>
      <c r="H46" s="316" t="n">
        <v>110</v>
      </c>
      <c r="I46" s="316" t="n">
        <v>0</v>
      </c>
      <c r="J46" s="34" t="s">
        <v>803</v>
      </c>
      <c r="K46" s="36" t="n">
        <v>30000</v>
      </c>
      <c r="L46" s="36" t="n">
        <v>79200</v>
      </c>
      <c r="M46" s="29" t="n">
        <v>3600</v>
      </c>
      <c r="N46" s="30" t="n">
        <v>3600</v>
      </c>
      <c r="O46" s="30" t="n">
        <v>79200</v>
      </c>
      <c r="P46" s="36" t="n">
        <v>0</v>
      </c>
      <c r="Q46" s="302" t="n">
        <v>45229</v>
      </c>
    </row>
    <row r="47" customFormat="false" ht="26.1" hidden="true" customHeight="false" outlineLevel="0" collapsed="false">
      <c r="A47" s="20" t="n">
        <v>2185</v>
      </c>
      <c r="B47" s="34" t="s">
        <v>336</v>
      </c>
      <c r="C47" s="34" t="s">
        <v>337</v>
      </c>
      <c r="D47" s="34"/>
      <c r="E47" s="25" t="n">
        <v>45139</v>
      </c>
      <c r="F47" s="25" t="n">
        <v>45239</v>
      </c>
      <c r="G47" s="26" t="n">
        <v>72</v>
      </c>
      <c r="H47" s="316" t="n">
        <v>72</v>
      </c>
      <c r="I47" s="316" t="n">
        <v>0</v>
      </c>
      <c r="J47" s="34" t="s">
        <v>769</v>
      </c>
      <c r="K47" s="36" t="n">
        <v>10000</v>
      </c>
      <c r="L47" s="36" t="n">
        <v>21600</v>
      </c>
      <c r="M47" s="29" t="n">
        <v>1500</v>
      </c>
      <c r="N47" s="30" t="n">
        <v>2100</v>
      </c>
      <c r="O47" s="30" t="n">
        <v>21600</v>
      </c>
      <c r="P47" s="36" t="n">
        <v>0</v>
      </c>
      <c r="Q47" s="302" t="n">
        <v>45236</v>
      </c>
    </row>
    <row r="48" customFormat="false" ht="34.3" hidden="true" customHeight="false" outlineLevel="0" collapsed="false">
      <c r="A48" s="20" t="n">
        <v>2315</v>
      </c>
      <c r="B48" s="34" t="s">
        <v>804</v>
      </c>
      <c r="C48" s="34" t="s">
        <v>750</v>
      </c>
      <c r="D48" s="34"/>
      <c r="E48" s="25" t="n">
        <v>45227</v>
      </c>
      <c r="F48" s="25" t="n">
        <v>45233</v>
      </c>
      <c r="G48" s="26" t="n">
        <v>5</v>
      </c>
      <c r="H48" s="316" t="e">
        <f aca="false">#VALUE!</f>
        <v>#VALUE!</v>
      </c>
      <c r="I48" s="316" t="e">
        <f aca="false">#VALUE!</f>
        <v>#VALUE!</v>
      </c>
      <c r="J48" s="52" t="s">
        <v>751</v>
      </c>
      <c r="K48" s="31" t="n">
        <v>20000</v>
      </c>
      <c r="L48" s="31" t="n">
        <v>30000</v>
      </c>
      <c r="M48" s="37" t="s">
        <v>214</v>
      </c>
      <c r="N48" s="30" t="n">
        <v>25000</v>
      </c>
      <c r="O48" s="30" t="n">
        <v>30000</v>
      </c>
      <c r="P48" s="36" t="n">
        <v>0</v>
      </c>
      <c r="Q48" s="302" t="n">
        <v>45236</v>
      </c>
    </row>
    <row r="49" customFormat="false" ht="34.3" hidden="true" customHeight="false" outlineLevel="0" collapsed="false">
      <c r="A49" s="20" t="n">
        <v>2127</v>
      </c>
      <c r="B49" s="34" t="s">
        <v>805</v>
      </c>
      <c r="C49" s="34" t="s">
        <v>451</v>
      </c>
      <c r="D49" s="34"/>
      <c r="E49" s="25" t="n">
        <v>45092</v>
      </c>
      <c r="F49" s="25" t="n">
        <v>45194</v>
      </c>
      <c r="G49" s="26" t="n">
        <v>72</v>
      </c>
      <c r="H49" s="316" t="n">
        <v>72</v>
      </c>
      <c r="I49" s="316" t="n">
        <v>0</v>
      </c>
      <c r="J49" s="34" t="s">
        <v>769</v>
      </c>
      <c r="K49" s="31" t="n">
        <v>10000</v>
      </c>
      <c r="L49" s="31" t="n">
        <v>21600</v>
      </c>
      <c r="M49" s="37" t="n">
        <v>1500</v>
      </c>
      <c r="N49" s="30" t="n">
        <v>2100</v>
      </c>
      <c r="O49" s="30" t="n">
        <v>21600</v>
      </c>
      <c r="P49" s="36" t="n">
        <v>0</v>
      </c>
      <c r="Q49" s="302" t="n">
        <v>45236</v>
      </c>
    </row>
    <row r="50" customFormat="false" ht="26.1" hidden="true" customHeight="false" outlineLevel="0" collapsed="false">
      <c r="A50" s="20" t="n">
        <v>2291</v>
      </c>
      <c r="B50" s="34" t="s">
        <v>806</v>
      </c>
      <c r="C50" s="34" t="s">
        <v>759</v>
      </c>
      <c r="D50" s="34" t="s">
        <v>807</v>
      </c>
      <c r="E50" s="25" t="n">
        <v>45209</v>
      </c>
      <c r="F50" s="25" t="n">
        <v>45237</v>
      </c>
      <c r="G50" s="26" t="n">
        <v>20</v>
      </c>
      <c r="H50" s="316" t="e">
        <f aca="false">#DIV/0!</f>
        <v>#DIV/0!</v>
      </c>
      <c r="I50" s="316" t="e">
        <f aca="false">#DIV/0!</f>
        <v>#DIV/0!</v>
      </c>
      <c r="J50" s="52" t="s">
        <v>751</v>
      </c>
      <c r="K50" s="31" t="n">
        <v>15000</v>
      </c>
      <c r="L50" s="31" t="n">
        <v>23000</v>
      </c>
      <c r="M50" s="37"/>
      <c r="N50" s="30" t="n">
        <v>23000</v>
      </c>
      <c r="O50" s="30" t="n">
        <v>23000</v>
      </c>
      <c r="P50" s="36" t="n">
        <v>0</v>
      </c>
      <c r="Q50" s="302" t="n">
        <v>45236</v>
      </c>
    </row>
    <row r="51" customFormat="false" ht="26.1" hidden="true" customHeight="false" outlineLevel="0" collapsed="false">
      <c r="A51" s="20" t="n">
        <v>1983</v>
      </c>
      <c r="B51" s="34" t="s">
        <v>781</v>
      </c>
      <c r="C51" s="34" t="s">
        <v>782</v>
      </c>
      <c r="D51" s="34"/>
      <c r="E51" s="25" t="n">
        <v>44974</v>
      </c>
      <c r="F51" s="25" t="n">
        <v>45139</v>
      </c>
      <c r="G51" s="26" t="n">
        <v>117</v>
      </c>
      <c r="H51" s="316" t="n">
        <v>121.363636363636</v>
      </c>
      <c r="I51" s="316" t="n">
        <v>-4.36363636363636</v>
      </c>
      <c r="J51" s="52" t="s">
        <v>783</v>
      </c>
      <c r="K51" s="31" t="n">
        <v>20000</v>
      </c>
      <c r="L51" s="36" t="n">
        <v>52800</v>
      </c>
      <c r="M51" s="29" t="n">
        <v>2200</v>
      </c>
      <c r="N51" s="30" t="n">
        <v>8800</v>
      </c>
      <c r="O51" s="30" t="n">
        <v>53400</v>
      </c>
      <c r="P51" s="36" t="n">
        <v>-600</v>
      </c>
      <c r="Q51" s="302" t="n">
        <v>45236</v>
      </c>
    </row>
    <row r="52" customFormat="false" ht="26.1" hidden="true" customHeight="false" outlineLevel="0" collapsed="false">
      <c r="A52" s="20" t="n">
        <v>2289</v>
      </c>
      <c r="B52" s="34" t="s">
        <v>758</v>
      </c>
      <c r="C52" s="34" t="s">
        <v>759</v>
      </c>
      <c r="D52" s="34"/>
      <c r="E52" s="25" t="n">
        <v>45209</v>
      </c>
      <c r="F52" s="25" t="n">
        <v>45237</v>
      </c>
      <c r="G52" s="26" t="n">
        <v>20</v>
      </c>
      <c r="H52" s="316" t="e">
        <f aca="false">#DIV/0!</f>
        <v>#DIV/0!</v>
      </c>
      <c r="I52" s="316" t="e">
        <f aca="false">#DIV/0!</f>
        <v>#DIV/0!</v>
      </c>
      <c r="J52" s="52" t="s">
        <v>751</v>
      </c>
      <c r="K52" s="36" t="n">
        <v>20000</v>
      </c>
      <c r="L52" s="36" t="n">
        <v>32000</v>
      </c>
      <c r="M52" s="29"/>
      <c r="N52" s="30" t="n">
        <v>32000</v>
      </c>
      <c r="O52" s="30" t="n">
        <v>32000</v>
      </c>
      <c r="P52" s="36" t="n">
        <v>0</v>
      </c>
      <c r="Q52" s="302" t="n">
        <v>45236</v>
      </c>
    </row>
    <row r="53" customFormat="false" ht="26.1" hidden="true" customHeight="false" outlineLevel="0" collapsed="false">
      <c r="A53" s="20" t="n">
        <v>2294</v>
      </c>
      <c r="B53" s="34" t="s">
        <v>760</v>
      </c>
      <c r="C53" s="34" t="s">
        <v>759</v>
      </c>
      <c r="D53" s="34"/>
      <c r="E53" s="25" t="n">
        <v>45212</v>
      </c>
      <c r="F53" s="25" t="n">
        <v>45233</v>
      </c>
      <c r="G53" s="26" t="n">
        <v>15</v>
      </c>
      <c r="H53" s="316" t="e">
        <f aca="false">#DIV/0!</f>
        <v>#DIV/0!</v>
      </c>
      <c r="I53" s="316" t="e">
        <f aca="false">#DIV/0!</f>
        <v>#DIV/0!</v>
      </c>
      <c r="J53" s="52" t="s">
        <v>751</v>
      </c>
      <c r="K53" s="31" t="n">
        <v>10000</v>
      </c>
      <c r="L53" s="31" t="n">
        <v>16000</v>
      </c>
      <c r="M53" s="37"/>
      <c r="N53" s="30" t="n">
        <v>16000</v>
      </c>
      <c r="O53" s="30" t="n">
        <v>16000</v>
      </c>
      <c r="P53" s="36" t="n">
        <v>0</v>
      </c>
      <c r="Q53" s="302" t="n">
        <v>45236</v>
      </c>
    </row>
    <row r="54" customFormat="false" ht="42" hidden="true" customHeight="false" outlineLevel="0" collapsed="false">
      <c r="A54" s="20" t="n">
        <v>1945</v>
      </c>
      <c r="B54" s="34" t="s">
        <v>808</v>
      </c>
      <c r="C54" s="34" t="s">
        <v>809</v>
      </c>
      <c r="D54" s="34"/>
      <c r="E54" s="25" t="n">
        <v>44936</v>
      </c>
      <c r="F54" s="25" t="n">
        <v>45036</v>
      </c>
      <c r="G54" s="26" t="n">
        <v>72</v>
      </c>
      <c r="H54" s="316" t="n">
        <v>72</v>
      </c>
      <c r="I54" s="316" t="n">
        <v>0</v>
      </c>
      <c r="J54" s="34" t="s">
        <v>810</v>
      </c>
      <c r="K54" s="31" t="n">
        <v>13000</v>
      </c>
      <c r="L54" s="31" t="n">
        <v>28080</v>
      </c>
      <c r="M54" s="37" t="n">
        <v>1950</v>
      </c>
      <c r="N54" s="30" t="n">
        <v>1830</v>
      </c>
      <c r="O54" s="30" t="n">
        <v>28080</v>
      </c>
      <c r="P54" s="31" t="n">
        <v>0</v>
      </c>
      <c r="Q54" s="302" t="n">
        <v>45236</v>
      </c>
    </row>
    <row r="55" customFormat="false" ht="34.3" hidden="true" customHeight="false" outlineLevel="0" collapsed="false">
      <c r="A55" s="20" t="n">
        <v>2278</v>
      </c>
      <c r="B55" s="34" t="s">
        <v>811</v>
      </c>
      <c r="C55" s="34" t="s">
        <v>486</v>
      </c>
      <c r="D55" s="34"/>
      <c r="E55" s="25" t="n">
        <v>45203</v>
      </c>
      <c r="F55" s="25" t="n">
        <v>45266</v>
      </c>
      <c r="G55" s="26" t="n">
        <v>45</v>
      </c>
      <c r="H55" s="316" t="n">
        <v>107.843137254902</v>
      </c>
      <c r="I55" s="316" t="n">
        <v>-62.843137254902</v>
      </c>
      <c r="J55" s="68" t="s">
        <v>812</v>
      </c>
      <c r="K55" s="31" t="n">
        <v>15000</v>
      </c>
      <c r="L55" s="31" t="n">
        <v>25500</v>
      </c>
      <c r="M55" s="37" t="n">
        <v>1275</v>
      </c>
      <c r="N55" s="30" t="n">
        <v>10500</v>
      </c>
      <c r="O55" s="30" t="n">
        <v>27500</v>
      </c>
      <c r="P55" s="36" t="n">
        <v>-2000</v>
      </c>
      <c r="Q55" s="302" t="n">
        <v>45243</v>
      </c>
    </row>
    <row r="56" customFormat="false" ht="26.1" hidden="true" customHeight="false" outlineLevel="0" collapsed="false">
      <c r="A56" s="20" t="n">
        <v>2139</v>
      </c>
      <c r="B56" s="34" t="s">
        <v>813</v>
      </c>
      <c r="C56" s="34" t="s">
        <v>814</v>
      </c>
      <c r="D56" s="34"/>
      <c r="E56" s="25" t="n">
        <v>45106</v>
      </c>
      <c r="F56" s="25" t="n">
        <v>45208</v>
      </c>
      <c r="G56" s="26" t="n">
        <v>72</v>
      </c>
      <c r="H56" s="316" t="n">
        <v>73.1333333333333</v>
      </c>
      <c r="I56" s="316" t="n">
        <v>-1.13333333333334</v>
      </c>
      <c r="J56" s="34" t="s">
        <v>774</v>
      </c>
      <c r="K56" s="31" t="n">
        <v>25000</v>
      </c>
      <c r="L56" s="31" t="n">
        <v>54000</v>
      </c>
      <c r="M56" s="37" t="n">
        <v>3750</v>
      </c>
      <c r="N56" s="30" t="n">
        <v>6000</v>
      </c>
      <c r="O56" s="30" t="n">
        <v>54850</v>
      </c>
      <c r="P56" s="36" t="n">
        <v>-850</v>
      </c>
      <c r="Q56" s="302" t="n">
        <v>45243</v>
      </c>
    </row>
    <row r="57" customFormat="false" ht="42.5" hidden="true" customHeight="false" outlineLevel="0" collapsed="false">
      <c r="A57" s="20" t="n">
        <v>2104</v>
      </c>
      <c r="B57" s="34" t="s">
        <v>485</v>
      </c>
      <c r="C57" s="34" t="s">
        <v>486</v>
      </c>
      <c r="D57" s="34"/>
      <c r="E57" s="25" t="n">
        <v>45073</v>
      </c>
      <c r="F57" s="25" t="n">
        <v>45174</v>
      </c>
      <c r="G57" s="26" t="n">
        <v>72</v>
      </c>
      <c r="H57" s="316" t="n">
        <v>76.4444444444444</v>
      </c>
      <c r="I57" s="316" t="n">
        <v>-4.44444444444444</v>
      </c>
      <c r="J57" s="34" t="s">
        <v>788</v>
      </c>
      <c r="K57" s="31" t="n">
        <v>15000</v>
      </c>
      <c r="L57" s="31" t="n">
        <v>32400</v>
      </c>
      <c r="M57" s="37" t="n">
        <v>2250</v>
      </c>
      <c r="N57" s="30" t="n">
        <v>6050</v>
      </c>
      <c r="O57" s="30" t="n">
        <v>34400</v>
      </c>
      <c r="P57" s="36" t="n">
        <v>-2000</v>
      </c>
      <c r="Q57" s="302" t="n">
        <v>45243</v>
      </c>
    </row>
    <row r="58" customFormat="false" ht="26.1" hidden="true" customHeight="false" outlineLevel="0" collapsed="false">
      <c r="A58" s="310" t="n">
        <v>2159</v>
      </c>
      <c r="B58" s="34" t="s">
        <v>754</v>
      </c>
      <c r="C58" s="34" t="s">
        <v>755</v>
      </c>
      <c r="D58" s="34"/>
      <c r="E58" s="25" t="n">
        <v>45121</v>
      </c>
      <c r="F58" s="25" t="n">
        <v>45223</v>
      </c>
      <c r="G58" s="26" t="n">
        <v>72</v>
      </c>
      <c r="H58" s="316" t="n">
        <v>73.3333333333333</v>
      </c>
      <c r="I58" s="316" t="n">
        <v>-1.33333333333333</v>
      </c>
      <c r="J58" s="34" t="s">
        <v>784</v>
      </c>
      <c r="K58" s="36" t="n">
        <v>5000</v>
      </c>
      <c r="L58" s="36" t="n">
        <v>10800</v>
      </c>
      <c r="M58" s="29" t="n">
        <v>750</v>
      </c>
      <c r="N58" s="30" t="n">
        <v>3000</v>
      </c>
      <c r="O58" s="30" t="n">
        <v>11000</v>
      </c>
      <c r="P58" s="36" t="n">
        <v>-200</v>
      </c>
      <c r="Q58" s="302" t="n">
        <v>45243</v>
      </c>
    </row>
    <row r="59" customFormat="false" ht="26.1" hidden="true" customHeight="false" outlineLevel="0" collapsed="false">
      <c r="A59" s="20" t="n">
        <v>2285</v>
      </c>
      <c r="B59" s="34" t="s">
        <v>754</v>
      </c>
      <c r="C59" s="34" t="s">
        <v>755</v>
      </c>
      <c r="D59" s="34"/>
      <c r="E59" s="25" t="n">
        <v>45209</v>
      </c>
      <c r="F59" s="25" t="n">
        <v>45232</v>
      </c>
      <c r="G59" s="26" t="n">
        <v>17</v>
      </c>
      <c r="H59" s="316" t="e">
        <f aca="false">#DIV/0!</f>
        <v>#DIV/0!</v>
      </c>
      <c r="I59" s="316" t="e">
        <f aca="false">#DIV/0!</f>
        <v>#DIV/0!</v>
      </c>
      <c r="J59" s="52" t="s">
        <v>751</v>
      </c>
      <c r="K59" s="31" t="n">
        <v>20000</v>
      </c>
      <c r="L59" s="31" t="n">
        <v>30000</v>
      </c>
      <c r="M59" s="37"/>
      <c r="N59" s="30" t="n">
        <v>10000</v>
      </c>
      <c r="O59" s="30" t="n">
        <v>30000</v>
      </c>
      <c r="P59" s="36" t="n">
        <v>0</v>
      </c>
      <c r="Q59" s="302" t="n">
        <v>45243</v>
      </c>
    </row>
    <row r="60" customFormat="false" ht="26.1" hidden="true" customHeight="false" outlineLevel="0" collapsed="false">
      <c r="A60" s="20" t="n">
        <v>2164</v>
      </c>
      <c r="B60" s="34" t="s">
        <v>336</v>
      </c>
      <c r="C60" s="34" t="s">
        <v>337</v>
      </c>
      <c r="D60" s="34"/>
      <c r="E60" s="25" t="n">
        <v>45124</v>
      </c>
      <c r="F60" s="25" t="n">
        <v>45348</v>
      </c>
      <c r="G60" s="26" t="n">
        <v>160</v>
      </c>
      <c r="H60" s="316" t="n">
        <v>140.01237404985</v>
      </c>
      <c r="I60" s="316" t="n">
        <v>19.9876259501503</v>
      </c>
      <c r="J60" s="52" t="s">
        <v>815</v>
      </c>
      <c r="K60" s="31" t="n">
        <v>30000</v>
      </c>
      <c r="L60" s="31" t="n">
        <v>79205</v>
      </c>
      <c r="M60" s="37" t="n">
        <v>2828.5</v>
      </c>
      <c r="N60" s="30" t="n">
        <v>22625</v>
      </c>
      <c r="O60" s="30" t="n">
        <v>79205</v>
      </c>
      <c r="P60" s="36" t="n">
        <v>0</v>
      </c>
      <c r="Q60" s="302" t="n">
        <v>45257</v>
      </c>
    </row>
    <row r="61" customFormat="false" ht="26.1" hidden="true" customHeight="false" outlineLevel="0" collapsed="false">
      <c r="A61" s="20" t="n">
        <v>2112</v>
      </c>
      <c r="B61" s="34" t="s">
        <v>385</v>
      </c>
      <c r="C61" s="34" t="s">
        <v>796</v>
      </c>
      <c r="D61" s="34"/>
      <c r="E61" s="25" t="n">
        <v>45082</v>
      </c>
      <c r="F61" s="25" t="n">
        <v>45260</v>
      </c>
      <c r="G61" s="26" t="n">
        <v>128</v>
      </c>
      <c r="H61" s="316" t="n">
        <v>120</v>
      </c>
      <c r="I61" s="316" t="n">
        <v>8</v>
      </c>
      <c r="J61" s="52" t="s">
        <v>816</v>
      </c>
      <c r="K61" s="31" t="n">
        <v>20000</v>
      </c>
      <c r="L61" s="31" t="n">
        <v>52800</v>
      </c>
      <c r="M61" s="29" t="n">
        <v>2200</v>
      </c>
      <c r="N61" s="30" t="n">
        <v>8800</v>
      </c>
      <c r="O61" s="30" t="n">
        <v>52800</v>
      </c>
      <c r="P61" s="36" t="n">
        <v>0</v>
      </c>
      <c r="Q61" s="302" t="n">
        <v>45257</v>
      </c>
    </row>
    <row r="62" customFormat="false" ht="34.3" hidden="true" customHeight="false" outlineLevel="0" collapsed="false">
      <c r="A62" s="20" t="n">
        <v>2143</v>
      </c>
      <c r="B62" s="34" t="s">
        <v>503</v>
      </c>
      <c r="C62" s="34" t="s">
        <v>241</v>
      </c>
      <c r="D62" s="34"/>
      <c r="E62" s="25" t="n">
        <v>45110</v>
      </c>
      <c r="F62" s="25" t="n">
        <v>45264</v>
      </c>
      <c r="G62" s="26" t="n">
        <v>110</v>
      </c>
      <c r="H62" s="316" t="n">
        <v>110</v>
      </c>
      <c r="I62" s="316" t="n">
        <v>0</v>
      </c>
      <c r="J62" s="34" t="s">
        <v>817</v>
      </c>
      <c r="K62" s="36" t="n">
        <v>40000</v>
      </c>
      <c r="L62" s="36" t="n">
        <v>105600</v>
      </c>
      <c r="M62" s="29" t="n">
        <v>4800</v>
      </c>
      <c r="N62" s="30" t="n">
        <v>11200</v>
      </c>
      <c r="O62" s="30" t="n">
        <v>105600</v>
      </c>
      <c r="P62" s="36" t="n">
        <v>0</v>
      </c>
      <c r="Q62" s="302" t="n">
        <v>45257</v>
      </c>
    </row>
    <row r="63" customFormat="false" ht="42.5" hidden="true" customHeight="false" outlineLevel="0" collapsed="false">
      <c r="A63" s="20" t="n">
        <v>2216</v>
      </c>
      <c r="B63" s="34" t="s">
        <v>818</v>
      </c>
      <c r="C63" s="34" t="s">
        <v>556</v>
      </c>
      <c r="D63" s="34"/>
      <c r="E63" s="25" t="n">
        <v>45157</v>
      </c>
      <c r="F63" s="25" t="n">
        <v>45258</v>
      </c>
      <c r="G63" s="26" t="n">
        <v>72</v>
      </c>
      <c r="H63" s="316" t="n">
        <v>72</v>
      </c>
      <c r="I63" s="316" t="n">
        <v>0</v>
      </c>
      <c r="J63" s="34" t="s">
        <v>749</v>
      </c>
      <c r="K63" s="31" t="n">
        <v>20000</v>
      </c>
      <c r="L63" s="31" t="n">
        <v>43200</v>
      </c>
      <c r="M63" s="37" t="n">
        <v>3000</v>
      </c>
      <c r="N63" s="30" t="n">
        <v>1200</v>
      </c>
      <c r="O63" s="30" t="n">
        <v>43200</v>
      </c>
      <c r="P63" s="36" t="n">
        <v>0</v>
      </c>
      <c r="Q63" s="302" t="n">
        <v>45257</v>
      </c>
    </row>
    <row r="64" customFormat="false" ht="26.1" hidden="true" customHeight="false" outlineLevel="0" collapsed="false">
      <c r="A64" s="20" t="n">
        <v>2214</v>
      </c>
      <c r="B64" s="34" t="s">
        <v>613</v>
      </c>
      <c r="C64" s="34" t="s">
        <v>292</v>
      </c>
      <c r="D64" s="34"/>
      <c r="E64" s="25" t="n">
        <v>45156</v>
      </c>
      <c r="F64" s="25" t="n">
        <v>45258</v>
      </c>
      <c r="G64" s="26" t="n">
        <v>72</v>
      </c>
      <c r="H64" s="316" t="n">
        <v>72</v>
      </c>
      <c r="I64" s="316" t="n">
        <v>0</v>
      </c>
      <c r="J64" s="34" t="s">
        <v>769</v>
      </c>
      <c r="K64" s="31" t="n">
        <v>10000</v>
      </c>
      <c r="L64" s="31" t="n">
        <v>21600</v>
      </c>
      <c r="M64" s="37" t="n">
        <v>1500</v>
      </c>
      <c r="N64" s="30" t="n">
        <v>600</v>
      </c>
      <c r="O64" s="30" t="n">
        <v>21600</v>
      </c>
      <c r="P64" s="31" t="n">
        <v>0</v>
      </c>
      <c r="Q64" s="302" t="n">
        <v>45257</v>
      </c>
    </row>
    <row r="65" customFormat="false" ht="26.1" hidden="true" customHeight="false" outlineLevel="0" collapsed="false">
      <c r="A65" s="310" t="n">
        <v>2156</v>
      </c>
      <c r="B65" s="34" t="s">
        <v>230</v>
      </c>
      <c r="C65" s="34" t="s">
        <v>231</v>
      </c>
      <c r="D65" s="34" t="s">
        <v>819</v>
      </c>
      <c r="E65" s="25" t="n">
        <v>45119</v>
      </c>
      <c r="F65" s="25" t="n">
        <v>45219</v>
      </c>
      <c r="G65" s="26" t="n">
        <v>72</v>
      </c>
      <c r="H65" s="316" t="n">
        <v>72</v>
      </c>
      <c r="I65" s="316" t="n">
        <v>0</v>
      </c>
      <c r="J65" s="34" t="s">
        <v>749</v>
      </c>
      <c r="K65" s="31" t="n">
        <v>20000</v>
      </c>
      <c r="L65" s="31" t="n">
        <v>43200</v>
      </c>
      <c r="M65" s="37" t="n">
        <v>3000</v>
      </c>
      <c r="N65" s="30" t="n">
        <v>1200</v>
      </c>
      <c r="O65" s="30" t="n">
        <v>43200</v>
      </c>
      <c r="P65" s="31" t="n">
        <v>0</v>
      </c>
      <c r="Q65" s="302" t="n">
        <v>45264</v>
      </c>
    </row>
    <row r="66" customFormat="false" ht="34.3" hidden="true" customHeight="false" outlineLevel="0" collapsed="false">
      <c r="A66" s="20" t="n">
        <v>2325</v>
      </c>
      <c r="B66" s="34" t="s">
        <v>820</v>
      </c>
      <c r="C66" s="34" t="s">
        <v>821</v>
      </c>
      <c r="D66" s="34"/>
      <c r="E66" s="25" t="n">
        <v>45236</v>
      </c>
      <c r="F66" s="25" t="n">
        <v>45252</v>
      </c>
      <c r="G66" s="26" t="n">
        <v>12</v>
      </c>
      <c r="H66" s="316" t="e">
        <f aca="false">#VALUE!</f>
        <v>#VALUE!</v>
      </c>
      <c r="I66" s="316" t="e">
        <f aca="false">#VALUE!</f>
        <v>#VALUE!</v>
      </c>
      <c r="J66" s="52" t="s">
        <v>751</v>
      </c>
      <c r="K66" s="31" t="n">
        <v>10000</v>
      </c>
      <c r="L66" s="31" t="n">
        <v>13500</v>
      </c>
      <c r="M66" s="37" t="s">
        <v>214</v>
      </c>
      <c r="N66" s="30" t="n">
        <v>15000</v>
      </c>
      <c r="O66" s="30" t="n">
        <v>15000</v>
      </c>
      <c r="P66" s="31" t="n">
        <v>-1500</v>
      </c>
      <c r="Q66" s="302" t="n">
        <v>45264</v>
      </c>
    </row>
    <row r="67" customFormat="false" ht="34.3" hidden="true" customHeight="false" outlineLevel="0" collapsed="false">
      <c r="A67" s="20" t="n">
        <v>2350</v>
      </c>
      <c r="B67" s="34" t="s">
        <v>822</v>
      </c>
      <c r="C67" s="34" t="s">
        <v>451</v>
      </c>
      <c r="D67" s="34"/>
      <c r="E67" s="25" t="n">
        <v>45257</v>
      </c>
      <c r="F67" s="25" t="n">
        <v>45265</v>
      </c>
      <c r="G67" s="26" t="n">
        <v>6</v>
      </c>
      <c r="H67" s="316" t="e">
        <f aca="false">#DIV/0!</f>
        <v>#DIV/0!</v>
      </c>
      <c r="I67" s="316" t="e">
        <f aca="false">#DIV/0!</f>
        <v>#DIV/0!</v>
      </c>
      <c r="J67" s="52" t="s">
        <v>751</v>
      </c>
      <c r="K67" s="31" t="n">
        <v>10000</v>
      </c>
      <c r="L67" s="31" t="n">
        <v>13000</v>
      </c>
      <c r="M67" s="37"/>
      <c r="N67" s="30" t="n">
        <v>13000</v>
      </c>
      <c r="O67" s="30" t="n">
        <v>13000</v>
      </c>
      <c r="P67" s="31" t="n">
        <v>0</v>
      </c>
      <c r="Q67" s="302" t="n">
        <v>45264</v>
      </c>
    </row>
    <row r="68" customFormat="false" ht="26.1" hidden="true" customHeight="false" outlineLevel="0" collapsed="false">
      <c r="A68" s="310" t="n">
        <v>2157</v>
      </c>
      <c r="B68" s="34" t="s">
        <v>823</v>
      </c>
      <c r="C68" s="34" t="s">
        <v>824</v>
      </c>
      <c r="D68" s="34" t="s">
        <v>253</v>
      </c>
      <c r="E68" s="25" t="n">
        <v>45120</v>
      </c>
      <c r="F68" s="25" t="n">
        <v>45222</v>
      </c>
      <c r="G68" s="26" t="n">
        <v>72</v>
      </c>
      <c r="H68" s="316" t="n">
        <v>72.5555555555556</v>
      </c>
      <c r="I68" s="316" t="n">
        <v>-0.555555555555557</v>
      </c>
      <c r="J68" s="34" t="s">
        <v>788</v>
      </c>
      <c r="K68" s="36" t="n">
        <v>15000</v>
      </c>
      <c r="L68" s="36" t="n">
        <v>32400</v>
      </c>
      <c r="M68" s="29" t="n">
        <v>2250</v>
      </c>
      <c r="N68" s="30" t="n">
        <v>2200</v>
      </c>
      <c r="O68" s="30" t="n">
        <v>32650</v>
      </c>
      <c r="P68" s="36" t="n">
        <v>-250</v>
      </c>
      <c r="Q68" s="302" t="n">
        <v>45264</v>
      </c>
    </row>
    <row r="69" customFormat="false" ht="26.1" hidden="true" customHeight="false" outlineLevel="0" collapsed="false">
      <c r="A69" s="20" t="n">
        <v>2148</v>
      </c>
      <c r="B69" s="34" t="s">
        <v>825</v>
      </c>
      <c r="C69" s="34" t="s">
        <v>292</v>
      </c>
      <c r="D69" s="34"/>
      <c r="E69" s="25" t="n">
        <v>45113</v>
      </c>
      <c r="F69" s="25" t="n">
        <v>45267</v>
      </c>
      <c r="G69" s="26" t="n">
        <v>110</v>
      </c>
      <c r="H69" s="316" t="n">
        <v>110</v>
      </c>
      <c r="I69" s="316" t="n">
        <v>0</v>
      </c>
      <c r="J69" s="34" t="s">
        <v>826</v>
      </c>
      <c r="K69" s="31" t="n">
        <v>35000</v>
      </c>
      <c r="L69" s="31" t="n">
        <v>92400</v>
      </c>
      <c r="M69" s="37" t="n">
        <v>4200</v>
      </c>
      <c r="N69" s="30" t="n">
        <v>8400</v>
      </c>
      <c r="O69" s="30" t="n">
        <v>92400</v>
      </c>
      <c r="P69" s="36" t="n">
        <v>0</v>
      </c>
      <c r="Q69" s="302" t="n">
        <v>45264</v>
      </c>
    </row>
    <row r="70" customFormat="false" ht="34.3" hidden="true" customHeight="false" outlineLevel="0" collapsed="false">
      <c r="A70" s="20" t="n">
        <v>2195</v>
      </c>
      <c r="B70" s="34" t="s">
        <v>307</v>
      </c>
      <c r="C70" s="34" t="s">
        <v>308</v>
      </c>
      <c r="D70" s="34"/>
      <c r="E70" s="25" t="n">
        <v>45145</v>
      </c>
      <c r="F70" s="25" t="n">
        <v>45271</v>
      </c>
      <c r="G70" s="26" t="n">
        <v>90</v>
      </c>
      <c r="H70" s="316" t="n">
        <v>80</v>
      </c>
      <c r="I70" s="316" t="n">
        <v>10</v>
      </c>
      <c r="J70" s="52" t="s">
        <v>827</v>
      </c>
      <c r="K70" s="31" t="n">
        <v>100000</v>
      </c>
      <c r="L70" s="31" t="n">
        <v>216000</v>
      </c>
      <c r="M70" s="37" t="n">
        <v>13500</v>
      </c>
      <c r="N70" s="30" t="n">
        <v>54000</v>
      </c>
      <c r="O70" s="30" t="n">
        <v>216000</v>
      </c>
      <c r="P70" s="36" t="n">
        <v>0</v>
      </c>
      <c r="Q70" s="302" t="n">
        <v>45264</v>
      </c>
    </row>
    <row r="71" customFormat="false" ht="42.5" hidden="true" customHeight="false" outlineLevel="0" collapsed="false">
      <c r="A71" s="20" t="n">
        <v>2088</v>
      </c>
      <c r="B71" s="34" t="s">
        <v>313</v>
      </c>
      <c r="C71" s="26" t="s">
        <v>314</v>
      </c>
      <c r="D71" s="34"/>
      <c r="E71" s="25" t="n">
        <v>45057</v>
      </c>
      <c r="F71" s="25" t="n">
        <v>45301</v>
      </c>
      <c r="G71" s="26" t="n">
        <v>174</v>
      </c>
      <c r="H71" s="316" t="n">
        <v>160</v>
      </c>
      <c r="I71" s="316" t="n">
        <v>14</v>
      </c>
      <c r="J71" s="52" t="s">
        <v>828</v>
      </c>
      <c r="K71" s="36" t="n">
        <v>60000</v>
      </c>
      <c r="L71" s="36" t="n">
        <v>160800</v>
      </c>
      <c r="M71" s="29" t="n">
        <v>5025</v>
      </c>
      <c r="N71" s="30" t="n">
        <v>40800</v>
      </c>
      <c r="O71" s="30" t="n">
        <v>160800</v>
      </c>
      <c r="P71" s="36" t="n">
        <v>0</v>
      </c>
      <c r="Q71" s="302" t="n">
        <v>45264</v>
      </c>
    </row>
    <row r="72" customFormat="false" ht="26.1" hidden="true" customHeight="false" outlineLevel="0" collapsed="false">
      <c r="A72" s="20" t="n">
        <v>2125</v>
      </c>
      <c r="B72" s="34" t="s">
        <v>829</v>
      </c>
      <c r="C72" s="34" t="s">
        <v>830</v>
      </c>
      <c r="D72" s="34"/>
      <c r="E72" s="25" t="n">
        <v>45091</v>
      </c>
      <c r="F72" s="25" t="n">
        <v>45268</v>
      </c>
      <c r="G72" s="26" t="n">
        <v>127</v>
      </c>
      <c r="H72" s="316" t="n">
        <v>120</v>
      </c>
      <c r="I72" s="316" t="n">
        <v>7</v>
      </c>
      <c r="J72" s="52" t="s">
        <v>831</v>
      </c>
      <c r="K72" s="36" t="n">
        <v>40000</v>
      </c>
      <c r="L72" s="36" t="n">
        <v>80400</v>
      </c>
      <c r="M72" s="29" t="n">
        <v>3350</v>
      </c>
      <c r="N72" s="30" t="n">
        <v>13400</v>
      </c>
      <c r="O72" s="30" t="n">
        <v>80400</v>
      </c>
      <c r="P72" s="36" t="n">
        <v>0</v>
      </c>
      <c r="Q72" s="302" t="n">
        <v>45264</v>
      </c>
    </row>
    <row r="73" customFormat="false" ht="42" hidden="true" customHeight="false" outlineLevel="0" collapsed="false">
      <c r="A73" s="20" t="n">
        <v>2357</v>
      </c>
      <c r="B73" s="34" t="s">
        <v>790</v>
      </c>
      <c r="C73" s="34" t="s">
        <v>750</v>
      </c>
      <c r="D73" s="34"/>
      <c r="E73" s="25" t="n">
        <v>45261</v>
      </c>
      <c r="F73" s="25" t="n">
        <v>45268</v>
      </c>
      <c r="G73" s="26" t="n">
        <v>5</v>
      </c>
      <c r="H73" s="316" t="e">
        <f aca="false">#VALUE!</f>
        <v>#VALUE!</v>
      </c>
      <c r="I73" s="316" t="e">
        <f aca="false">#VALUE!</f>
        <v>#VALUE!</v>
      </c>
      <c r="J73" s="52" t="s">
        <v>751</v>
      </c>
      <c r="K73" s="31" t="n">
        <v>10000</v>
      </c>
      <c r="L73" s="31" t="n">
        <v>13000</v>
      </c>
      <c r="M73" s="29" t="s">
        <v>214</v>
      </c>
      <c r="N73" s="30" t="n">
        <v>13000</v>
      </c>
      <c r="O73" s="30" t="n">
        <v>13000</v>
      </c>
      <c r="P73" s="36" t="n">
        <v>0</v>
      </c>
      <c r="Q73" s="302" t="n">
        <v>45264</v>
      </c>
    </row>
    <row r="74" customFormat="false" ht="34.3" hidden="true" customHeight="false" outlineLevel="0" collapsed="false">
      <c r="A74" s="20" t="n">
        <v>2227</v>
      </c>
      <c r="B74" s="34" t="s">
        <v>444</v>
      </c>
      <c r="C74" s="34" t="s">
        <v>445</v>
      </c>
      <c r="D74" s="34"/>
      <c r="E74" s="25" t="n">
        <v>45163</v>
      </c>
      <c r="F74" s="25" t="n">
        <v>45268</v>
      </c>
      <c r="G74" s="26" t="n">
        <v>75</v>
      </c>
      <c r="H74" s="316" t="n">
        <v>75</v>
      </c>
      <c r="I74" s="316" t="n">
        <v>0</v>
      </c>
      <c r="J74" s="34" t="s">
        <v>832</v>
      </c>
      <c r="K74" s="36" t="n">
        <v>40000</v>
      </c>
      <c r="L74" s="36" t="n">
        <v>90000</v>
      </c>
      <c r="M74" s="29" t="n">
        <v>6000</v>
      </c>
      <c r="N74" s="30" t="n">
        <v>8400</v>
      </c>
      <c r="O74" s="30" t="n">
        <v>90000</v>
      </c>
      <c r="P74" s="36" t="n">
        <v>0</v>
      </c>
      <c r="Q74" s="302" t="n">
        <v>45264</v>
      </c>
    </row>
    <row r="75" customFormat="false" ht="42" hidden="true" customHeight="false" outlineLevel="0" collapsed="false">
      <c r="A75" s="20" t="n">
        <v>2063</v>
      </c>
      <c r="B75" s="34" t="s">
        <v>833</v>
      </c>
      <c r="C75" s="34" t="s">
        <v>834</v>
      </c>
      <c r="D75" s="34"/>
      <c r="E75" s="25" t="n">
        <v>45034</v>
      </c>
      <c r="F75" s="25" t="n">
        <v>45245</v>
      </c>
      <c r="G75" s="26" t="n">
        <v>151</v>
      </c>
      <c r="H75" s="316" t="n">
        <v>140</v>
      </c>
      <c r="I75" s="316" t="n">
        <v>11</v>
      </c>
      <c r="J75" s="52" t="s">
        <v>835</v>
      </c>
      <c r="K75" s="31" t="n">
        <v>31500</v>
      </c>
      <c r="L75" s="31" t="n">
        <v>84560</v>
      </c>
      <c r="M75" s="37" t="n">
        <v>3020</v>
      </c>
      <c r="N75" s="30" t="n">
        <v>2365</v>
      </c>
      <c r="O75" s="30" t="n">
        <v>84560</v>
      </c>
      <c r="P75" s="36" t="n">
        <v>0</v>
      </c>
      <c r="Q75" s="302" t="n">
        <v>45264</v>
      </c>
    </row>
    <row r="76" customFormat="false" ht="26.1" hidden="true" customHeight="false" outlineLevel="0" collapsed="false">
      <c r="A76" s="20" t="n">
        <v>2176</v>
      </c>
      <c r="B76" s="34" t="s">
        <v>752</v>
      </c>
      <c r="C76" s="34" t="s">
        <v>753</v>
      </c>
      <c r="D76" s="34"/>
      <c r="E76" s="25" t="n">
        <v>45132</v>
      </c>
      <c r="F76" s="25" t="n">
        <v>45232</v>
      </c>
      <c r="G76" s="26" t="n">
        <v>72</v>
      </c>
      <c r="H76" s="316" t="n">
        <v>72</v>
      </c>
      <c r="I76" s="316" t="n">
        <v>0</v>
      </c>
      <c r="J76" s="34" t="s">
        <v>749</v>
      </c>
      <c r="K76" s="36" t="n">
        <v>40000</v>
      </c>
      <c r="L76" s="36" t="n">
        <v>86400</v>
      </c>
      <c r="M76" s="29" t="n">
        <v>6000</v>
      </c>
      <c r="N76" s="30" t="n">
        <v>2400</v>
      </c>
      <c r="O76" s="30" t="n">
        <v>86400</v>
      </c>
      <c r="P76" s="36" t="n">
        <v>0</v>
      </c>
      <c r="Q76" s="302" t="n">
        <v>45264</v>
      </c>
    </row>
    <row r="77" customFormat="false" ht="26.1" hidden="true" customHeight="false" outlineLevel="0" collapsed="false">
      <c r="A77" s="20" t="n">
        <v>2328</v>
      </c>
      <c r="B77" s="34" t="s">
        <v>754</v>
      </c>
      <c r="C77" s="34" t="s">
        <v>755</v>
      </c>
      <c r="D77" s="34"/>
      <c r="E77" s="25" t="n">
        <v>45237</v>
      </c>
      <c r="F77" s="25" t="n">
        <v>45260</v>
      </c>
      <c r="G77" s="26" t="n">
        <v>17</v>
      </c>
      <c r="H77" s="316" t="e">
        <f aca="false">#DIV/0!</f>
        <v>#DIV/0!</v>
      </c>
      <c r="I77" s="316" t="e">
        <f aca="false">#DIV/0!</f>
        <v>#DIV/0!</v>
      </c>
      <c r="J77" s="52" t="s">
        <v>751</v>
      </c>
      <c r="K77" s="36" t="n">
        <v>35000</v>
      </c>
      <c r="L77" s="36" t="n">
        <v>52500</v>
      </c>
      <c r="M77" s="29"/>
      <c r="N77" s="30" t="n">
        <v>35000</v>
      </c>
      <c r="O77" s="30" t="n">
        <v>52500</v>
      </c>
      <c r="P77" s="36" t="n">
        <v>0</v>
      </c>
      <c r="Q77" s="302" t="n">
        <v>45264</v>
      </c>
    </row>
    <row r="78" customFormat="false" ht="26.1" hidden="true" customHeight="false" outlineLevel="0" collapsed="false">
      <c r="A78" s="20" t="n">
        <v>2332</v>
      </c>
      <c r="B78" s="34" t="s">
        <v>806</v>
      </c>
      <c r="C78" s="34" t="s">
        <v>759</v>
      </c>
      <c r="D78" s="34" t="s">
        <v>807</v>
      </c>
      <c r="E78" s="25" t="n">
        <v>45239</v>
      </c>
      <c r="F78" s="25" t="n">
        <v>45267</v>
      </c>
      <c r="G78" s="26" t="n">
        <v>20</v>
      </c>
      <c r="H78" s="316" t="e">
        <f aca="false">#DIV/0!</f>
        <v>#DIV/0!</v>
      </c>
      <c r="I78" s="316" t="e">
        <f aca="false">#DIV/0!</f>
        <v>#DIV/0!</v>
      </c>
      <c r="J78" s="52" t="s">
        <v>751</v>
      </c>
      <c r="K78" s="31" t="n">
        <v>20000</v>
      </c>
      <c r="L78" s="31" t="n">
        <v>32000</v>
      </c>
      <c r="M78" s="37"/>
      <c r="N78" s="30" t="n">
        <v>32000</v>
      </c>
      <c r="O78" s="30" t="n">
        <v>32000</v>
      </c>
      <c r="P78" s="36" t="n">
        <v>0</v>
      </c>
      <c r="Q78" s="302" t="n">
        <v>45264</v>
      </c>
    </row>
    <row r="79" customFormat="false" ht="34.3" hidden="true" customHeight="false" outlineLevel="0" collapsed="false">
      <c r="A79" s="20" t="n">
        <v>2121</v>
      </c>
      <c r="B79" s="34" t="s">
        <v>779</v>
      </c>
      <c r="C79" s="34"/>
      <c r="D79" s="34"/>
      <c r="E79" s="25" t="n">
        <v>45089</v>
      </c>
      <c r="F79" s="25" t="n">
        <v>45268</v>
      </c>
      <c r="G79" s="26" t="n">
        <v>129</v>
      </c>
      <c r="H79" s="316" t="n">
        <v>120</v>
      </c>
      <c r="I79" s="316" t="n">
        <v>9</v>
      </c>
      <c r="J79" s="52" t="s">
        <v>836</v>
      </c>
      <c r="K79" s="31" t="n">
        <v>25000</v>
      </c>
      <c r="L79" s="31" t="n">
        <v>50400</v>
      </c>
      <c r="M79" s="37" t="n">
        <v>2100</v>
      </c>
      <c r="N79" s="30" t="n">
        <v>8400</v>
      </c>
      <c r="O79" s="30" t="n">
        <v>50400</v>
      </c>
      <c r="P79" s="36" t="n">
        <v>0</v>
      </c>
      <c r="Q79" s="302" t="n">
        <v>45264</v>
      </c>
    </row>
    <row r="80" customFormat="false" ht="26.1" hidden="true" customHeight="false" outlineLevel="0" collapsed="false">
      <c r="A80" s="310" t="n">
        <v>2161</v>
      </c>
      <c r="B80" s="34" t="s">
        <v>519</v>
      </c>
      <c r="C80" s="34" t="s">
        <v>520</v>
      </c>
      <c r="D80" s="34"/>
      <c r="E80" s="25" t="n">
        <v>45122</v>
      </c>
      <c r="F80" s="25" t="n">
        <v>45223</v>
      </c>
      <c r="G80" s="26" t="n">
        <v>72</v>
      </c>
      <c r="H80" s="316" t="n">
        <v>72</v>
      </c>
      <c r="I80" s="316" t="n">
        <v>0</v>
      </c>
      <c r="J80" s="34" t="s">
        <v>749</v>
      </c>
      <c r="K80" s="36" t="n">
        <v>20000</v>
      </c>
      <c r="L80" s="36" t="n">
        <v>43200</v>
      </c>
      <c r="M80" s="29" t="n">
        <v>3000</v>
      </c>
      <c r="N80" s="30" t="n">
        <v>700</v>
      </c>
      <c r="O80" s="30" t="n">
        <v>43200</v>
      </c>
      <c r="P80" s="36" t="n">
        <v>0</v>
      </c>
      <c r="Q80" s="302" t="n">
        <v>45264</v>
      </c>
    </row>
    <row r="81" customFormat="false" ht="26.1" hidden="true" customHeight="false" outlineLevel="0" collapsed="false">
      <c r="A81" s="20" t="n">
        <v>2191</v>
      </c>
      <c r="B81" s="34" t="s">
        <v>781</v>
      </c>
      <c r="C81" s="34" t="s">
        <v>782</v>
      </c>
      <c r="D81" s="34"/>
      <c r="E81" s="25" t="n">
        <v>45143</v>
      </c>
      <c r="F81" s="25" t="n">
        <v>45268</v>
      </c>
      <c r="G81" s="26" t="n">
        <v>90</v>
      </c>
      <c r="H81" s="316" t="n">
        <v>80</v>
      </c>
      <c r="I81" s="316" t="n">
        <v>10</v>
      </c>
      <c r="J81" s="52" t="s">
        <v>837</v>
      </c>
      <c r="K81" s="36" t="n">
        <v>10000</v>
      </c>
      <c r="L81" s="36" t="n">
        <v>21600</v>
      </c>
      <c r="M81" s="29" t="n">
        <v>1350</v>
      </c>
      <c r="N81" s="30" t="n">
        <v>5400</v>
      </c>
      <c r="O81" s="30" t="n">
        <v>21600</v>
      </c>
      <c r="P81" s="36" t="n">
        <v>0</v>
      </c>
      <c r="Q81" s="302" t="n">
        <v>45264</v>
      </c>
    </row>
    <row r="82" customFormat="false" ht="26.1" hidden="true" customHeight="false" outlineLevel="0" collapsed="false">
      <c r="A82" s="20" t="n">
        <v>2330</v>
      </c>
      <c r="B82" s="34" t="s">
        <v>758</v>
      </c>
      <c r="C82" s="34" t="s">
        <v>759</v>
      </c>
      <c r="D82" s="34"/>
      <c r="E82" s="25" t="n">
        <v>45257</v>
      </c>
      <c r="F82" s="25" t="n">
        <v>45265</v>
      </c>
      <c r="G82" s="26" t="n">
        <v>6</v>
      </c>
      <c r="H82" s="316" t="e">
        <f aca="false">#DIV/0!</f>
        <v>#DIV/0!</v>
      </c>
      <c r="I82" s="316" t="e">
        <f aca="false">#DIV/0!</f>
        <v>#DIV/0!</v>
      </c>
      <c r="J82" s="52" t="s">
        <v>751</v>
      </c>
      <c r="K82" s="36" t="n">
        <v>20000</v>
      </c>
      <c r="L82" s="36" t="n">
        <v>32000</v>
      </c>
      <c r="M82" s="29"/>
      <c r="N82" s="30" t="n">
        <v>32000</v>
      </c>
      <c r="O82" s="30" t="n">
        <v>32000</v>
      </c>
      <c r="P82" s="36" t="n">
        <v>0</v>
      </c>
      <c r="Q82" s="302" t="n">
        <v>45264</v>
      </c>
    </row>
    <row r="83" customFormat="false" ht="26.1" hidden="true" customHeight="false" outlineLevel="0" collapsed="false">
      <c r="A83" s="20" t="n">
        <v>2331</v>
      </c>
      <c r="B83" s="34" t="s">
        <v>760</v>
      </c>
      <c r="C83" s="34" t="s">
        <v>759</v>
      </c>
      <c r="D83" s="34"/>
      <c r="E83" s="25" t="n">
        <v>45239</v>
      </c>
      <c r="F83" s="25" t="n">
        <v>45267</v>
      </c>
      <c r="G83" s="26" t="n">
        <v>20</v>
      </c>
      <c r="H83" s="316" t="e">
        <f aca="false">#DIV/0!</f>
        <v>#DIV/0!</v>
      </c>
      <c r="I83" s="316" t="e">
        <f aca="false">#DIV/0!</f>
        <v>#DIV/0!</v>
      </c>
      <c r="J83" s="52" t="s">
        <v>751</v>
      </c>
      <c r="K83" s="36" t="n">
        <v>10000</v>
      </c>
      <c r="L83" s="36" t="n">
        <v>16000</v>
      </c>
      <c r="M83" s="29"/>
      <c r="N83" s="30" t="n">
        <v>16000</v>
      </c>
      <c r="O83" s="30" t="n">
        <v>16000</v>
      </c>
      <c r="P83" s="36" t="n">
        <v>0</v>
      </c>
      <c r="Q83" s="302" t="n">
        <v>45264</v>
      </c>
    </row>
    <row r="84" customFormat="false" ht="17.9" hidden="true" customHeight="false" outlineLevel="0" collapsed="false">
      <c r="A84" s="20" t="n">
        <v>2229</v>
      </c>
      <c r="B84" s="34" t="s">
        <v>619</v>
      </c>
      <c r="C84" s="34" t="s">
        <v>838</v>
      </c>
      <c r="D84" s="34"/>
      <c r="E84" s="25" t="n">
        <v>45163</v>
      </c>
      <c r="F84" s="25" t="n">
        <v>45268</v>
      </c>
      <c r="G84" s="26" t="n">
        <v>75</v>
      </c>
      <c r="H84" s="316" t="n">
        <v>75</v>
      </c>
      <c r="I84" s="316" t="n">
        <v>0</v>
      </c>
      <c r="J84" s="34" t="s">
        <v>788</v>
      </c>
      <c r="K84" s="31" t="n">
        <v>15000</v>
      </c>
      <c r="L84" s="31" t="n">
        <v>33750</v>
      </c>
      <c r="M84" s="37" t="n">
        <v>2250</v>
      </c>
      <c r="N84" s="30" t="n">
        <v>2200</v>
      </c>
      <c r="O84" s="30" t="n">
        <v>33750</v>
      </c>
      <c r="P84" s="36" t="n">
        <v>0</v>
      </c>
      <c r="Q84" s="302" t="n">
        <v>45264</v>
      </c>
    </row>
    <row r="85" customFormat="false" ht="26.1" hidden="true" customHeight="false" outlineLevel="0" collapsed="false">
      <c r="A85" s="20" t="n">
        <v>2145</v>
      </c>
      <c r="B85" s="34" t="s">
        <v>628</v>
      </c>
      <c r="C85" s="34"/>
      <c r="D85" s="34"/>
      <c r="E85" s="25" t="n">
        <v>45110</v>
      </c>
      <c r="F85" s="25" t="n">
        <v>45264</v>
      </c>
      <c r="G85" s="26" t="n">
        <v>110</v>
      </c>
      <c r="H85" s="316" t="n">
        <v>110</v>
      </c>
      <c r="I85" s="316" t="n">
        <v>0</v>
      </c>
      <c r="J85" s="34" t="s">
        <v>362</v>
      </c>
      <c r="K85" s="31" t="n">
        <v>100000</v>
      </c>
      <c r="L85" s="31" t="n">
        <v>264000</v>
      </c>
      <c r="M85" s="37" t="n">
        <v>12000</v>
      </c>
      <c r="N85" s="30" t="n">
        <v>12000</v>
      </c>
      <c r="O85" s="30" t="n">
        <v>264000</v>
      </c>
      <c r="P85" s="36" t="n">
        <v>0</v>
      </c>
      <c r="Q85" s="302" t="n">
        <v>45264</v>
      </c>
    </row>
    <row r="86" customFormat="false" ht="26.1" hidden="true" customHeight="false" outlineLevel="0" collapsed="false">
      <c r="A86" s="20" t="n">
        <v>2215</v>
      </c>
      <c r="B86" s="34" t="s">
        <v>839</v>
      </c>
      <c r="C86" s="34" t="s">
        <v>292</v>
      </c>
      <c r="D86" s="34"/>
      <c r="E86" s="25" t="n">
        <v>45156</v>
      </c>
      <c r="F86" s="25" t="n">
        <v>45258</v>
      </c>
      <c r="G86" s="26" t="n">
        <v>72</v>
      </c>
      <c r="H86" s="316" t="n">
        <v>72</v>
      </c>
      <c r="I86" s="316" t="n">
        <v>0</v>
      </c>
      <c r="J86" s="34" t="s">
        <v>749</v>
      </c>
      <c r="K86" s="36" t="n">
        <v>20000</v>
      </c>
      <c r="L86" s="36" t="n">
        <v>43200</v>
      </c>
      <c r="M86" s="29" t="n">
        <v>3000</v>
      </c>
      <c r="N86" s="30" t="n">
        <v>1200</v>
      </c>
      <c r="O86" s="30" t="n">
        <v>43200</v>
      </c>
      <c r="P86" s="36" t="n">
        <v>0</v>
      </c>
      <c r="Q86" s="302" t="n">
        <v>45271</v>
      </c>
    </row>
    <row r="87" customFormat="false" ht="34.3" hidden="true" customHeight="false" outlineLevel="0" collapsed="false">
      <c r="A87" s="20" t="n">
        <v>2205</v>
      </c>
      <c r="B87" s="34" t="s">
        <v>307</v>
      </c>
      <c r="C87" s="34" t="s">
        <v>308</v>
      </c>
      <c r="D87" s="34"/>
      <c r="E87" s="25" t="n">
        <v>45152</v>
      </c>
      <c r="F87" s="25" t="n">
        <v>45278</v>
      </c>
      <c r="G87" s="26" t="n">
        <v>90</v>
      </c>
      <c r="H87" s="316" t="n">
        <v>80</v>
      </c>
      <c r="I87" s="316" t="n">
        <v>10</v>
      </c>
      <c r="J87" s="52" t="s">
        <v>840</v>
      </c>
      <c r="K87" s="36" t="n">
        <v>50000</v>
      </c>
      <c r="L87" s="36" t="n">
        <v>108000</v>
      </c>
      <c r="M87" s="29" t="n">
        <v>6750</v>
      </c>
      <c r="N87" s="30" t="n">
        <v>27000</v>
      </c>
      <c r="O87" s="30" t="n">
        <v>108000</v>
      </c>
      <c r="P87" s="36" t="n">
        <v>0</v>
      </c>
      <c r="Q87" s="302" t="n">
        <v>45271</v>
      </c>
    </row>
    <row r="88" customFormat="false" ht="26.1" hidden="true" customHeight="false" outlineLevel="0" collapsed="false">
      <c r="A88" s="20" t="n">
        <v>2077</v>
      </c>
      <c r="B88" s="34" t="s">
        <v>841</v>
      </c>
      <c r="C88" s="34"/>
      <c r="D88" s="34"/>
      <c r="E88" s="25" t="n">
        <v>45044</v>
      </c>
      <c r="F88" s="25" t="n">
        <v>45296</v>
      </c>
      <c r="G88" s="26" t="n">
        <v>180</v>
      </c>
      <c r="H88" s="316" t="n">
        <v>160</v>
      </c>
      <c r="I88" s="316" t="n">
        <v>20</v>
      </c>
      <c r="J88" s="52" t="s">
        <v>842</v>
      </c>
      <c r="K88" s="36" t="n">
        <v>20000</v>
      </c>
      <c r="L88" s="36" t="n">
        <v>58400</v>
      </c>
      <c r="M88" s="29" t="n">
        <v>1825</v>
      </c>
      <c r="N88" s="74" t="n">
        <v>7300</v>
      </c>
      <c r="O88" s="30" t="n">
        <v>58400</v>
      </c>
      <c r="P88" s="36" t="n">
        <v>0</v>
      </c>
      <c r="Q88" s="302" t="n">
        <v>45271</v>
      </c>
    </row>
    <row r="89" customFormat="false" ht="34.3" hidden="true" customHeight="false" outlineLevel="0" collapsed="false">
      <c r="A89" s="20" t="n">
        <v>2175</v>
      </c>
      <c r="B89" s="34" t="s">
        <v>450</v>
      </c>
      <c r="C89" s="34" t="s">
        <v>451</v>
      </c>
      <c r="D89" s="34"/>
      <c r="E89" s="25" t="n">
        <v>45131</v>
      </c>
      <c r="F89" s="25" t="n">
        <v>45231</v>
      </c>
      <c r="G89" s="26" t="n">
        <v>72</v>
      </c>
      <c r="H89" s="316" t="n">
        <v>72</v>
      </c>
      <c r="I89" s="316" t="n">
        <v>0</v>
      </c>
      <c r="J89" s="34" t="s">
        <v>769</v>
      </c>
      <c r="K89" s="36" t="n">
        <v>10000</v>
      </c>
      <c r="L89" s="36" t="n">
        <v>21600</v>
      </c>
      <c r="M89" s="29" t="n">
        <v>1500</v>
      </c>
      <c r="N89" s="30" t="n">
        <v>2100</v>
      </c>
      <c r="O89" s="30" t="n">
        <v>21600</v>
      </c>
      <c r="P89" s="36" t="n">
        <v>0</v>
      </c>
      <c r="Q89" s="302" t="n">
        <v>45271</v>
      </c>
    </row>
    <row r="90" customFormat="false" ht="17.9" hidden="true" customHeight="false" outlineLevel="0" collapsed="false">
      <c r="A90" s="20" t="n">
        <v>2051</v>
      </c>
      <c r="B90" s="34" t="s">
        <v>843</v>
      </c>
      <c r="C90" s="34" t="s">
        <v>844</v>
      </c>
      <c r="D90" s="34"/>
      <c r="E90" s="25" t="n">
        <v>45027</v>
      </c>
      <c r="F90" s="25" t="n">
        <v>45127</v>
      </c>
      <c r="G90" s="26" t="n">
        <v>72</v>
      </c>
      <c r="H90" s="316" t="n">
        <v>72</v>
      </c>
      <c r="I90" s="316" t="n">
        <v>0</v>
      </c>
      <c r="J90" s="34" t="s">
        <v>749</v>
      </c>
      <c r="K90" s="36" t="n">
        <v>20000</v>
      </c>
      <c r="L90" s="36" t="n">
        <v>43200</v>
      </c>
      <c r="M90" s="29" t="n">
        <v>3000</v>
      </c>
      <c r="N90" s="30" t="n">
        <v>4200</v>
      </c>
      <c r="O90" s="30" t="n">
        <v>43200</v>
      </c>
      <c r="P90" s="36" t="n">
        <v>0</v>
      </c>
      <c r="Q90" s="302" t="n">
        <v>45271</v>
      </c>
    </row>
    <row r="91" customFormat="false" ht="17.9" hidden="true" customHeight="false" outlineLevel="0" collapsed="false">
      <c r="A91" s="20" t="n">
        <v>2187</v>
      </c>
      <c r="B91" s="34" t="s">
        <v>461</v>
      </c>
      <c r="C91" s="34"/>
      <c r="D91" s="34"/>
      <c r="E91" s="25" t="n">
        <v>45140</v>
      </c>
      <c r="F91" s="25" t="n">
        <v>45240</v>
      </c>
      <c r="G91" s="26" t="n">
        <v>72</v>
      </c>
      <c r="H91" s="316" t="n">
        <v>72</v>
      </c>
      <c r="I91" s="316" t="n">
        <v>0</v>
      </c>
      <c r="J91" s="34" t="s">
        <v>788</v>
      </c>
      <c r="K91" s="31" t="n">
        <v>15000</v>
      </c>
      <c r="L91" s="31" t="n">
        <v>32400</v>
      </c>
      <c r="M91" s="37" t="n">
        <v>2250</v>
      </c>
      <c r="N91" s="74" t="n">
        <v>900</v>
      </c>
      <c r="O91" s="30" t="n">
        <v>32400</v>
      </c>
      <c r="P91" s="36" t="n">
        <v>0</v>
      </c>
      <c r="Q91" s="302" t="n">
        <v>45271</v>
      </c>
    </row>
    <row r="92" customFormat="false" ht="17.9" hidden="true" customHeight="false" outlineLevel="0" collapsed="false">
      <c r="A92" s="20" t="n">
        <v>2128</v>
      </c>
      <c r="B92" s="34" t="s">
        <v>510</v>
      </c>
      <c r="C92" s="34"/>
      <c r="D92" s="34"/>
      <c r="E92" s="25" t="n">
        <v>45092</v>
      </c>
      <c r="F92" s="25" t="n">
        <v>45271</v>
      </c>
      <c r="G92" s="26" t="n">
        <v>127</v>
      </c>
      <c r="H92" s="316" t="n">
        <v>119.900497512438</v>
      </c>
      <c r="I92" s="316" t="n">
        <v>7.09950248756219</v>
      </c>
      <c r="J92" s="52" t="s">
        <v>845</v>
      </c>
      <c r="K92" s="31" t="n">
        <v>30000</v>
      </c>
      <c r="L92" s="31" t="n">
        <v>60300</v>
      </c>
      <c r="M92" s="29" t="n">
        <v>2512.5</v>
      </c>
      <c r="N92" s="74" t="n">
        <v>10050</v>
      </c>
      <c r="O92" s="30" t="n">
        <v>60250</v>
      </c>
      <c r="P92" s="36" t="n">
        <v>50</v>
      </c>
      <c r="Q92" s="302" t="n">
        <v>45271</v>
      </c>
    </row>
    <row r="93" customFormat="false" ht="34.3" hidden="true" customHeight="false" outlineLevel="0" collapsed="false">
      <c r="A93" s="20" t="n">
        <v>2113</v>
      </c>
      <c r="B93" s="34" t="s">
        <v>522</v>
      </c>
      <c r="C93" s="34" t="s">
        <v>523</v>
      </c>
      <c r="D93" s="34"/>
      <c r="E93" s="25" t="n">
        <v>45083</v>
      </c>
      <c r="F93" s="25" t="n">
        <v>45265</v>
      </c>
      <c r="G93" s="26" t="n">
        <v>130</v>
      </c>
      <c r="H93" s="316" t="n">
        <v>130</v>
      </c>
      <c r="I93" s="316" t="n">
        <v>0</v>
      </c>
      <c r="J93" s="34" t="s">
        <v>846</v>
      </c>
      <c r="K93" s="31" t="n">
        <v>100000</v>
      </c>
      <c r="L93" s="31" t="n">
        <v>260000</v>
      </c>
      <c r="M93" s="37" t="n">
        <v>10000</v>
      </c>
      <c r="N93" s="30" t="n">
        <v>10000</v>
      </c>
      <c r="O93" s="30" t="n">
        <v>260000</v>
      </c>
      <c r="P93" s="36" t="n">
        <v>0</v>
      </c>
      <c r="Q93" s="302" t="n">
        <v>45271</v>
      </c>
    </row>
    <row r="94" customFormat="false" ht="17.9" hidden="true" customHeight="false" outlineLevel="0" collapsed="false">
      <c r="A94" s="20" t="n">
        <v>1951</v>
      </c>
      <c r="B94" s="34" t="s">
        <v>634</v>
      </c>
      <c r="C94" s="34" t="s">
        <v>847</v>
      </c>
      <c r="D94" s="34"/>
      <c r="E94" s="25" t="n">
        <v>44942</v>
      </c>
      <c r="F94" s="25" t="n">
        <v>45096</v>
      </c>
      <c r="G94" s="26" t="n">
        <v>110</v>
      </c>
      <c r="H94" s="316" t="n">
        <v>114.807692307692</v>
      </c>
      <c r="I94" s="316" t="n">
        <v>-4.80769230769231</v>
      </c>
      <c r="J94" s="34" t="s">
        <v>848</v>
      </c>
      <c r="K94" s="31" t="n">
        <v>65000</v>
      </c>
      <c r="L94" s="31" t="n">
        <v>171600</v>
      </c>
      <c r="M94" s="37" t="n">
        <v>7800</v>
      </c>
      <c r="N94" s="30" t="n">
        <v>10000</v>
      </c>
      <c r="O94" s="30" t="n">
        <v>179100</v>
      </c>
      <c r="P94" s="36" t="n">
        <v>-7500</v>
      </c>
      <c r="Q94" s="302" t="n">
        <v>45271</v>
      </c>
    </row>
    <row r="95" customFormat="false" ht="17.9" hidden="true" customHeight="false" outlineLevel="0" collapsed="false">
      <c r="A95" s="20" t="n">
        <v>2220</v>
      </c>
      <c r="B95" s="34" t="s">
        <v>634</v>
      </c>
      <c r="C95" s="34" t="s">
        <v>849</v>
      </c>
      <c r="D95" s="34"/>
      <c r="E95" s="25" t="n">
        <v>45160</v>
      </c>
      <c r="F95" s="25" t="n">
        <v>45209</v>
      </c>
      <c r="G95" s="26" t="n">
        <v>35</v>
      </c>
      <c r="H95" s="316" t="n">
        <v>45.6</v>
      </c>
      <c r="I95" s="316" t="n">
        <v>-10.6</v>
      </c>
      <c r="J95" s="34" t="s">
        <v>850</v>
      </c>
      <c r="K95" s="31" t="n">
        <v>20000</v>
      </c>
      <c r="L95" s="31" t="n">
        <v>40000</v>
      </c>
      <c r="M95" s="29" t="n">
        <v>5000</v>
      </c>
      <c r="N95" s="30" t="n">
        <v>7800</v>
      </c>
      <c r="O95" s="30" t="n">
        <v>45600</v>
      </c>
      <c r="P95" s="36" t="n">
        <v>-5600</v>
      </c>
      <c r="Q95" s="302" t="n">
        <v>45271</v>
      </c>
    </row>
    <row r="96" customFormat="false" ht="26.1" hidden="true" customHeight="false" outlineLevel="0" collapsed="false">
      <c r="A96" s="20" t="n">
        <v>2222</v>
      </c>
      <c r="B96" s="34" t="s">
        <v>636</v>
      </c>
      <c r="C96" s="34" t="s">
        <v>637</v>
      </c>
      <c r="D96" s="34"/>
      <c r="E96" s="25" t="n">
        <v>45161</v>
      </c>
      <c r="F96" s="25" t="n">
        <v>45315</v>
      </c>
      <c r="G96" s="26" t="n">
        <v>110</v>
      </c>
      <c r="H96" s="316" t="n">
        <v>110</v>
      </c>
      <c r="I96" s="316" t="n">
        <v>0</v>
      </c>
      <c r="J96" s="34" t="s">
        <v>851</v>
      </c>
      <c r="K96" s="31" t="n">
        <v>20000</v>
      </c>
      <c r="L96" s="31" t="n">
        <v>52800</v>
      </c>
      <c r="M96" s="37" t="n">
        <v>2400</v>
      </c>
      <c r="N96" s="30" t="n">
        <v>19200</v>
      </c>
      <c r="O96" s="30" t="n">
        <v>52800</v>
      </c>
      <c r="P96" s="36" t="n">
        <v>0</v>
      </c>
      <c r="Q96" s="302" t="n">
        <v>45271</v>
      </c>
    </row>
    <row r="97" customFormat="false" ht="26.1" hidden="true" customHeight="false" outlineLevel="0" collapsed="false">
      <c r="A97" s="20" t="n">
        <v>2272</v>
      </c>
      <c r="B97" s="34" t="s">
        <v>636</v>
      </c>
      <c r="C97" s="34" t="s">
        <v>637</v>
      </c>
      <c r="D97" s="34"/>
      <c r="E97" s="25" t="n">
        <v>45198</v>
      </c>
      <c r="F97" s="25" t="n">
        <v>45352</v>
      </c>
      <c r="G97" s="26" t="n">
        <v>110</v>
      </c>
      <c r="H97" s="316" t="n">
        <v>110</v>
      </c>
      <c r="I97" s="316" t="n">
        <v>0</v>
      </c>
      <c r="J97" s="34" t="s">
        <v>803</v>
      </c>
      <c r="K97" s="31" t="n">
        <v>30000</v>
      </c>
      <c r="L97" s="31" t="n">
        <v>79200</v>
      </c>
      <c r="M97" s="37" t="n">
        <v>3600</v>
      </c>
      <c r="N97" s="30" t="n">
        <v>44400</v>
      </c>
      <c r="O97" s="30" t="n">
        <v>79200</v>
      </c>
      <c r="P97" s="31" t="n">
        <v>0</v>
      </c>
      <c r="Q97" s="302" t="n">
        <v>45271</v>
      </c>
    </row>
    <row r="98" customFormat="false" ht="17.9" hidden="true" customHeight="false" outlineLevel="0" collapsed="false">
      <c r="A98" s="20" t="n">
        <v>2232</v>
      </c>
      <c r="B98" s="34" t="s">
        <v>852</v>
      </c>
      <c r="C98" s="34" t="s">
        <v>853</v>
      </c>
      <c r="D98" s="34"/>
      <c r="E98" s="25" t="n">
        <v>45169</v>
      </c>
      <c r="F98" s="25" t="n">
        <v>45271</v>
      </c>
      <c r="G98" s="26" t="n">
        <v>72</v>
      </c>
      <c r="H98" s="316" t="n">
        <v>72</v>
      </c>
      <c r="I98" s="316" t="n">
        <v>0</v>
      </c>
      <c r="J98" s="34" t="s">
        <v>266</v>
      </c>
      <c r="K98" s="31" t="n">
        <v>100000</v>
      </c>
      <c r="L98" s="31" t="n">
        <v>216000</v>
      </c>
      <c r="M98" s="37" t="n">
        <v>15000</v>
      </c>
      <c r="N98" s="74" t="n">
        <v>16000</v>
      </c>
      <c r="O98" s="30" t="n">
        <v>216000</v>
      </c>
      <c r="P98" s="31" t="n">
        <v>0</v>
      </c>
      <c r="Q98" s="302" t="n">
        <v>45278</v>
      </c>
    </row>
    <row r="99" customFormat="false" ht="34.3" hidden="true" customHeight="false" outlineLevel="0" collapsed="false">
      <c r="A99" s="20" t="n">
        <v>2345</v>
      </c>
      <c r="B99" s="34" t="s">
        <v>811</v>
      </c>
      <c r="C99" s="34" t="s">
        <v>486</v>
      </c>
      <c r="D99" s="34"/>
      <c r="E99" s="25" t="n">
        <v>45254</v>
      </c>
      <c r="F99" s="25" t="n">
        <v>45296</v>
      </c>
      <c r="G99" s="26" t="n">
        <v>30</v>
      </c>
      <c r="H99" s="316" t="e">
        <f aca="false">#DIV/0!</f>
        <v>#DIV/0!</v>
      </c>
      <c r="I99" s="316" t="e">
        <f aca="false">#DIV/0!</f>
        <v>#DIV/0!</v>
      </c>
      <c r="J99" s="52" t="s">
        <v>854</v>
      </c>
      <c r="K99" s="31" t="n">
        <v>15000</v>
      </c>
      <c r="L99" s="31" t="n">
        <v>25500</v>
      </c>
      <c r="M99" s="37"/>
      <c r="N99" s="30" t="n">
        <v>8500</v>
      </c>
      <c r="O99" s="30" t="n">
        <v>25500</v>
      </c>
      <c r="P99" s="31" t="n">
        <v>0</v>
      </c>
      <c r="Q99" s="302" t="n">
        <v>45278</v>
      </c>
    </row>
    <row r="100" customFormat="false" ht="34.3" hidden="true" customHeight="false" outlineLevel="0" collapsed="false">
      <c r="A100" s="20" t="n">
        <v>2366</v>
      </c>
      <c r="B100" s="34" t="s">
        <v>822</v>
      </c>
      <c r="C100" s="34" t="s">
        <v>451</v>
      </c>
      <c r="D100" s="34"/>
      <c r="E100" s="25" t="n">
        <v>45268</v>
      </c>
      <c r="F100" s="25" t="n">
        <v>45275</v>
      </c>
      <c r="G100" s="26" t="n">
        <v>5</v>
      </c>
      <c r="H100" s="316" t="e">
        <f aca="false">#DIV/0!</f>
        <v>#DIV/0!</v>
      </c>
      <c r="I100" s="316" t="e">
        <f aca="false">#DIV/0!</f>
        <v>#DIV/0!</v>
      </c>
      <c r="J100" s="52" t="s">
        <v>751</v>
      </c>
      <c r="K100" s="31" t="n">
        <v>10000</v>
      </c>
      <c r="L100" s="31" t="n">
        <v>13000</v>
      </c>
      <c r="M100" s="37"/>
      <c r="N100" s="30" t="n">
        <v>13000</v>
      </c>
      <c r="O100" s="30" t="n">
        <v>13000</v>
      </c>
      <c r="P100" s="31" t="n">
        <v>0</v>
      </c>
      <c r="Q100" s="302" t="n">
        <v>45278</v>
      </c>
    </row>
    <row r="101" customFormat="false" ht="26.1" hidden="true" customHeight="false" outlineLevel="0" collapsed="false">
      <c r="A101" s="20" t="n">
        <v>2152</v>
      </c>
      <c r="B101" s="34" t="s">
        <v>345</v>
      </c>
      <c r="C101" s="34" t="s">
        <v>346</v>
      </c>
      <c r="D101" s="34" t="n">
        <v>27212523</v>
      </c>
      <c r="E101" s="25" t="n">
        <v>45115</v>
      </c>
      <c r="F101" s="25" t="n">
        <v>45216</v>
      </c>
      <c r="G101" s="26" t="n">
        <v>72</v>
      </c>
      <c r="H101" s="316" t="n">
        <v>75</v>
      </c>
      <c r="I101" s="316" t="n">
        <v>-3</v>
      </c>
      <c r="J101" s="34" t="s">
        <v>627</v>
      </c>
      <c r="K101" s="31" t="n">
        <v>40000</v>
      </c>
      <c r="L101" s="31" t="n">
        <v>86400</v>
      </c>
      <c r="M101" s="29" t="n">
        <v>6000</v>
      </c>
      <c r="N101" s="30" t="n">
        <v>6000</v>
      </c>
      <c r="O101" s="30" t="n">
        <v>90000</v>
      </c>
      <c r="P101" s="36" t="n">
        <v>-3600</v>
      </c>
      <c r="Q101" s="302" t="n">
        <v>45278</v>
      </c>
    </row>
    <row r="102" customFormat="false" ht="42" hidden="true" customHeight="false" outlineLevel="0" collapsed="false">
      <c r="A102" s="20" t="n">
        <v>2070</v>
      </c>
      <c r="B102" s="34" t="s">
        <v>396</v>
      </c>
      <c r="C102" s="34" t="s">
        <v>397</v>
      </c>
      <c r="D102" s="34"/>
      <c r="E102" s="25" t="n">
        <v>45037</v>
      </c>
      <c r="F102" s="25" t="n">
        <v>45275</v>
      </c>
      <c r="G102" s="26" t="n">
        <v>170</v>
      </c>
      <c r="H102" s="316" t="n">
        <v>160</v>
      </c>
      <c r="I102" s="316" t="n">
        <v>10</v>
      </c>
      <c r="J102" s="52" t="s">
        <v>855</v>
      </c>
      <c r="K102" s="36" t="n">
        <v>50000</v>
      </c>
      <c r="L102" s="36" t="n">
        <v>132000</v>
      </c>
      <c r="M102" s="29" t="n">
        <v>4125</v>
      </c>
      <c r="N102" s="30" t="n">
        <v>17000</v>
      </c>
      <c r="O102" s="30" t="n">
        <v>132000</v>
      </c>
      <c r="P102" s="36" t="n">
        <v>0</v>
      </c>
      <c r="Q102" s="302" t="n">
        <v>45278</v>
      </c>
    </row>
    <row r="103" customFormat="false" ht="42" hidden="true" customHeight="false" outlineLevel="0" collapsed="false">
      <c r="A103" s="20" t="n">
        <v>2375</v>
      </c>
      <c r="B103" s="34" t="s">
        <v>790</v>
      </c>
      <c r="C103" s="34" t="s">
        <v>750</v>
      </c>
      <c r="D103" s="34"/>
      <c r="E103" s="25" t="n">
        <v>45275</v>
      </c>
      <c r="F103" s="25" t="n">
        <v>45282</v>
      </c>
      <c r="G103" s="26" t="n">
        <v>5</v>
      </c>
      <c r="H103" s="316" t="e">
        <f aca="false">#VALUE!</f>
        <v>#VALUE!</v>
      </c>
      <c r="I103" s="316" t="e">
        <f aca="false">#VALUE!</f>
        <v>#VALUE!</v>
      </c>
      <c r="J103" s="52" t="s">
        <v>751</v>
      </c>
      <c r="K103" s="36" t="n">
        <v>20000</v>
      </c>
      <c r="L103" s="36" t="n">
        <v>26000</v>
      </c>
      <c r="M103" s="29" t="s">
        <v>214</v>
      </c>
      <c r="N103" s="30" t="n">
        <v>26000</v>
      </c>
      <c r="O103" s="30" t="n">
        <v>26000</v>
      </c>
      <c r="P103" s="36" t="n">
        <v>0</v>
      </c>
      <c r="Q103" s="302" t="n">
        <v>45278</v>
      </c>
    </row>
    <row r="104" customFormat="false" ht="34.3" hidden="true" customHeight="false" outlineLevel="0" collapsed="false">
      <c r="A104" s="20" t="n">
        <v>2142</v>
      </c>
      <c r="B104" s="34" t="s">
        <v>789</v>
      </c>
      <c r="C104" s="34" t="s">
        <v>495</v>
      </c>
      <c r="D104" s="34"/>
      <c r="E104" s="25" t="n">
        <v>45108</v>
      </c>
      <c r="F104" s="25" t="n">
        <v>45275</v>
      </c>
      <c r="G104" s="26" t="n">
        <v>120</v>
      </c>
      <c r="H104" s="316" t="n">
        <v>120</v>
      </c>
      <c r="I104" s="316" t="n">
        <v>0</v>
      </c>
      <c r="J104" s="34" t="s">
        <v>856</v>
      </c>
      <c r="K104" s="36" t="n">
        <v>40000</v>
      </c>
      <c r="L104" s="36" t="n">
        <v>105600</v>
      </c>
      <c r="M104" s="29" t="n">
        <v>4400</v>
      </c>
      <c r="N104" s="30" t="n">
        <v>8800</v>
      </c>
      <c r="O104" s="30" t="n">
        <v>105600</v>
      </c>
      <c r="P104" s="36" t="n">
        <v>0</v>
      </c>
      <c r="Q104" s="302" t="n">
        <v>45278</v>
      </c>
    </row>
    <row r="105" customFormat="false" ht="17.9" hidden="true" customHeight="false" outlineLevel="0" collapsed="false">
      <c r="A105" s="20" t="n">
        <v>2246</v>
      </c>
      <c r="B105" s="34" t="s">
        <v>581</v>
      </c>
      <c r="C105" s="34" t="s">
        <v>582</v>
      </c>
      <c r="D105" s="34"/>
      <c r="E105" s="25" t="n">
        <v>45180</v>
      </c>
      <c r="F105" s="25" t="n">
        <v>45280</v>
      </c>
      <c r="G105" s="26" t="n">
        <v>72</v>
      </c>
      <c r="H105" s="316" t="n">
        <v>72</v>
      </c>
      <c r="I105" s="316" t="n">
        <v>0</v>
      </c>
      <c r="J105" s="34" t="s">
        <v>749</v>
      </c>
      <c r="K105" s="31" t="n">
        <v>20000</v>
      </c>
      <c r="L105" s="31" t="n">
        <v>43200</v>
      </c>
      <c r="M105" s="37" t="n">
        <v>3000</v>
      </c>
      <c r="N105" s="30" t="n">
        <v>4200</v>
      </c>
      <c r="O105" s="30" t="n">
        <v>43200</v>
      </c>
      <c r="P105" s="36" t="n">
        <v>0</v>
      </c>
      <c r="Q105" s="302" t="n">
        <v>45278</v>
      </c>
    </row>
    <row r="106" customFormat="false" ht="34.3" hidden="true" customHeight="false" outlineLevel="0" collapsed="false">
      <c r="A106" s="20" t="n">
        <v>2069</v>
      </c>
      <c r="B106" s="34" t="s">
        <v>857</v>
      </c>
      <c r="C106" s="34" t="s">
        <v>594</v>
      </c>
      <c r="D106" s="34"/>
      <c r="E106" s="25" t="n">
        <v>45037</v>
      </c>
      <c r="F106" s="25" t="n">
        <v>45139</v>
      </c>
      <c r="G106" s="26" t="n">
        <v>72</v>
      </c>
      <c r="H106" s="316" t="n">
        <v>75</v>
      </c>
      <c r="I106" s="316" t="n">
        <v>-3</v>
      </c>
      <c r="J106" s="34" t="s">
        <v>749</v>
      </c>
      <c r="K106" s="36" t="n">
        <v>20000</v>
      </c>
      <c r="L106" s="31" t="n">
        <v>43200</v>
      </c>
      <c r="M106" s="37" t="n">
        <v>3000</v>
      </c>
      <c r="N106" s="30" t="n">
        <v>2500</v>
      </c>
      <c r="O106" s="30" t="n">
        <v>45000</v>
      </c>
      <c r="P106" s="36" t="n">
        <v>-1800</v>
      </c>
      <c r="Q106" s="302" t="n">
        <v>45278</v>
      </c>
    </row>
    <row r="107" customFormat="false" ht="42" hidden="true" customHeight="false" outlineLevel="0" collapsed="false">
      <c r="A107" s="20" t="n">
        <v>2260</v>
      </c>
      <c r="B107" s="34" t="s">
        <v>227</v>
      </c>
      <c r="C107" s="34" t="s">
        <v>228</v>
      </c>
      <c r="D107" s="34"/>
      <c r="E107" s="25" t="n">
        <v>45190</v>
      </c>
      <c r="F107" s="25" t="n">
        <v>45292</v>
      </c>
      <c r="G107" s="26" t="n">
        <v>72</v>
      </c>
      <c r="H107" s="316" t="n">
        <v>72</v>
      </c>
      <c r="I107" s="316" t="n">
        <v>0</v>
      </c>
      <c r="J107" s="34" t="s">
        <v>452</v>
      </c>
      <c r="K107" s="31" t="n">
        <v>30000</v>
      </c>
      <c r="L107" s="31" t="n">
        <v>64800</v>
      </c>
      <c r="M107" s="29" t="n">
        <v>4500</v>
      </c>
      <c r="N107" s="30" t="n">
        <v>6300</v>
      </c>
      <c r="O107" s="30" t="n">
        <v>64800</v>
      </c>
      <c r="P107" s="36" t="n">
        <v>0</v>
      </c>
      <c r="Q107" s="302" t="n">
        <v>45285</v>
      </c>
    </row>
    <row r="108" customFormat="false" ht="26.1" hidden="true" customHeight="false" outlineLevel="0" collapsed="false">
      <c r="A108" s="20" t="n">
        <v>2203</v>
      </c>
      <c r="B108" s="34" t="s">
        <v>416</v>
      </c>
      <c r="C108" s="34" t="s">
        <v>417</v>
      </c>
      <c r="D108" s="34" t="n">
        <v>13589728</v>
      </c>
      <c r="E108" s="25" t="n">
        <v>45139</v>
      </c>
      <c r="F108" s="25" t="n">
        <v>45350</v>
      </c>
      <c r="G108" s="26" t="n">
        <v>151</v>
      </c>
      <c r="H108" s="316" t="n">
        <v>140</v>
      </c>
      <c r="I108" s="316" t="n">
        <v>11</v>
      </c>
      <c r="J108" s="52" t="s">
        <v>858</v>
      </c>
      <c r="K108" s="31" t="n">
        <v>50000</v>
      </c>
      <c r="L108" s="31" t="n">
        <v>132300</v>
      </c>
      <c r="M108" s="37" t="n">
        <v>4725</v>
      </c>
      <c r="N108" s="30" t="n">
        <v>51000</v>
      </c>
      <c r="O108" s="30" t="n">
        <v>132300</v>
      </c>
      <c r="P108" s="36" t="n">
        <v>0</v>
      </c>
      <c r="Q108" s="302" t="n">
        <v>45285</v>
      </c>
    </row>
    <row r="109" customFormat="false" ht="26.1" hidden="true" customHeight="false" outlineLevel="0" collapsed="false">
      <c r="A109" s="20" t="n">
        <v>2248</v>
      </c>
      <c r="B109" s="34" t="s">
        <v>475</v>
      </c>
      <c r="C109" s="34" t="s">
        <v>859</v>
      </c>
      <c r="D109" s="34"/>
      <c r="E109" s="25" t="n">
        <v>45181</v>
      </c>
      <c r="F109" s="25" t="n">
        <v>45281</v>
      </c>
      <c r="G109" s="26" t="n">
        <v>72</v>
      </c>
      <c r="H109" s="316" t="n">
        <v>72</v>
      </c>
      <c r="I109" s="316" t="n">
        <v>0</v>
      </c>
      <c r="J109" s="34" t="s">
        <v>381</v>
      </c>
      <c r="K109" s="36" t="n">
        <v>50000</v>
      </c>
      <c r="L109" s="36" t="n">
        <v>108000</v>
      </c>
      <c r="M109" s="29" t="n">
        <v>7500</v>
      </c>
      <c r="N109" s="30" t="n">
        <v>7500</v>
      </c>
      <c r="O109" s="30" t="n">
        <v>108000</v>
      </c>
      <c r="P109" s="36" t="n">
        <v>0</v>
      </c>
      <c r="Q109" s="302" t="n">
        <v>45285</v>
      </c>
    </row>
    <row r="110" customFormat="false" ht="34.3" hidden="true" customHeight="false" outlineLevel="0" collapsed="false">
      <c r="A110" s="20" t="n">
        <v>2388</v>
      </c>
      <c r="B110" s="34" t="s">
        <v>822</v>
      </c>
      <c r="C110" s="34" t="s">
        <v>451</v>
      </c>
      <c r="D110" s="34"/>
      <c r="E110" s="25" t="n">
        <v>45282</v>
      </c>
      <c r="F110" s="25" t="n">
        <v>45289</v>
      </c>
      <c r="G110" s="26" t="n">
        <v>5</v>
      </c>
      <c r="H110" s="316" t="e">
        <f aca="false">#DIV/0!</f>
        <v>#DIV/0!</v>
      </c>
      <c r="I110" s="316" t="e">
        <f aca="false">#DIV/0!</f>
        <v>#DIV/0!</v>
      </c>
      <c r="J110" s="52" t="s">
        <v>751</v>
      </c>
      <c r="K110" s="31" t="n">
        <v>25000</v>
      </c>
      <c r="L110" s="31" t="n">
        <v>32000</v>
      </c>
      <c r="M110" s="37"/>
      <c r="N110" s="30" t="n">
        <v>37000</v>
      </c>
      <c r="O110" s="30" t="n">
        <v>37000</v>
      </c>
      <c r="P110" s="31" t="n">
        <v>-5000</v>
      </c>
      <c r="Q110" s="302" t="n">
        <v>45292</v>
      </c>
    </row>
    <row r="111" customFormat="false" ht="17.9" hidden="true" customHeight="false" outlineLevel="0" collapsed="false">
      <c r="A111" s="20" t="n">
        <v>2011</v>
      </c>
      <c r="B111" s="34" t="s">
        <v>276</v>
      </c>
      <c r="C111" s="34" t="s">
        <v>277</v>
      </c>
      <c r="D111" s="34"/>
      <c r="E111" s="25" t="n">
        <v>45178</v>
      </c>
      <c r="F111" s="25" t="n">
        <v>45471</v>
      </c>
      <c r="G111" s="26" t="n">
        <v>210</v>
      </c>
      <c r="H111" s="316" t="n">
        <v>200</v>
      </c>
      <c r="I111" s="316" t="n">
        <v>10</v>
      </c>
      <c r="J111" s="68" t="s">
        <v>860</v>
      </c>
      <c r="K111" s="36" t="n">
        <v>200000</v>
      </c>
      <c r="L111" s="36" t="n">
        <v>500000</v>
      </c>
      <c r="M111" s="29" t="n">
        <v>12500</v>
      </c>
      <c r="N111" s="30" t="n">
        <v>25000</v>
      </c>
      <c r="O111" s="30" t="n">
        <v>500000</v>
      </c>
      <c r="P111" s="36" t="n">
        <v>0</v>
      </c>
      <c r="Q111" s="302" t="n">
        <v>45292</v>
      </c>
    </row>
    <row r="112" customFormat="false" ht="50.7" hidden="true" customHeight="false" outlineLevel="0" collapsed="false">
      <c r="A112" s="20" t="n">
        <v>2247</v>
      </c>
      <c r="B112" s="34" t="s">
        <v>310</v>
      </c>
      <c r="C112" s="34" t="s">
        <v>311</v>
      </c>
      <c r="D112" s="34"/>
      <c r="E112" s="25" t="n">
        <v>45181</v>
      </c>
      <c r="F112" s="25" t="n">
        <v>45281</v>
      </c>
      <c r="G112" s="26" t="n">
        <v>72</v>
      </c>
      <c r="H112" s="316" t="n">
        <v>72</v>
      </c>
      <c r="I112" s="316" t="n">
        <v>0</v>
      </c>
      <c r="J112" s="34" t="s">
        <v>452</v>
      </c>
      <c r="K112" s="31" t="n">
        <v>30000</v>
      </c>
      <c r="L112" s="31" t="n">
        <v>64800</v>
      </c>
      <c r="M112" s="37" t="n">
        <v>4500</v>
      </c>
      <c r="N112" s="30" t="n">
        <v>6300</v>
      </c>
      <c r="O112" s="30" t="n">
        <v>64800</v>
      </c>
      <c r="P112" s="36" t="n">
        <v>0</v>
      </c>
      <c r="Q112" s="302" t="n">
        <v>45292</v>
      </c>
    </row>
    <row r="113" customFormat="false" ht="50.7" hidden="true" customHeight="false" outlineLevel="0" collapsed="false">
      <c r="A113" s="20" t="n">
        <v>2305</v>
      </c>
      <c r="B113" s="34" t="s">
        <v>310</v>
      </c>
      <c r="C113" s="34" t="s">
        <v>311</v>
      </c>
      <c r="D113" s="34"/>
      <c r="E113" s="25" t="n">
        <v>45220</v>
      </c>
      <c r="F113" s="25" t="n">
        <v>45321</v>
      </c>
      <c r="G113" s="26" t="n">
        <v>72</v>
      </c>
      <c r="H113" s="316" t="n">
        <v>72</v>
      </c>
      <c r="I113" s="316" t="n">
        <v>0</v>
      </c>
      <c r="J113" s="34" t="s">
        <v>381</v>
      </c>
      <c r="K113" s="36" t="n">
        <v>50000</v>
      </c>
      <c r="L113" s="36" t="n">
        <v>108000</v>
      </c>
      <c r="M113" s="29" t="n">
        <v>7500</v>
      </c>
      <c r="N113" s="30" t="n">
        <v>48000</v>
      </c>
      <c r="O113" s="30" t="n">
        <v>108000</v>
      </c>
      <c r="P113" s="36" t="n">
        <v>0</v>
      </c>
      <c r="Q113" s="302" t="n">
        <v>45292</v>
      </c>
    </row>
    <row r="114" customFormat="false" ht="34.3" hidden="true" customHeight="false" outlineLevel="0" collapsed="false">
      <c r="A114" s="20" t="n">
        <v>2395</v>
      </c>
      <c r="B114" s="34" t="s">
        <v>804</v>
      </c>
      <c r="C114" s="34" t="s">
        <v>750</v>
      </c>
      <c r="D114" s="34"/>
      <c r="E114" s="25" t="n">
        <v>45290</v>
      </c>
      <c r="F114" s="25" t="n">
        <v>45296</v>
      </c>
      <c r="G114" s="26" t="n">
        <v>5</v>
      </c>
      <c r="H114" s="316" t="e">
        <f aca="false">#VALUE!</f>
        <v>#VALUE!</v>
      </c>
      <c r="I114" s="316" t="e">
        <f aca="false">#VALUE!</f>
        <v>#VALUE!</v>
      </c>
      <c r="J114" s="52" t="s">
        <v>751</v>
      </c>
      <c r="K114" s="31" t="n">
        <v>20000</v>
      </c>
      <c r="L114" s="31" t="n">
        <v>26000</v>
      </c>
      <c r="M114" s="37" t="s">
        <v>214</v>
      </c>
      <c r="N114" s="30" t="n">
        <v>26000</v>
      </c>
      <c r="O114" s="30" t="n">
        <v>26000</v>
      </c>
      <c r="P114" s="36" t="n">
        <v>0</v>
      </c>
      <c r="Q114" s="302" t="n">
        <v>45292</v>
      </c>
    </row>
    <row r="115" customFormat="false" ht="26.1" hidden="true" customHeight="false" outlineLevel="0" collapsed="false">
      <c r="A115" s="20" t="n">
        <v>2371</v>
      </c>
      <c r="B115" s="34" t="s">
        <v>754</v>
      </c>
      <c r="C115" s="34" t="s">
        <v>755</v>
      </c>
      <c r="D115" s="34"/>
      <c r="E115" s="25" t="n">
        <v>45273</v>
      </c>
      <c r="F115" s="25" t="n">
        <v>45293</v>
      </c>
      <c r="G115" s="26" t="n">
        <v>14</v>
      </c>
      <c r="H115" s="316" t="e">
        <f aca="false">#DIV/0!</f>
        <v>#DIV/0!</v>
      </c>
      <c r="I115" s="316" t="e">
        <f aca="false">#DIV/0!</f>
        <v>#DIV/0!</v>
      </c>
      <c r="J115" s="52" t="s">
        <v>751</v>
      </c>
      <c r="K115" s="31" t="n">
        <v>40000</v>
      </c>
      <c r="L115" s="31" t="n">
        <v>60000</v>
      </c>
      <c r="M115" s="37"/>
      <c r="N115" s="30" t="n">
        <v>20000</v>
      </c>
      <c r="O115" s="30" t="n">
        <v>60000</v>
      </c>
      <c r="P115" s="36" t="n">
        <v>0</v>
      </c>
      <c r="Q115" s="302" t="n">
        <v>45292</v>
      </c>
    </row>
    <row r="116" customFormat="false" ht="14.25" hidden="true" customHeight="false" outlineLevel="0" collapsed="false">
      <c r="A116" s="20" t="n">
        <v>2379</v>
      </c>
      <c r="B116" s="34" t="s">
        <v>861</v>
      </c>
      <c r="C116" s="34"/>
      <c r="D116" s="34"/>
      <c r="E116" s="25" t="n">
        <v>45280</v>
      </c>
      <c r="F116" s="25" t="n">
        <v>45300</v>
      </c>
      <c r="G116" s="26" t="n">
        <v>14</v>
      </c>
      <c r="H116" s="316" t="e">
        <f aca="false">#DIV/0!</f>
        <v>#DIV/0!</v>
      </c>
      <c r="I116" s="316" t="e">
        <f aca="false">#DIV/0!</f>
        <v>#DIV/0!</v>
      </c>
      <c r="J116" s="52" t="s">
        <v>751</v>
      </c>
      <c r="K116" s="36" t="n">
        <v>32000</v>
      </c>
      <c r="L116" s="36" t="n">
        <v>48000</v>
      </c>
      <c r="M116" s="29"/>
      <c r="N116" s="30" t="n">
        <v>48000</v>
      </c>
      <c r="O116" s="30" t="n">
        <v>48000</v>
      </c>
      <c r="P116" s="36" t="n">
        <v>0</v>
      </c>
      <c r="Q116" s="302" t="n">
        <v>45292</v>
      </c>
    </row>
    <row r="117" customFormat="false" ht="34.3" hidden="true" customHeight="false" outlineLevel="0" collapsed="false">
      <c r="A117" s="310" t="n">
        <v>2160</v>
      </c>
      <c r="B117" s="34" t="s">
        <v>593</v>
      </c>
      <c r="C117" s="34" t="s">
        <v>594</v>
      </c>
      <c r="D117" s="34"/>
      <c r="E117" s="25" t="n">
        <v>45121</v>
      </c>
      <c r="F117" s="25" t="n">
        <v>45271</v>
      </c>
      <c r="G117" s="26" t="n">
        <v>106</v>
      </c>
      <c r="H117" s="316" t="n">
        <v>120</v>
      </c>
      <c r="I117" s="316" t="n">
        <v>-14</v>
      </c>
      <c r="J117" s="52" t="s">
        <v>862</v>
      </c>
      <c r="K117" s="36" t="n">
        <v>20000</v>
      </c>
      <c r="L117" s="36" t="n">
        <v>52800</v>
      </c>
      <c r="M117" s="29" t="n">
        <v>2200</v>
      </c>
      <c r="N117" s="30" t="n">
        <v>9600</v>
      </c>
      <c r="O117" s="30" t="n">
        <v>52800</v>
      </c>
      <c r="P117" s="36" t="n">
        <v>0</v>
      </c>
      <c r="Q117" s="302" t="n">
        <v>45292</v>
      </c>
    </row>
    <row r="118" customFormat="false" ht="17.9" hidden="true" customHeight="false" outlineLevel="0" collapsed="false">
      <c r="A118" s="20" t="n">
        <v>2297</v>
      </c>
      <c r="B118" s="34" t="s">
        <v>634</v>
      </c>
      <c r="C118" s="34" t="s">
        <v>849</v>
      </c>
      <c r="D118" s="34"/>
      <c r="E118" s="25" t="n">
        <v>45213</v>
      </c>
      <c r="F118" s="25" t="n">
        <v>45261</v>
      </c>
      <c r="G118" s="26" t="n">
        <v>35</v>
      </c>
      <c r="H118" s="316" t="n">
        <v>40</v>
      </c>
      <c r="I118" s="316" t="n">
        <v>-5</v>
      </c>
      <c r="J118" s="34" t="s">
        <v>850</v>
      </c>
      <c r="K118" s="31" t="n">
        <v>20000</v>
      </c>
      <c r="L118" s="31" t="n">
        <v>40000</v>
      </c>
      <c r="M118" s="37" t="n">
        <v>5000</v>
      </c>
      <c r="N118" s="30" t="n">
        <v>7500</v>
      </c>
      <c r="O118" s="30" t="n">
        <v>40000</v>
      </c>
      <c r="P118" s="36" t="n">
        <v>0</v>
      </c>
      <c r="Q118" s="302" t="n">
        <v>45292</v>
      </c>
    </row>
    <row r="119" customFormat="false" ht="50.7" hidden="true" customHeight="false" outlineLevel="0" collapsed="false">
      <c r="A119" s="20" t="n">
        <v>2265</v>
      </c>
      <c r="B119" s="34" t="s">
        <v>218</v>
      </c>
      <c r="C119" s="34" t="s">
        <v>219</v>
      </c>
      <c r="D119" s="34"/>
      <c r="E119" s="25" t="n">
        <v>45194</v>
      </c>
      <c r="F119" s="25" t="n">
        <v>45294</v>
      </c>
      <c r="G119" s="26" t="n">
        <v>72</v>
      </c>
      <c r="H119" s="316" t="n">
        <v>80</v>
      </c>
      <c r="I119" s="316" t="n">
        <v>-8</v>
      </c>
      <c r="J119" s="52" t="s">
        <v>863</v>
      </c>
      <c r="K119" s="31" t="n">
        <v>40000</v>
      </c>
      <c r="L119" s="31" t="n">
        <v>86400</v>
      </c>
      <c r="M119" s="37" t="n">
        <v>5400</v>
      </c>
      <c r="N119" s="30" t="n">
        <v>21600</v>
      </c>
      <c r="O119" s="30" t="n">
        <v>86400</v>
      </c>
      <c r="P119" s="31" t="n">
        <v>0</v>
      </c>
      <c r="Q119" s="302" t="n">
        <v>45299</v>
      </c>
    </row>
    <row r="120" customFormat="false" ht="34.3" hidden="true" customHeight="false" outlineLevel="0" collapsed="false">
      <c r="A120" s="20" t="n">
        <v>2226</v>
      </c>
      <c r="B120" s="34" t="s">
        <v>820</v>
      </c>
      <c r="C120" s="34" t="s">
        <v>821</v>
      </c>
      <c r="D120" s="34"/>
      <c r="E120" s="25" t="n">
        <v>45162</v>
      </c>
      <c r="F120" s="25" t="n">
        <v>45264</v>
      </c>
      <c r="G120" s="26" t="n">
        <v>72</v>
      </c>
      <c r="H120" s="316" t="n">
        <v>75.3333333333333</v>
      </c>
      <c r="I120" s="316" t="n">
        <v>-3.33333333333333</v>
      </c>
      <c r="J120" s="34" t="s">
        <v>452</v>
      </c>
      <c r="K120" s="31" t="n">
        <v>30000</v>
      </c>
      <c r="L120" s="31" t="n">
        <v>64800</v>
      </c>
      <c r="M120" s="37" t="n">
        <v>4500</v>
      </c>
      <c r="N120" s="30" t="n">
        <v>18800</v>
      </c>
      <c r="O120" s="30" t="n">
        <v>67800</v>
      </c>
      <c r="P120" s="31" t="n">
        <v>-3000</v>
      </c>
      <c r="Q120" s="302" t="n">
        <v>45299</v>
      </c>
    </row>
    <row r="121" customFormat="false" ht="26.1" hidden="true" customHeight="false" outlineLevel="0" collapsed="false">
      <c r="A121" s="20" t="n">
        <v>2081</v>
      </c>
      <c r="B121" s="34" t="s">
        <v>765</v>
      </c>
      <c r="C121" s="34" t="s">
        <v>252</v>
      </c>
      <c r="D121" s="34" t="s">
        <v>253</v>
      </c>
      <c r="E121" s="25" t="n">
        <v>45053</v>
      </c>
      <c r="F121" s="25" t="n">
        <v>45296</v>
      </c>
      <c r="G121" s="26" t="n">
        <v>175</v>
      </c>
      <c r="H121" s="316" t="n">
        <v>168.363636363636</v>
      </c>
      <c r="I121" s="316" t="n">
        <v>6.63636363636363</v>
      </c>
      <c r="J121" s="52" t="s">
        <v>864</v>
      </c>
      <c r="K121" s="31" t="n">
        <v>50000</v>
      </c>
      <c r="L121" s="31" t="n">
        <v>132000</v>
      </c>
      <c r="M121" s="37" t="n">
        <v>4125</v>
      </c>
      <c r="N121" s="30" t="n">
        <v>16500</v>
      </c>
      <c r="O121" s="30" t="n">
        <v>138900</v>
      </c>
      <c r="P121" s="31" t="n">
        <v>-6900</v>
      </c>
      <c r="Q121" s="302" t="n">
        <v>45299</v>
      </c>
    </row>
    <row r="122" customFormat="false" ht="34.3" hidden="true" customHeight="false" outlineLevel="0" collapsed="false">
      <c r="A122" s="20" t="n">
        <v>2404</v>
      </c>
      <c r="B122" s="34" t="s">
        <v>804</v>
      </c>
      <c r="C122" s="34" t="s">
        <v>750</v>
      </c>
      <c r="D122" s="34"/>
      <c r="E122" s="25" t="n">
        <v>45297</v>
      </c>
      <c r="F122" s="25" t="n">
        <v>45303</v>
      </c>
      <c r="G122" s="26" t="n">
        <v>5</v>
      </c>
      <c r="H122" s="316" t="e">
        <f aca="false">#VALUE!</f>
        <v>#VALUE!</v>
      </c>
      <c r="I122" s="316" t="e">
        <f aca="false">#VALUE!</f>
        <v>#VALUE!</v>
      </c>
      <c r="J122" s="52" t="s">
        <v>751</v>
      </c>
      <c r="K122" s="31" t="n">
        <v>10000</v>
      </c>
      <c r="L122" s="31" t="n">
        <v>13000</v>
      </c>
      <c r="M122" s="37" t="s">
        <v>214</v>
      </c>
      <c r="N122" s="30" t="n">
        <v>13000</v>
      </c>
      <c r="O122" s="30" t="n">
        <v>13000</v>
      </c>
      <c r="P122" s="36" t="n">
        <v>0</v>
      </c>
      <c r="Q122" s="302" t="n">
        <v>45299</v>
      </c>
    </row>
    <row r="123" customFormat="false" ht="34.3" hidden="true" customHeight="false" outlineLevel="0" collapsed="false">
      <c r="A123" s="20" t="n">
        <v>1848</v>
      </c>
      <c r="B123" s="34" t="s">
        <v>865</v>
      </c>
      <c r="C123" s="34" t="s">
        <v>866</v>
      </c>
      <c r="D123" s="34"/>
      <c r="E123" s="25" t="n">
        <v>44869</v>
      </c>
      <c r="F123" s="25" t="n">
        <v>45065</v>
      </c>
      <c r="G123" s="26" t="n">
        <v>140</v>
      </c>
      <c r="H123" s="316" t="n">
        <v>140</v>
      </c>
      <c r="I123" s="316" t="n">
        <v>0</v>
      </c>
      <c r="J123" s="68" t="s">
        <v>867</v>
      </c>
      <c r="K123" s="36" t="n">
        <v>100000</v>
      </c>
      <c r="L123" s="36" t="n">
        <v>280000</v>
      </c>
      <c r="M123" s="29" t="n">
        <v>10000</v>
      </c>
      <c r="N123" s="30" t="n">
        <v>20000</v>
      </c>
      <c r="O123" s="30" t="n">
        <v>280000</v>
      </c>
      <c r="P123" s="36" t="n">
        <v>0</v>
      </c>
      <c r="Q123" s="302" t="n">
        <v>45299</v>
      </c>
    </row>
    <row r="124" customFormat="false" ht="34.3" hidden="true" customHeight="false" outlineLevel="0" collapsed="false">
      <c r="A124" s="20" t="n">
        <v>2213</v>
      </c>
      <c r="B124" s="34" t="s">
        <v>805</v>
      </c>
      <c r="C124" s="34" t="s">
        <v>451</v>
      </c>
      <c r="D124" s="34"/>
      <c r="E124" s="25" t="n">
        <v>45156</v>
      </c>
      <c r="F124" s="25" t="n">
        <v>45258</v>
      </c>
      <c r="G124" s="26" t="n">
        <v>72</v>
      </c>
      <c r="H124" s="316" t="n">
        <v>74</v>
      </c>
      <c r="I124" s="316" t="n">
        <v>-2</v>
      </c>
      <c r="J124" s="34" t="s">
        <v>769</v>
      </c>
      <c r="K124" s="36" t="n">
        <v>10000</v>
      </c>
      <c r="L124" s="36" t="n">
        <v>21600</v>
      </c>
      <c r="M124" s="29" t="n">
        <v>1500</v>
      </c>
      <c r="N124" s="30" t="n">
        <v>1200</v>
      </c>
      <c r="O124" s="30" t="n">
        <v>22200</v>
      </c>
      <c r="P124" s="36" t="n">
        <v>-600</v>
      </c>
      <c r="Q124" s="302" t="n">
        <v>45299</v>
      </c>
    </row>
    <row r="125" customFormat="false" ht="26.1" hidden="true" customHeight="false" outlineLevel="0" collapsed="false">
      <c r="A125" s="20" t="n">
        <v>2241</v>
      </c>
      <c r="B125" s="34" t="s">
        <v>519</v>
      </c>
      <c r="C125" s="34" t="s">
        <v>520</v>
      </c>
      <c r="D125" s="34"/>
      <c r="E125" s="25" t="n">
        <v>45177</v>
      </c>
      <c r="F125" s="25" t="n">
        <v>45279</v>
      </c>
      <c r="G125" s="26" t="n">
        <v>72</v>
      </c>
      <c r="H125" s="316" t="n">
        <v>72</v>
      </c>
      <c r="I125" s="316" t="n">
        <v>0</v>
      </c>
      <c r="J125" s="34" t="s">
        <v>452</v>
      </c>
      <c r="K125" s="31" t="n">
        <v>30000</v>
      </c>
      <c r="L125" s="31" t="n">
        <v>64800</v>
      </c>
      <c r="M125" s="37" t="n">
        <v>4500</v>
      </c>
      <c r="N125" s="30" t="n">
        <v>8600</v>
      </c>
      <c r="O125" s="30" t="n">
        <v>64800</v>
      </c>
      <c r="P125" s="36" t="n">
        <v>0</v>
      </c>
      <c r="Q125" s="302" t="n">
        <v>45299</v>
      </c>
    </row>
    <row r="126" customFormat="false" ht="26.1" hidden="true" customHeight="false" outlineLevel="0" collapsed="false">
      <c r="A126" s="20" t="n">
        <v>2238</v>
      </c>
      <c r="B126" s="34" t="s">
        <v>781</v>
      </c>
      <c r="C126" s="34" t="s">
        <v>782</v>
      </c>
      <c r="D126" s="34"/>
      <c r="E126" s="25" t="n">
        <v>45175</v>
      </c>
      <c r="F126" s="25" t="n">
        <v>45338</v>
      </c>
      <c r="G126" s="26" t="n">
        <v>117</v>
      </c>
      <c r="H126" s="316" t="n">
        <v>80</v>
      </c>
      <c r="I126" s="316" t="n">
        <v>37</v>
      </c>
      <c r="J126" s="52" t="s">
        <v>868</v>
      </c>
      <c r="K126" s="36" t="n">
        <v>5000</v>
      </c>
      <c r="L126" s="36" t="n">
        <v>11260</v>
      </c>
      <c r="M126" s="29" t="n">
        <v>703.75</v>
      </c>
      <c r="N126" s="30" t="n">
        <v>2815</v>
      </c>
      <c r="O126" s="30" t="n">
        <v>11260</v>
      </c>
      <c r="P126" s="36" t="n">
        <v>0</v>
      </c>
      <c r="Q126" s="302" t="n">
        <v>45299</v>
      </c>
    </row>
    <row r="127" customFormat="false" ht="26.1" hidden="true" customHeight="false" outlineLevel="0" collapsed="false">
      <c r="A127" s="20" t="n">
        <v>2374</v>
      </c>
      <c r="B127" s="34" t="s">
        <v>758</v>
      </c>
      <c r="C127" s="34"/>
      <c r="D127" s="34"/>
      <c r="E127" s="25" t="n">
        <v>45275</v>
      </c>
      <c r="F127" s="25" t="n">
        <v>45299</v>
      </c>
      <c r="G127" s="26" t="n">
        <v>16</v>
      </c>
      <c r="H127" s="316" t="e">
        <f aca="false">#VALUE!</f>
        <v>#VALUE!</v>
      </c>
      <c r="I127" s="316" t="e">
        <f aca="false">#VALUE!</f>
        <v>#VALUE!</v>
      </c>
      <c r="J127" s="52" t="s">
        <v>751</v>
      </c>
      <c r="K127" s="36" t="n">
        <v>25000</v>
      </c>
      <c r="L127" s="36" t="n">
        <v>39000</v>
      </c>
      <c r="M127" s="29" t="s">
        <v>214</v>
      </c>
      <c r="N127" s="30" t="n">
        <v>39000</v>
      </c>
      <c r="O127" s="30" t="n">
        <v>39000</v>
      </c>
      <c r="P127" s="36" t="n">
        <v>0</v>
      </c>
      <c r="Q127" s="302" t="n">
        <v>45299</v>
      </c>
    </row>
    <row r="128" customFormat="false" ht="17.9" hidden="true" customHeight="false" outlineLevel="0" collapsed="false">
      <c r="A128" s="20" t="n">
        <v>2380</v>
      </c>
      <c r="B128" s="34" t="s">
        <v>760</v>
      </c>
      <c r="C128" s="34"/>
      <c r="D128" s="34"/>
      <c r="E128" s="25" t="n">
        <v>45280</v>
      </c>
      <c r="F128" s="25" t="n">
        <v>45300</v>
      </c>
      <c r="G128" s="26" t="n">
        <v>14</v>
      </c>
      <c r="H128" s="316" t="e">
        <f aca="false">#DIV/0!</f>
        <v>#DIV/0!</v>
      </c>
      <c r="I128" s="316" t="e">
        <f aca="false">#DIV/0!</f>
        <v>#DIV/0!</v>
      </c>
      <c r="J128" s="52" t="s">
        <v>751</v>
      </c>
      <c r="K128" s="31" t="n">
        <v>15000</v>
      </c>
      <c r="L128" s="31" t="n">
        <v>22500</v>
      </c>
      <c r="M128" s="29"/>
      <c r="N128" s="30" t="n">
        <v>22500</v>
      </c>
      <c r="O128" s="30" t="n">
        <v>22500</v>
      </c>
      <c r="P128" s="36" t="n">
        <v>0</v>
      </c>
      <c r="Q128" s="302" t="n">
        <v>45299</v>
      </c>
    </row>
    <row r="129" customFormat="false" ht="58.95" hidden="true" customHeight="false" outlineLevel="0" collapsed="false">
      <c r="A129" s="20" t="n">
        <v>1850</v>
      </c>
      <c r="B129" s="34" t="s">
        <v>761</v>
      </c>
      <c r="C129" s="34" t="s">
        <v>585</v>
      </c>
      <c r="D129" s="34"/>
      <c r="E129" s="25" t="n">
        <v>44869</v>
      </c>
      <c r="F129" s="25" t="n">
        <v>45205</v>
      </c>
      <c r="G129" s="26" t="n">
        <v>240</v>
      </c>
      <c r="H129" s="316" t="n">
        <v>240</v>
      </c>
      <c r="I129" s="316" t="n">
        <v>0</v>
      </c>
      <c r="J129" s="34" t="s">
        <v>869</v>
      </c>
      <c r="K129" s="36" t="n">
        <v>120000</v>
      </c>
      <c r="L129" s="36" t="n">
        <v>309600</v>
      </c>
      <c r="M129" s="29" t="n">
        <v>6450</v>
      </c>
      <c r="N129" s="30" t="n">
        <v>11200</v>
      </c>
      <c r="O129" s="30" t="n">
        <v>309600</v>
      </c>
      <c r="P129" s="36" t="n">
        <v>0</v>
      </c>
      <c r="Q129" s="302" t="n">
        <v>45299</v>
      </c>
    </row>
    <row r="130" customFormat="false" ht="42.5" hidden="true" customHeight="false" outlineLevel="0" collapsed="false">
      <c r="A130" s="20" t="n">
        <v>2290</v>
      </c>
      <c r="B130" s="34" t="s">
        <v>870</v>
      </c>
      <c r="C130" s="34" t="s">
        <v>623</v>
      </c>
      <c r="D130" s="34" t="s">
        <v>871</v>
      </c>
      <c r="E130" s="25" t="n">
        <v>45209</v>
      </c>
      <c r="F130" s="25" t="n">
        <v>45309</v>
      </c>
      <c r="G130" s="26" t="n">
        <v>72</v>
      </c>
      <c r="H130" s="316" t="n">
        <v>72</v>
      </c>
      <c r="I130" s="316" t="n">
        <v>0</v>
      </c>
      <c r="J130" s="34" t="s">
        <v>452</v>
      </c>
      <c r="K130" s="36" t="n">
        <v>30000</v>
      </c>
      <c r="L130" s="36" t="n">
        <v>64800</v>
      </c>
      <c r="M130" s="29" t="n">
        <v>4500</v>
      </c>
      <c r="N130" s="30" t="n">
        <v>15300</v>
      </c>
      <c r="O130" s="30" t="n">
        <v>64800</v>
      </c>
      <c r="P130" s="36" t="n">
        <v>0</v>
      </c>
      <c r="Q130" s="302" t="n">
        <v>45299</v>
      </c>
    </row>
    <row r="131" customFormat="false" ht="34.3" hidden="true" customHeight="false" outlineLevel="0" collapsed="false">
      <c r="A131" s="318" t="n">
        <v>2419</v>
      </c>
      <c r="B131" s="34" t="s">
        <v>820</v>
      </c>
      <c r="C131" s="34" t="s">
        <v>821</v>
      </c>
      <c r="D131" s="34"/>
      <c r="E131" s="25" t="n">
        <v>45303</v>
      </c>
      <c r="F131" s="25" t="n">
        <v>45310</v>
      </c>
      <c r="G131" s="316" t="e">
        <f aca="false">#DIV/0!</f>
        <v>#DIV/0!</v>
      </c>
      <c r="H131" s="316" t="e">
        <f aca="false">#DIV/0!</f>
        <v>#DIV/0!</v>
      </c>
      <c r="I131" s="316" t="e">
        <f aca="false">#DIV/0!</f>
        <v>#DIV/0!</v>
      </c>
      <c r="J131" s="52" t="s">
        <v>751</v>
      </c>
      <c r="K131" s="31" t="n">
        <v>10000</v>
      </c>
      <c r="L131" s="31" t="n">
        <v>13000</v>
      </c>
      <c r="M131" s="37"/>
      <c r="N131" s="74" t="n">
        <v>13000</v>
      </c>
      <c r="O131" s="30" t="n">
        <v>13000</v>
      </c>
      <c r="P131" s="31" t="n">
        <v>0</v>
      </c>
      <c r="Q131" s="302" t="n">
        <v>45306</v>
      </c>
    </row>
    <row r="132" customFormat="false" ht="34.3" hidden="true" customHeight="false" outlineLevel="0" collapsed="false">
      <c r="A132" s="318" t="n">
        <v>2423</v>
      </c>
      <c r="B132" s="34" t="s">
        <v>820</v>
      </c>
      <c r="C132" s="34" t="s">
        <v>821</v>
      </c>
      <c r="D132" s="34"/>
      <c r="E132" s="25" t="n">
        <v>45306</v>
      </c>
      <c r="F132" s="25" t="n">
        <v>45310</v>
      </c>
      <c r="G132" s="316" t="e">
        <f aca="false">#DIV/0!</f>
        <v>#DIV/0!</v>
      </c>
      <c r="H132" s="316" t="e">
        <f aca="false">#DIV/0!</f>
        <v>#DIV/0!</v>
      </c>
      <c r="I132" s="316" t="e">
        <f aca="false">#DIV/0!</f>
        <v>#DIV/0!</v>
      </c>
      <c r="J132" s="52" t="s">
        <v>751</v>
      </c>
      <c r="K132" s="31" t="n">
        <v>5000</v>
      </c>
      <c r="L132" s="31" t="n">
        <v>6500</v>
      </c>
      <c r="M132" s="37"/>
      <c r="N132" s="74" t="n">
        <v>7000</v>
      </c>
      <c r="O132" s="30" t="n">
        <v>7000</v>
      </c>
      <c r="P132" s="31" t="n">
        <v>-500</v>
      </c>
      <c r="Q132" s="302" t="n">
        <v>45306</v>
      </c>
    </row>
    <row r="133" customFormat="false" ht="34.3" hidden="true" customHeight="false" outlineLevel="0" collapsed="false">
      <c r="A133" s="20" t="n">
        <v>2231</v>
      </c>
      <c r="B133" s="34" t="s">
        <v>744</v>
      </c>
      <c r="C133" s="34" t="s">
        <v>745</v>
      </c>
      <c r="D133" s="34"/>
      <c r="E133" s="25" t="n">
        <v>45167</v>
      </c>
      <c r="F133" s="25" t="n">
        <v>45267</v>
      </c>
      <c r="G133" s="316" t="n">
        <v>72</v>
      </c>
      <c r="H133" s="316" t="n">
        <v>0</v>
      </c>
      <c r="I133" s="316" t="n">
        <v>0</v>
      </c>
      <c r="J133" s="64" t="s">
        <v>769</v>
      </c>
      <c r="K133" s="36" t="n">
        <v>10000</v>
      </c>
      <c r="L133" s="36" t="n">
        <v>21600</v>
      </c>
      <c r="M133" s="29" t="n">
        <v>1500</v>
      </c>
      <c r="N133" s="30" t="n">
        <v>100</v>
      </c>
      <c r="O133" s="30" t="n">
        <v>21600</v>
      </c>
      <c r="P133" s="36" t="n">
        <v>0</v>
      </c>
      <c r="Q133" s="302" t="n">
        <v>45306</v>
      </c>
    </row>
    <row r="134" customFormat="false" ht="83.55" hidden="true" customHeight="false" outlineLevel="0" collapsed="false">
      <c r="A134" s="20" t="n">
        <v>2310</v>
      </c>
      <c r="B134" s="34" t="s">
        <v>872</v>
      </c>
      <c r="C134" s="34" t="s">
        <v>305</v>
      </c>
      <c r="D134" s="34"/>
      <c r="E134" s="25" t="n">
        <v>45223</v>
      </c>
      <c r="F134" s="25" t="n">
        <v>45323</v>
      </c>
      <c r="G134" s="316" t="n">
        <v>72</v>
      </c>
      <c r="H134" s="316" t="n">
        <v>0</v>
      </c>
      <c r="I134" s="316" t="n">
        <v>0</v>
      </c>
      <c r="J134" s="34" t="s">
        <v>245</v>
      </c>
      <c r="K134" s="36" t="n">
        <v>300000</v>
      </c>
      <c r="L134" s="36" t="n">
        <v>648000</v>
      </c>
      <c r="M134" s="29" t="n">
        <v>45000</v>
      </c>
      <c r="N134" s="30" t="n">
        <v>153000</v>
      </c>
      <c r="O134" s="30" t="n">
        <v>648000</v>
      </c>
      <c r="P134" s="36" t="n">
        <v>0</v>
      </c>
      <c r="Q134" s="302" t="n">
        <v>45306</v>
      </c>
    </row>
    <row r="135" customFormat="false" ht="26.1" hidden="true" customHeight="false" outlineLevel="0" collapsed="false">
      <c r="A135" s="20" t="n">
        <v>2210</v>
      </c>
      <c r="B135" s="34" t="s">
        <v>356</v>
      </c>
      <c r="C135" s="34" t="s">
        <v>357</v>
      </c>
      <c r="D135" s="34"/>
      <c r="E135" s="25" t="n">
        <v>45155</v>
      </c>
      <c r="F135" s="25" t="n">
        <v>45272</v>
      </c>
      <c r="G135" s="316" t="n">
        <v>86.1728395061728</v>
      </c>
      <c r="H135" s="316" t="n">
        <v>-3.17283950617284</v>
      </c>
      <c r="I135" s="316" t="n">
        <v>-3.17283950617284</v>
      </c>
      <c r="J135" s="52" t="s">
        <v>873</v>
      </c>
      <c r="K135" s="31" t="n">
        <v>30000</v>
      </c>
      <c r="L135" s="31" t="n">
        <v>64800</v>
      </c>
      <c r="M135" s="37" t="n">
        <v>4050</v>
      </c>
      <c r="N135" s="30" t="n">
        <v>21700</v>
      </c>
      <c r="O135" s="30" t="n">
        <v>69800</v>
      </c>
      <c r="P135" s="36" t="n">
        <v>-5000</v>
      </c>
      <c r="Q135" s="302" t="n">
        <v>45306</v>
      </c>
    </row>
    <row r="136" customFormat="false" ht="50.7" hidden="true" customHeight="false" outlineLevel="0" collapsed="false">
      <c r="A136" s="20" t="n">
        <v>2166</v>
      </c>
      <c r="B136" s="34" t="s">
        <v>874</v>
      </c>
      <c r="C136" s="34" t="s">
        <v>875</v>
      </c>
      <c r="D136" s="34"/>
      <c r="E136" s="25" t="n">
        <v>45125</v>
      </c>
      <c r="F136" s="25" t="n">
        <v>45279</v>
      </c>
      <c r="G136" s="316" t="n">
        <v>110</v>
      </c>
      <c r="H136" s="316" t="n">
        <v>0</v>
      </c>
      <c r="I136" s="316" t="n">
        <v>0</v>
      </c>
      <c r="J136" s="34" t="s">
        <v>803</v>
      </c>
      <c r="K136" s="31" t="n">
        <v>30000</v>
      </c>
      <c r="L136" s="31" t="n">
        <v>79200</v>
      </c>
      <c r="M136" s="29" t="n">
        <v>3600</v>
      </c>
      <c r="N136" s="30" t="n">
        <v>3600</v>
      </c>
      <c r="O136" s="30" t="n">
        <v>79200</v>
      </c>
      <c r="P136" s="36" t="n">
        <v>0</v>
      </c>
      <c r="Q136" s="302" t="n">
        <v>45306</v>
      </c>
    </row>
    <row r="137" customFormat="false" ht="26.1" hidden="true" customHeight="false" outlineLevel="0" collapsed="false">
      <c r="A137" s="20" t="n">
        <v>2199</v>
      </c>
      <c r="B137" s="34" t="s">
        <v>876</v>
      </c>
      <c r="C137" s="34" t="s">
        <v>877</v>
      </c>
      <c r="D137" s="34"/>
      <c r="E137" s="25" t="n">
        <v>45147</v>
      </c>
      <c r="F137" s="25" t="n">
        <v>45247</v>
      </c>
      <c r="G137" s="316" t="n">
        <v>76.037037037037</v>
      </c>
      <c r="H137" s="316" t="n">
        <v>-4.03703703703704</v>
      </c>
      <c r="I137" s="316" t="n">
        <v>-4.03703703703704</v>
      </c>
      <c r="J137" s="34" t="s">
        <v>878</v>
      </c>
      <c r="K137" s="36" t="n">
        <v>22500</v>
      </c>
      <c r="L137" s="36" t="n">
        <v>48600</v>
      </c>
      <c r="M137" s="29" t="n">
        <v>3375</v>
      </c>
      <c r="N137" s="30" t="n">
        <v>3375</v>
      </c>
      <c r="O137" s="30" t="n">
        <v>51325</v>
      </c>
      <c r="P137" s="36" t="n">
        <v>-2725</v>
      </c>
      <c r="Q137" s="302" t="n">
        <v>45306</v>
      </c>
    </row>
    <row r="138" customFormat="false" ht="34.3" hidden="true" customHeight="false" outlineLevel="0" collapsed="false">
      <c r="A138" s="20" t="n">
        <v>2269</v>
      </c>
      <c r="B138" s="34" t="s">
        <v>879</v>
      </c>
      <c r="C138" s="34" t="s">
        <v>484</v>
      </c>
      <c r="D138" s="34"/>
      <c r="E138" s="25" t="n">
        <v>45196</v>
      </c>
      <c r="F138" s="25" t="n">
        <v>45296</v>
      </c>
      <c r="G138" s="316" t="n">
        <v>72</v>
      </c>
      <c r="H138" s="316" t="n">
        <v>0</v>
      </c>
      <c r="I138" s="316" t="n">
        <v>0</v>
      </c>
      <c r="J138" s="52" t="s">
        <v>381</v>
      </c>
      <c r="K138" s="31" t="n">
        <v>50000</v>
      </c>
      <c r="L138" s="31" t="n">
        <v>108000</v>
      </c>
      <c r="M138" s="37" t="n">
        <v>7500</v>
      </c>
      <c r="N138" s="30" t="n">
        <v>12000</v>
      </c>
      <c r="O138" s="30" t="n">
        <v>108000</v>
      </c>
      <c r="P138" s="36" t="n">
        <v>0</v>
      </c>
      <c r="Q138" s="302" t="n">
        <v>45306</v>
      </c>
    </row>
    <row r="139" customFormat="false" ht="34.3" hidden="true" customHeight="false" outlineLevel="0" collapsed="false">
      <c r="A139" s="20" t="n">
        <v>1796</v>
      </c>
      <c r="B139" s="34" t="s">
        <v>574</v>
      </c>
      <c r="C139" s="34" t="s">
        <v>575</v>
      </c>
      <c r="D139" s="34"/>
      <c r="E139" s="25" t="n">
        <v>44824</v>
      </c>
      <c r="F139" s="25" t="n">
        <v>44924</v>
      </c>
      <c r="G139" s="316" t="n">
        <v>72.5</v>
      </c>
      <c r="H139" s="316" t="n">
        <v>-0.5</v>
      </c>
      <c r="I139" s="316" t="n">
        <v>-0.5</v>
      </c>
      <c r="J139" s="34" t="s">
        <v>749</v>
      </c>
      <c r="K139" s="36" t="n">
        <v>20000</v>
      </c>
      <c r="L139" s="36" t="n">
        <v>43200</v>
      </c>
      <c r="M139" s="29" t="n">
        <v>3000</v>
      </c>
      <c r="N139" s="30" t="n">
        <v>3000</v>
      </c>
      <c r="O139" s="30" t="n">
        <v>43500</v>
      </c>
      <c r="P139" s="36" t="n">
        <v>-300</v>
      </c>
      <c r="Q139" s="302" t="n">
        <v>45306</v>
      </c>
    </row>
    <row r="140" customFormat="false" ht="26.1" hidden="true" customHeight="false" outlineLevel="0" collapsed="false">
      <c r="A140" s="20" t="n">
        <v>2406</v>
      </c>
      <c r="B140" s="34" t="s">
        <v>794</v>
      </c>
      <c r="C140" s="34" t="s">
        <v>880</v>
      </c>
      <c r="D140" s="34"/>
      <c r="E140" s="25" t="n">
        <v>45299</v>
      </c>
      <c r="F140" s="25" t="n">
        <v>45314</v>
      </c>
      <c r="G140" s="26" t="n">
        <v>11</v>
      </c>
      <c r="H140" s="316" t="e">
        <f aca="false">#DIV/0!</f>
        <v>#DIV/0!</v>
      </c>
      <c r="I140" s="316" t="e">
        <f aca="false">#DIV/0!</f>
        <v>#DIV/0!</v>
      </c>
      <c r="J140" s="52" t="s">
        <v>751</v>
      </c>
      <c r="K140" s="31" t="n">
        <v>30000</v>
      </c>
      <c r="L140" s="31" t="n">
        <v>42500</v>
      </c>
      <c r="M140" s="37"/>
      <c r="N140" s="30" t="n">
        <v>23000</v>
      </c>
      <c r="O140" s="30" t="n">
        <v>43000</v>
      </c>
      <c r="P140" s="36" t="n">
        <v>-500</v>
      </c>
      <c r="Q140" s="302" t="n">
        <v>45313</v>
      </c>
    </row>
    <row r="141" customFormat="false" ht="26.1" hidden="true" customHeight="false" outlineLevel="0" collapsed="false">
      <c r="A141" s="318" t="n">
        <v>2433</v>
      </c>
      <c r="B141" s="34" t="s">
        <v>794</v>
      </c>
      <c r="C141" s="34" t="s">
        <v>880</v>
      </c>
      <c r="D141" s="34"/>
      <c r="E141" s="25" t="n">
        <v>45311</v>
      </c>
      <c r="F141" s="25" t="n">
        <v>45327</v>
      </c>
      <c r="G141" s="26" t="n">
        <v>11</v>
      </c>
      <c r="H141" s="316" t="e">
        <f aca="false">#DIV/0!</f>
        <v>#DIV/0!</v>
      </c>
      <c r="I141" s="316" t="e">
        <f aca="false">#DIV/0!</f>
        <v>#DIV/0!</v>
      </c>
      <c r="J141" s="52" t="s">
        <v>751</v>
      </c>
      <c r="K141" s="31" t="n">
        <v>10000</v>
      </c>
      <c r="L141" s="31" t="n">
        <v>13000</v>
      </c>
      <c r="M141" s="37"/>
      <c r="N141" s="30" t="n">
        <v>13000</v>
      </c>
      <c r="O141" s="30" t="n">
        <v>13000</v>
      </c>
      <c r="P141" s="36" t="n">
        <v>0</v>
      </c>
      <c r="Q141" s="302" t="n">
        <v>45313</v>
      </c>
    </row>
    <row r="142" customFormat="false" ht="26.1" hidden="true" customHeight="false" outlineLevel="0" collapsed="false">
      <c r="A142" s="20" t="n">
        <v>2327</v>
      </c>
      <c r="B142" s="34" t="s">
        <v>336</v>
      </c>
      <c r="C142" s="34" t="s">
        <v>337</v>
      </c>
      <c r="D142" s="34"/>
      <c r="E142" s="25" t="n">
        <v>45237</v>
      </c>
      <c r="F142" s="25" t="n">
        <v>45337</v>
      </c>
      <c r="G142" s="26" t="n">
        <v>72</v>
      </c>
      <c r="H142" s="316" t="n">
        <v>70</v>
      </c>
      <c r="I142" s="316" t="n">
        <v>2</v>
      </c>
      <c r="J142" s="34" t="s">
        <v>769</v>
      </c>
      <c r="K142" s="36" t="n">
        <v>10000</v>
      </c>
      <c r="L142" s="36" t="n">
        <v>21600</v>
      </c>
      <c r="M142" s="29" t="n">
        <v>1500</v>
      </c>
      <c r="N142" s="30" t="n">
        <v>6000</v>
      </c>
      <c r="O142" s="30" t="n">
        <v>21000</v>
      </c>
      <c r="P142" s="36" t="n">
        <v>600</v>
      </c>
      <c r="Q142" s="302" t="n">
        <v>45313</v>
      </c>
    </row>
    <row r="143" customFormat="false" ht="42.5" hidden="true" customHeight="false" outlineLevel="0" collapsed="false">
      <c r="A143" s="20" t="n">
        <v>2119</v>
      </c>
      <c r="B143" s="34" t="s">
        <v>881</v>
      </c>
      <c r="C143" s="34" t="s">
        <v>882</v>
      </c>
      <c r="D143" s="34"/>
      <c r="E143" s="25" t="n">
        <v>45096</v>
      </c>
      <c r="F143" s="25" t="n">
        <v>45250</v>
      </c>
      <c r="G143" s="26" t="n">
        <v>110</v>
      </c>
      <c r="H143" s="316" t="n">
        <v>121.944444444444</v>
      </c>
      <c r="I143" s="316" t="n">
        <v>-11.9444444444444</v>
      </c>
      <c r="J143" s="34" t="s">
        <v>803</v>
      </c>
      <c r="K143" s="36" t="n">
        <v>30000</v>
      </c>
      <c r="L143" s="36" t="n">
        <v>87800</v>
      </c>
      <c r="M143" s="29" t="n">
        <v>3600</v>
      </c>
      <c r="N143" s="74" t="n">
        <v>10673</v>
      </c>
      <c r="O143" s="30" t="n">
        <v>87800</v>
      </c>
      <c r="P143" s="36" t="n">
        <v>0</v>
      </c>
      <c r="Q143" s="302" t="n">
        <v>45313</v>
      </c>
    </row>
    <row r="144" customFormat="false" ht="34.3" hidden="true" customHeight="false" outlineLevel="0" collapsed="false">
      <c r="A144" s="20" t="n">
        <v>2413</v>
      </c>
      <c r="B144" s="34" t="s">
        <v>804</v>
      </c>
      <c r="C144" s="34" t="s">
        <v>750</v>
      </c>
      <c r="D144" s="34"/>
      <c r="E144" s="25" t="n">
        <v>45302</v>
      </c>
      <c r="F144" s="25" t="n">
        <v>45309</v>
      </c>
      <c r="G144" s="26" t="n">
        <v>5</v>
      </c>
      <c r="H144" s="316" t="e">
        <f aca="false">#DIV/0!</f>
        <v>#DIV/0!</v>
      </c>
      <c r="I144" s="316" t="e">
        <f aca="false">#DIV/0!</f>
        <v>#DIV/0!</v>
      </c>
      <c r="J144" s="52" t="s">
        <v>751</v>
      </c>
      <c r="K144" s="31" t="n">
        <v>30000</v>
      </c>
      <c r="L144" s="31" t="n">
        <v>39000</v>
      </c>
      <c r="M144" s="37"/>
      <c r="N144" s="30" t="n">
        <v>39000</v>
      </c>
      <c r="O144" s="30" t="n">
        <v>39000</v>
      </c>
      <c r="P144" s="36" t="n">
        <v>0</v>
      </c>
      <c r="Q144" s="302" t="n">
        <v>45313</v>
      </c>
    </row>
    <row r="145" customFormat="false" ht="34.3" hidden="true" customHeight="false" outlineLevel="0" collapsed="false">
      <c r="A145" s="20" t="n">
        <v>2434</v>
      </c>
      <c r="B145" s="34" t="s">
        <v>804</v>
      </c>
      <c r="C145" s="34" t="s">
        <v>750</v>
      </c>
      <c r="D145" s="34"/>
      <c r="E145" s="25" t="n">
        <v>45312</v>
      </c>
      <c r="F145" s="25" t="n">
        <v>45317</v>
      </c>
      <c r="G145" s="26" t="n">
        <v>5</v>
      </c>
      <c r="H145" s="316" t="e">
        <f aca="false">#DIV/0!</f>
        <v>#DIV/0!</v>
      </c>
      <c r="I145" s="316" t="e">
        <f aca="false">#DIV/0!</f>
        <v>#DIV/0!</v>
      </c>
      <c r="J145" s="52" t="s">
        <v>751</v>
      </c>
      <c r="K145" s="36" t="n">
        <v>20000</v>
      </c>
      <c r="L145" s="36" t="n">
        <v>26000</v>
      </c>
      <c r="M145" s="29"/>
      <c r="N145" s="30" t="n">
        <v>26000</v>
      </c>
      <c r="O145" s="30" t="n">
        <v>26000</v>
      </c>
      <c r="P145" s="36" t="n">
        <v>0</v>
      </c>
      <c r="Q145" s="302" t="n">
        <v>45313</v>
      </c>
    </row>
    <row r="146" customFormat="false" ht="42" hidden="true" customHeight="false" outlineLevel="0" collapsed="false">
      <c r="A146" s="20" t="n">
        <v>2275</v>
      </c>
      <c r="B146" s="34" t="s">
        <v>790</v>
      </c>
      <c r="C146" s="34" t="s">
        <v>750</v>
      </c>
      <c r="D146" s="34"/>
      <c r="E146" s="25" t="n">
        <v>45198</v>
      </c>
      <c r="F146" s="25" t="n">
        <v>45300</v>
      </c>
      <c r="G146" s="26" t="n">
        <v>72</v>
      </c>
      <c r="H146" s="316" t="n">
        <v>72</v>
      </c>
      <c r="I146" s="316" t="n">
        <v>0</v>
      </c>
      <c r="J146" s="34" t="s">
        <v>749</v>
      </c>
      <c r="K146" s="31" t="n">
        <v>20000</v>
      </c>
      <c r="L146" s="31" t="n">
        <v>43200</v>
      </c>
      <c r="M146" s="37" t="n">
        <v>3000</v>
      </c>
      <c r="N146" s="30" t="n">
        <v>4200</v>
      </c>
      <c r="O146" s="30" t="n">
        <v>43200</v>
      </c>
      <c r="P146" s="36" t="n">
        <v>0</v>
      </c>
      <c r="Q146" s="302" t="n">
        <v>45313</v>
      </c>
    </row>
    <row r="147" customFormat="false" ht="26.1" hidden="true" customHeight="false" outlineLevel="0" collapsed="false">
      <c r="A147" s="20" t="n">
        <v>2040</v>
      </c>
      <c r="B147" s="34" t="s">
        <v>476</v>
      </c>
      <c r="C147" s="34" t="s">
        <v>883</v>
      </c>
      <c r="D147" s="34"/>
      <c r="E147" s="25" t="n">
        <v>45017</v>
      </c>
      <c r="F147" s="25" t="n">
        <v>45310</v>
      </c>
      <c r="G147" s="26" t="n">
        <v>210</v>
      </c>
      <c r="H147" s="316" t="n">
        <v>200</v>
      </c>
      <c r="I147" s="316" t="n">
        <v>10</v>
      </c>
      <c r="J147" s="68" t="s">
        <v>884</v>
      </c>
      <c r="K147" s="36" t="n">
        <v>100000</v>
      </c>
      <c r="L147" s="36" t="n">
        <v>250000</v>
      </c>
      <c r="M147" s="29" t="n">
        <v>6250</v>
      </c>
      <c r="N147" s="30"/>
      <c r="O147" s="30" t="n">
        <v>250000</v>
      </c>
      <c r="P147" s="36" t="n">
        <v>0</v>
      </c>
      <c r="Q147" s="302" t="n">
        <v>45313</v>
      </c>
    </row>
    <row r="148" customFormat="false" ht="42.5" hidden="true" customHeight="false" outlineLevel="0" collapsed="false">
      <c r="A148" s="20" t="n">
        <v>2303</v>
      </c>
      <c r="B148" s="34" t="s">
        <v>480</v>
      </c>
      <c r="C148" s="34" t="s">
        <v>481</v>
      </c>
      <c r="D148" s="34" t="n">
        <v>29201110</v>
      </c>
      <c r="E148" s="25" t="n">
        <v>45219</v>
      </c>
      <c r="F148" s="25" t="n">
        <v>45321</v>
      </c>
      <c r="G148" s="26" t="n">
        <v>72</v>
      </c>
      <c r="H148" s="316" t="n">
        <v>72</v>
      </c>
      <c r="I148" s="316" t="n">
        <v>0</v>
      </c>
      <c r="J148" s="34" t="s">
        <v>452</v>
      </c>
      <c r="K148" s="36" t="n">
        <v>30000</v>
      </c>
      <c r="L148" s="36" t="n">
        <v>64800</v>
      </c>
      <c r="M148" s="29" t="n">
        <v>4500</v>
      </c>
      <c r="N148" s="30" t="n">
        <v>10800</v>
      </c>
      <c r="O148" s="30" t="n">
        <v>64800</v>
      </c>
      <c r="P148" s="36" t="n">
        <v>0</v>
      </c>
      <c r="Q148" s="302" t="n">
        <v>45313</v>
      </c>
    </row>
    <row r="149" customFormat="false" ht="42.5" hidden="true" customHeight="false" outlineLevel="0" collapsed="false">
      <c r="A149" s="20" t="n">
        <v>2302</v>
      </c>
      <c r="B149" s="34" t="s">
        <v>885</v>
      </c>
      <c r="C149" s="34" t="s">
        <v>886</v>
      </c>
      <c r="D149" s="34" t="s">
        <v>526</v>
      </c>
      <c r="E149" s="25" t="n">
        <v>45218</v>
      </c>
      <c r="F149" s="24" t="n">
        <v>45320</v>
      </c>
      <c r="G149" s="26" t="n">
        <v>72</v>
      </c>
      <c r="H149" s="316" t="n">
        <v>72</v>
      </c>
      <c r="I149" s="316" t="n">
        <v>0</v>
      </c>
      <c r="J149" s="34" t="s">
        <v>452</v>
      </c>
      <c r="K149" s="36" t="n">
        <v>30000</v>
      </c>
      <c r="L149" s="36" t="n">
        <v>64800</v>
      </c>
      <c r="M149" s="29" t="n">
        <v>4500</v>
      </c>
      <c r="N149" s="30" t="n">
        <v>6300</v>
      </c>
      <c r="O149" s="30" t="n">
        <v>64800</v>
      </c>
      <c r="P149" s="36" t="n">
        <v>0</v>
      </c>
      <c r="Q149" s="302" t="n">
        <v>45313</v>
      </c>
    </row>
    <row r="150" customFormat="false" ht="42.5" hidden="true" customHeight="false" outlineLevel="0" collapsed="false">
      <c r="A150" s="20" t="n">
        <v>2299</v>
      </c>
      <c r="B150" s="34" t="s">
        <v>887</v>
      </c>
      <c r="C150" s="34" t="s">
        <v>888</v>
      </c>
      <c r="D150" s="34" t="n">
        <v>24172612</v>
      </c>
      <c r="E150" s="25" t="n">
        <v>45216</v>
      </c>
      <c r="F150" s="25" t="n">
        <v>45316</v>
      </c>
      <c r="G150" s="26" t="n">
        <v>72</v>
      </c>
      <c r="H150" s="316" t="n">
        <v>72</v>
      </c>
      <c r="I150" s="316" t="n">
        <v>0</v>
      </c>
      <c r="J150" s="34" t="s">
        <v>749</v>
      </c>
      <c r="K150" s="36" t="n">
        <v>20000</v>
      </c>
      <c r="L150" s="36" t="n">
        <v>43200</v>
      </c>
      <c r="M150" s="29" t="n">
        <v>3000</v>
      </c>
      <c r="N150" s="30" t="n">
        <v>7200</v>
      </c>
      <c r="O150" s="30" t="n">
        <v>43200</v>
      </c>
      <c r="P150" s="36" t="n">
        <v>0</v>
      </c>
      <c r="Q150" s="302" t="n">
        <v>45313</v>
      </c>
    </row>
    <row r="151" customFormat="false" ht="34.3" hidden="true" customHeight="false" outlineLevel="0" collapsed="false">
      <c r="A151" s="20" t="n">
        <v>2225</v>
      </c>
      <c r="B151" s="34" t="s">
        <v>889</v>
      </c>
      <c r="C151" s="34" t="s">
        <v>594</v>
      </c>
      <c r="D151" s="34"/>
      <c r="E151" s="25" t="n">
        <v>45152</v>
      </c>
      <c r="F151" s="25" t="n">
        <v>45252</v>
      </c>
      <c r="G151" s="26" t="n">
        <v>72</v>
      </c>
      <c r="H151" s="316" t="n">
        <v>72.7777777777778</v>
      </c>
      <c r="I151" s="316" t="n">
        <v>-0.777777777777772</v>
      </c>
      <c r="J151" s="34" t="s">
        <v>452</v>
      </c>
      <c r="K151" s="31" t="n">
        <v>30000</v>
      </c>
      <c r="L151" s="31" t="n">
        <v>64800</v>
      </c>
      <c r="M151" s="29" t="n">
        <v>4500</v>
      </c>
      <c r="N151" s="30" t="n">
        <v>9000</v>
      </c>
      <c r="O151" s="30" t="n">
        <v>65500</v>
      </c>
      <c r="P151" s="36" t="n">
        <v>-700</v>
      </c>
      <c r="Q151" s="302" t="n">
        <v>45313</v>
      </c>
    </row>
    <row r="152" customFormat="false" ht="26.1" hidden="true" customHeight="false" outlineLevel="0" collapsed="false">
      <c r="A152" s="20" t="n">
        <v>2263</v>
      </c>
      <c r="B152" s="34" t="s">
        <v>890</v>
      </c>
      <c r="C152" s="34"/>
      <c r="D152" s="34"/>
      <c r="E152" s="25" t="n">
        <v>45194</v>
      </c>
      <c r="F152" s="25" t="n">
        <v>45294</v>
      </c>
      <c r="G152" s="26" t="n">
        <v>72</v>
      </c>
      <c r="H152" s="316" t="n">
        <v>72.6666666666667</v>
      </c>
      <c r="I152" s="316" t="n">
        <v>-0.666666666666671</v>
      </c>
      <c r="J152" s="34" t="s">
        <v>774</v>
      </c>
      <c r="K152" s="36" t="n">
        <v>25000</v>
      </c>
      <c r="L152" s="36" t="n">
        <v>54000</v>
      </c>
      <c r="M152" s="29" t="n">
        <v>3750</v>
      </c>
      <c r="N152" s="30" t="n">
        <v>9500</v>
      </c>
      <c r="O152" s="30" t="n">
        <v>54500</v>
      </c>
      <c r="P152" s="36" t="n">
        <v>-500</v>
      </c>
      <c r="Q152" s="302" t="n">
        <v>45313</v>
      </c>
    </row>
    <row r="153" customFormat="false" ht="26.1" hidden="true" customHeight="false" outlineLevel="0" collapsed="false">
      <c r="A153" s="20" t="n">
        <v>2178</v>
      </c>
      <c r="B153" s="34" t="s">
        <v>385</v>
      </c>
      <c r="C153" s="34" t="s">
        <v>796</v>
      </c>
      <c r="D153" s="34"/>
      <c r="E153" s="25" t="n">
        <v>45133</v>
      </c>
      <c r="F153" s="25" t="n">
        <v>45331</v>
      </c>
      <c r="G153" s="26" t="n">
        <v>142</v>
      </c>
      <c r="H153" s="316" t="n">
        <v>120</v>
      </c>
      <c r="I153" s="316" t="n">
        <v>22</v>
      </c>
      <c r="J153" s="52" t="s">
        <v>891</v>
      </c>
      <c r="K153" s="31" t="n">
        <v>30000</v>
      </c>
      <c r="L153" s="31" t="n">
        <v>79200</v>
      </c>
      <c r="M153" s="29" t="n">
        <v>3300</v>
      </c>
      <c r="N153" s="30" t="n">
        <v>13200</v>
      </c>
      <c r="O153" s="30" t="n">
        <v>79200</v>
      </c>
      <c r="P153" s="36" t="n">
        <v>0</v>
      </c>
      <c r="Q153" s="302" t="n">
        <v>45320</v>
      </c>
    </row>
    <row r="154" customFormat="false" ht="17.9" hidden="true" customHeight="false" outlineLevel="0" collapsed="false">
      <c r="A154" s="20" t="n">
        <v>2029</v>
      </c>
      <c r="B154" s="34" t="s">
        <v>392</v>
      </c>
      <c r="C154" s="34" t="s">
        <v>393</v>
      </c>
      <c r="D154" s="34"/>
      <c r="E154" s="25" t="n">
        <v>45007</v>
      </c>
      <c r="F154" s="25" t="n">
        <v>45231</v>
      </c>
      <c r="G154" s="26" t="n">
        <v>160</v>
      </c>
      <c r="H154" s="316" t="n">
        <v>320</v>
      </c>
      <c r="I154" s="316" t="n">
        <v>-160</v>
      </c>
      <c r="J154" s="68" t="s">
        <v>892</v>
      </c>
      <c r="K154" s="31" t="n">
        <v>30000</v>
      </c>
      <c r="L154" s="31" t="n">
        <v>87200</v>
      </c>
      <c r="M154" s="37" t="n">
        <v>1362.5</v>
      </c>
      <c r="N154" s="30" t="n">
        <v>7000</v>
      </c>
      <c r="O154" s="30" t="n">
        <v>87200</v>
      </c>
      <c r="P154" s="36" t="n">
        <v>0</v>
      </c>
      <c r="Q154" s="302" t="n">
        <v>45320</v>
      </c>
    </row>
    <row r="155" customFormat="false" ht="34.3" hidden="true" customHeight="false" outlineLevel="0" collapsed="false">
      <c r="A155" s="20" t="n">
        <v>2445</v>
      </c>
      <c r="B155" s="34" t="s">
        <v>804</v>
      </c>
      <c r="C155" s="34" t="s">
        <v>750</v>
      </c>
      <c r="D155" s="34"/>
      <c r="E155" s="25" t="n">
        <v>45318</v>
      </c>
      <c r="F155" s="25" t="n">
        <v>45324</v>
      </c>
      <c r="G155" s="26" t="n">
        <v>5</v>
      </c>
      <c r="H155" s="316" t="e">
        <f aca="false">#DIV/0!</f>
        <v>#DIV/0!</v>
      </c>
      <c r="I155" s="316" t="e">
        <f aca="false">#DIV/0!</f>
        <v>#DIV/0!</v>
      </c>
      <c r="J155" s="52" t="s">
        <v>751</v>
      </c>
      <c r="K155" s="31" t="n">
        <v>30000</v>
      </c>
      <c r="L155" s="31" t="n">
        <v>39000</v>
      </c>
      <c r="M155" s="37"/>
      <c r="N155" s="30" t="n">
        <v>39000</v>
      </c>
      <c r="O155" s="30" t="n">
        <v>39000</v>
      </c>
      <c r="P155" s="36" t="n">
        <v>0</v>
      </c>
      <c r="Q155" s="302" t="n">
        <v>45320</v>
      </c>
    </row>
    <row r="156" customFormat="false" ht="17.9" hidden="true" customHeight="false" outlineLevel="0" collapsed="false">
      <c r="A156" s="20" t="n">
        <v>2266</v>
      </c>
      <c r="B156" s="34" t="s">
        <v>461</v>
      </c>
      <c r="C156" s="34"/>
      <c r="D156" s="34"/>
      <c r="E156" s="25" t="n">
        <v>45195</v>
      </c>
      <c r="F156" s="25" t="n">
        <v>45295</v>
      </c>
      <c r="G156" s="26" t="n">
        <v>72</v>
      </c>
      <c r="H156" s="316" t="n">
        <v>72</v>
      </c>
      <c r="I156" s="316" t="n">
        <v>0</v>
      </c>
      <c r="J156" s="34" t="s">
        <v>774</v>
      </c>
      <c r="K156" s="36" t="n">
        <v>25000</v>
      </c>
      <c r="L156" s="36" t="n">
        <v>54000</v>
      </c>
      <c r="M156" s="29" t="n">
        <v>3750</v>
      </c>
      <c r="N156" s="74" t="n">
        <v>1500</v>
      </c>
      <c r="O156" s="30" t="n">
        <v>54000</v>
      </c>
      <c r="P156" s="36" t="n">
        <v>0</v>
      </c>
      <c r="Q156" s="302" t="n">
        <v>45320</v>
      </c>
    </row>
    <row r="157" customFormat="false" ht="34.3" hidden="true" customHeight="false" outlineLevel="0" collapsed="false">
      <c r="A157" s="20" t="n">
        <v>2321</v>
      </c>
      <c r="B157" s="34" t="s">
        <v>483</v>
      </c>
      <c r="C157" s="34" t="s">
        <v>484</v>
      </c>
      <c r="D157" s="34"/>
      <c r="E157" s="25" t="n">
        <v>45220</v>
      </c>
      <c r="F157" s="25" t="n">
        <v>45317</v>
      </c>
      <c r="G157" s="26" t="n">
        <v>70</v>
      </c>
      <c r="H157" s="316" t="n">
        <v>70</v>
      </c>
      <c r="I157" s="316" t="n">
        <v>0</v>
      </c>
      <c r="J157" s="52" t="s">
        <v>893</v>
      </c>
      <c r="K157" s="36" t="n">
        <v>20000</v>
      </c>
      <c r="L157" s="36" t="n">
        <v>43400</v>
      </c>
      <c r="M157" s="29" t="n">
        <v>3100</v>
      </c>
      <c r="N157" s="30" t="n">
        <v>6200</v>
      </c>
      <c r="O157" s="30" t="n">
        <v>43400</v>
      </c>
      <c r="P157" s="36" t="n">
        <v>0</v>
      </c>
      <c r="Q157" s="302" t="n">
        <v>45320</v>
      </c>
    </row>
    <row r="158" customFormat="false" ht="26.1" hidden="true" customHeight="false" outlineLevel="0" collapsed="false">
      <c r="A158" s="20" t="n">
        <v>2397</v>
      </c>
      <c r="B158" s="34" t="s">
        <v>754</v>
      </c>
      <c r="C158" s="34" t="s">
        <v>755</v>
      </c>
      <c r="D158" s="34"/>
      <c r="E158" s="25" t="n">
        <v>45293</v>
      </c>
      <c r="F158" s="25" t="n">
        <v>45321</v>
      </c>
      <c r="G158" s="26" t="n">
        <v>20</v>
      </c>
      <c r="H158" s="316" t="e">
        <f aca="false">#DIV/0!</f>
        <v>#DIV/0!</v>
      </c>
      <c r="I158" s="316" t="e">
        <f aca="false">#DIV/0!</f>
        <v>#DIV/0!</v>
      </c>
      <c r="J158" s="52" t="s">
        <v>751</v>
      </c>
      <c r="K158" s="36" t="n">
        <v>40000</v>
      </c>
      <c r="L158" s="36" t="n">
        <v>60000</v>
      </c>
      <c r="M158" s="29"/>
      <c r="N158" s="30" t="n">
        <v>60000</v>
      </c>
      <c r="O158" s="30" t="n">
        <v>60000</v>
      </c>
      <c r="P158" s="36" t="n">
        <v>0</v>
      </c>
      <c r="Q158" s="302" t="n">
        <v>45320</v>
      </c>
    </row>
    <row r="159" customFormat="false" ht="34.3" hidden="true" customHeight="false" outlineLevel="0" collapsed="false">
      <c r="A159" s="20" t="n">
        <v>2296</v>
      </c>
      <c r="B159" s="34" t="s">
        <v>607</v>
      </c>
      <c r="C159" s="34" t="s">
        <v>608</v>
      </c>
      <c r="D159" s="34" t="n">
        <v>35869349</v>
      </c>
      <c r="E159" s="25" t="n">
        <v>45213</v>
      </c>
      <c r="F159" s="25" t="n">
        <v>45314</v>
      </c>
      <c r="G159" s="26" t="n">
        <v>72</v>
      </c>
      <c r="H159" s="316" t="n">
        <v>72</v>
      </c>
      <c r="I159" s="316" t="n">
        <v>0</v>
      </c>
      <c r="J159" s="34" t="s">
        <v>381</v>
      </c>
      <c r="K159" s="31" t="n">
        <v>50000</v>
      </c>
      <c r="L159" s="31" t="n">
        <v>108000</v>
      </c>
      <c r="M159" s="37" t="n">
        <v>7500</v>
      </c>
      <c r="N159" s="30" t="n">
        <v>13000</v>
      </c>
      <c r="O159" s="30" t="n">
        <v>108000</v>
      </c>
      <c r="P159" s="36" t="n">
        <v>0</v>
      </c>
      <c r="Q159" s="302" t="n">
        <v>45320</v>
      </c>
    </row>
    <row r="160" customFormat="false" ht="17.9" hidden="true" customHeight="false" outlineLevel="0" collapsed="false">
      <c r="A160" s="20" t="n">
        <v>2448</v>
      </c>
      <c r="B160" s="34" t="s">
        <v>236</v>
      </c>
      <c r="C160" s="34"/>
      <c r="D160" s="34"/>
      <c r="E160" s="25" t="n">
        <v>45320</v>
      </c>
      <c r="F160" s="25" t="n">
        <v>45327</v>
      </c>
      <c r="G160" s="26" t="n">
        <v>5</v>
      </c>
      <c r="H160" s="316" t="e">
        <f aca="false">#DIV/0!</f>
        <v>#DIV/0!</v>
      </c>
      <c r="I160" s="316" t="e">
        <f aca="false">#DIV/0!</f>
        <v>#DIV/0!</v>
      </c>
      <c r="J160" s="52" t="s">
        <v>751</v>
      </c>
      <c r="K160" s="31" t="n">
        <v>5000</v>
      </c>
      <c r="L160" s="31" t="n">
        <v>5750</v>
      </c>
      <c r="M160" s="37"/>
      <c r="N160" s="30" t="n">
        <v>5750</v>
      </c>
      <c r="O160" s="30" t="n">
        <v>5750</v>
      </c>
      <c r="P160" s="31" t="n">
        <v>0</v>
      </c>
      <c r="Q160" s="302" t="n">
        <v>45327</v>
      </c>
    </row>
    <row r="161" customFormat="false" ht="34.3" hidden="true" customHeight="false" outlineLevel="0" collapsed="false">
      <c r="A161" s="20" t="n">
        <v>2385</v>
      </c>
      <c r="B161" s="34" t="s">
        <v>811</v>
      </c>
      <c r="C161" s="34" t="s">
        <v>486</v>
      </c>
      <c r="D161" s="34"/>
      <c r="E161" s="25" t="n">
        <v>45282</v>
      </c>
      <c r="F161" s="25" t="n">
        <v>45324</v>
      </c>
      <c r="G161" s="26" t="n">
        <v>30</v>
      </c>
      <c r="H161" s="316" t="e">
        <f aca="false">#DIV/0!</f>
        <v>#DIV/0!</v>
      </c>
      <c r="I161" s="316" t="e">
        <f aca="false">#DIV/0!</f>
        <v>#DIV/0!</v>
      </c>
      <c r="J161" s="52" t="s">
        <v>894</v>
      </c>
      <c r="K161" s="31" t="n">
        <v>20000</v>
      </c>
      <c r="L161" s="31" t="n">
        <v>34000</v>
      </c>
      <c r="M161" s="37"/>
      <c r="N161" s="41" t="n">
        <v>17000</v>
      </c>
      <c r="O161" s="30" t="n">
        <v>34000</v>
      </c>
      <c r="P161" s="36" t="n">
        <v>0</v>
      </c>
      <c r="Q161" s="302" t="n">
        <v>45327</v>
      </c>
    </row>
    <row r="162" customFormat="false" ht="26.1" hidden="true" customHeight="false" outlineLevel="0" collapsed="false">
      <c r="A162" s="20" t="n">
        <v>2444</v>
      </c>
      <c r="B162" s="34" t="s">
        <v>794</v>
      </c>
      <c r="C162" s="34" t="s">
        <v>880</v>
      </c>
      <c r="D162" s="34"/>
      <c r="E162" s="25" t="n">
        <v>45318</v>
      </c>
      <c r="F162" s="25" t="n">
        <v>45324</v>
      </c>
      <c r="G162" s="26" t="n">
        <v>5</v>
      </c>
      <c r="H162" s="316" t="e">
        <f aca="false">#DIV/0!</f>
        <v>#DIV/0!</v>
      </c>
      <c r="I162" s="316" t="e">
        <f aca="false">#DIV/0!</f>
        <v>#DIV/0!</v>
      </c>
      <c r="J162" s="52" t="s">
        <v>751</v>
      </c>
      <c r="K162" s="36" t="n">
        <v>50000</v>
      </c>
      <c r="L162" s="36" t="n">
        <v>75000</v>
      </c>
      <c r="M162" s="29"/>
      <c r="N162" s="64" t="n">
        <v>75000</v>
      </c>
      <c r="O162" s="30" t="n">
        <v>75000</v>
      </c>
      <c r="P162" s="36" t="n">
        <v>0</v>
      </c>
      <c r="Q162" s="302" t="n">
        <v>45327</v>
      </c>
    </row>
    <row r="163" customFormat="false" ht="26.1" hidden="true" customHeight="false" outlineLevel="0" collapsed="false">
      <c r="A163" s="20" t="n">
        <v>2201</v>
      </c>
      <c r="B163" s="34" t="s">
        <v>765</v>
      </c>
      <c r="C163" s="34" t="s">
        <v>252</v>
      </c>
      <c r="D163" s="34" t="s">
        <v>253</v>
      </c>
      <c r="E163" s="25" t="n">
        <v>45148</v>
      </c>
      <c r="F163" s="25" t="n">
        <v>45301</v>
      </c>
      <c r="G163" s="26" t="n">
        <v>109</v>
      </c>
      <c r="H163" s="316" t="n">
        <v>100</v>
      </c>
      <c r="I163" s="316" t="n">
        <v>9</v>
      </c>
      <c r="J163" s="52" t="s">
        <v>895</v>
      </c>
      <c r="K163" s="31" t="n">
        <v>50000</v>
      </c>
      <c r="L163" s="31" t="n">
        <v>108000</v>
      </c>
      <c r="M163" s="37" t="n">
        <v>5400</v>
      </c>
      <c r="N163" s="30" t="n">
        <v>1300</v>
      </c>
      <c r="O163" s="30" t="n">
        <v>108000</v>
      </c>
      <c r="P163" s="36" t="n">
        <v>0</v>
      </c>
      <c r="Q163" s="302" t="n">
        <v>45327</v>
      </c>
    </row>
    <row r="164" customFormat="false" ht="26.1" hidden="true" customHeight="false" outlineLevel="0" collapsed="false">
      <c r="A164" s="20" t="n">
        <v>2348</v>
      </c>
      <c r="B164" s="34" t="s">
        <v>896</v>
      </c>
      <c r="C164" s="34" t="s">
        <v>292</v>
      </c>
      <c r="D164" s="34"/>
      <c r="E164" s="25" t="n">
        <v>45255</v>
      </c>
      <c r="F164" s="25" t="n">
        <v>45356</v>
      </c>
      <c r="G164" s="26" t="n">
        <v>72</v>
      </c>
      <c r="H164" s="316" t="n">
        <v>72</v>
      </c>
      <c r="I164" s="316" t="n">
        <v>0</v>
      </c>
      <c r="J164" s="34" t="s">
        <v>452</v>
      </c>
      <c r="K164" s="31" t="n">
        <v>30000</v>
      </c>
      <c r="L164" s="31" t="n">
        <v>64800</v>
      </c>
      <c r="M164" s="37" t="n">
        <v>4500</v>
      </c>
      <c r="N164" s="30" t="n">
        <v>1800</v>
      </c>
      <c r="O164" s="30" t="n">
        <v>64800</v>
      </c>
      <c r="P164" s="36" t="n">
        <v>0</v>
      </c>
      <c r="Q164" s="302" t="n">
        <v>45327</v>
      </c>
    </row>
    <row r="165" customFormat="false" ht="26.1" hidden="true" customHeight="false" outlineLevel="0" collapsed="false">
      <c r="A165" s="20" t="n">
        <v>2255</v>
      </c>
      <c r="B165" s="34" t="s">
        <v>326</v>
      </c>
      <c r="C165" s="34" t="s">
        <v>770</v>
      </c>
      <c r="D165" s="34"/>
      <c r="E165" s="25" t="n">
        <v>45184</v>
      </c>
      <c r="F165" s="25" t="n">
        <v>45362</v>
      </c>
      <c r="G165" s="26" t="n">
        <v>126</v>
      </c>
      <c r="H165" s="316" t="n">
        <v>120</v>
      </c>
      <c r="I165" s="316" t="n">
        <v>6</v>
      </c>
      <c r="J165" s="52" t="s">
        <v>897</v>
      </c>
      <c r="K165" s="36" t="n">
        <v>80000</v>
      </c>
      <c r="L165" s="36" t="n">
        <v>211200</v>
      </c>
      <c r="M165" s="29" t="n">
        <v>8800</v>
      </c>
      <c r="N165" s="30" t="n">
        <v>105800</v>
      </c>
      <c r="O165" s="30" t="n">
        <v>211200</v>
      </c>
      <c r="P165" s="36" t="n">
        <v>0</v>
      </c>
      <c r="Q165" s="302" t="n">
        <v>45327</v>
      </c>
    </row>
    <row r="166" customFormat="false" ht="26.1" hidden="true" customHeight="false" outlineLevel="0" collapsed="false">
      <c r="A166" s="20" t="n">
        <v>2308</v>
      </c>
      <c r="B166" s="34" t="s">
        <v>326</v>
      </c>
      <c r="C166" s="34" t="s">
        <v>770</v>
      </c>
      <c r="D166" s="34"/>
      <c r="E166" s="25" t="n">
        <v>45223</v>
      </c>
      <c r="F166" s="25" t="n">
        <v>45393</v>
      </c>
      <c r="G166" s="26" t="n">
        <v>122</v>
      </c>
      <c r="H166" s="316" t="n">
        <v>122.015097827762</v>
      </c>
      <c r="I166" s="316" t="n">
        <v>-0.0150978277615224</v>
      </c>
      <c r="J166" s="52" t="s">
        <v>898</v>
      </c>
      <c r="K166" s="31" t="n">
        <v>60000</v>
      </c>
      <c r="L166" s="31" t="n">
        <v>158400</v>
      </c>
      <c r="M166" s="37" t="n">
        <v>6491</v>
      </c>
      <c r="N166" s="30" t="n">
        <v>79200</v>
      </c>
      <c r="O166" s="30" t="n">
        <v>158400</v>
      </c>
      <c r="P166" s="36" t="n">
        <v>0</v>
      </c>
      <c r="Q166" s="302" t="n">
        <v>45327</v>
      </c>
    </row>
    <row r="167" customFormat="false" ht="26.1" hidden="true" customHeight="false" outlineLevel="0" collapsed="false">
      <c r="A167" s="20" t="n">
        <v>2300</v>
      </c>
      <c r="B167" s="34" t="s">
        <v>356</v>
      </c>
      <c r="C167" s="34" t="s">
        <v>357</v>
      </c>
      <c r="D167" s="34" t="s">
        <v>358</v>
      </c>
      <c r="E167" s="25" t="n">
        <v>45216</v>
      </c>
      <c r="F167" s="25" t="n">
        <v>45328</v>
      </c>
      <c r="G167" s="26" t="n">
        <v>80</v>
      </c>
      <c r="H167" s="316" t="n">
        <v>85.5555555555556</v>
      </c>
      <c r="I167" s="316" t="n">
        <v>-5.55555555555556</v>
      </c>
      <c r="J167" s="52" t="s">
        <v>899</v>
      </c>
      <c r="K167" s="36" t="n">
        <v>20000</v>
      </c>
      <c r="L167" s="36" t="n">
        <v>46200</v>
      </c>
      <c r="M167" s="29" t="n">
        <v>2700</v>
      </c>
      <c r="N167" s="30" t="n">
        <v>10800</v>
      </c>
      <c r="O167" s="30" t="n">
        <v>46200</v>
      </c>
      <c r="P167" s="36" t="n">
        <v>0</v>
      </c>
      <c r="Q167" s="302" t="n">
        <v>45327</v>
      </c>
    </row>
    <row r="168" customFormat="false" ht="26.1" hidden="true" customHeight="false" outlineLevel="0" collapsed="false">
      <c r="A168" s="20" t="n">
        <v>2443</v>
      </c>
      <c r="B168" s="34" t="s">
        <v>356</v>
      </c>
      <c r="C168" s="34" t="s">
        <v>357</v>
      </c>
      <c r="D168" s="34" t="s">
        <v>358</v>
      </c>
      <c r="E168" s="25" t="n">
        <v>45317</v>
      </c>
      <c r="F168" s="25" t="n">
        <v>45331</v>
      </c>
      <c r="G168" s="26" t="n">
        <v>10</v>
      </c>
      <c r="H168" s="316" t="e">
        <f aca="false">#VALUE!</f>
        <v>#VALUE!</v>
      </c>
      <c r="I168" s="316" t="e">
        <f aca="false">#VALUE!</f>
        <v>#VALUE!</v>
      </c>
      <c r="J168" s="52" t="s">
        <v>751</v>
      </c>
      <c r="K168" s="36" t="n">
        <v>20000</v>
      </c>
      <c r="L168" s="36" t="n">
        <v>29000</v>
      </c>
      <c r="M168" s="29" t="s">
        <v>214</v>
      </c>
      <c r="N168" s="30" t="n">
        <v>29000</v>
      </c>
      <c r="O168" s="30" t="n">
        <v>29000</v>
      </c>
      <c r="P168" s="36" t="n">
        <v>0</v>
      </c>
      <c r="Q168" s="302" t="n">
        <v>45327</v>
      </c>
    </row>
    <row r="169" customFormat="false" ht="34.3" hidden="true" customHeight="false" outlineLevel="0" collapsed="false">
      <c r="A169" s="20" t="n">
        <v>2273</v>
      </c>
      <c r="B169" s="34" t="s">
        <v>450</v>
      </c>
      <c r="C169" s="34" t="s">
        <v>451</v>
      </c>
      <c r="D169" s="34"/>
      <c r="E169" s="25" t="n">
        <v>45198</v>
      </c>
      <c r="F169" s="25" t="n">
        <v>45300</v>
      </c>
      <c r="G169" s="26" t="n">
        <v>72</v>
      </c>
      <c r="H169" s="316" t="n">
        <v>72</v>
      </c>
      <c r="I169" s="316" t="n">
        <v>0</v>
      </c>
      <c r="J169" s="34" t="s">
        <v>769</v>
      </c>
      <c r="K169" s="31" t="n">
        <v>10000</v>
      </c>
      <c r="L169" s="31" t="n">
        <v>21600</v>
      </c>
      <c r="M169" s="37" t="n">
        <v>1500</v>
      </c>
      <c r="N169" s="30" t="n">
        <v>4100</v>
      </c>
      <c r="O169" s="30" t="n">
        <v>21600</v>
      </c>
      <c r="P169" s="36" t="n">
        <v>0</v>
      </c>
      <c r="Q169" s="302" t="n">
        <v>45327</v>
      </c>
    </row>
    <row r="170" customFormat="false" ht="42" hidden="true" customHeight="false" outlineLevel="0" collapsed="false">
      <c r="A170" s="20" t="n">
        <v>2138</v>
      </c>
      <c r="B170" s="34" t="s">
        <v>833</v>
      </c>
      <c r="C170" s="34" t="s">
        <v>834</v>
      </c>
      <c r="D170" s="34"/>
      <c r="E170" s="25" t="n">
        <v>45103</v>
      </c>
      <c r="F170" s="25" t="n">
        <v>45355</v>
      </c>
      <c r="G170" s="26" t="n">
        <v>180</v>
      </c>
      <c r="H170" s="316" t="n">
        <v>164.62</v>
      </c>
      <c r="I170" s="316" t="n">
        <v>15.38</v>
      </c>
      <c r="J170" s="52" t="s">
        <v>900</v>
      </c>
      <c r="K170" s="36" t="n">
        <v>40000</v>
      </c>
      <c r="L170" s="36" t="n">
        <v>120000</v>
      </c>
      <c r="M170" s="29" t="n">
        <v>3750</v>
      </c>
      <c r="N170" s="30" t="n">
        <v>7835</v>
      </c>
      <c r="O170" s="30" t="n">
        <v>123465</v>
      </c>
      <c r="P170" s="36" t="n">
        <v>-3465</v>
      </c>
      <c r="Q170" s="302" t="n">
        <v>45327</v>
      </c>
    </row>
    <row r="171" customFormat="false" ht="14.25" hidden="true" customHeight="false" outlineLevel="0" collapsed="false">
      <c r="A171" s="20" t="n">
        <v>2421</v>
      </c>
      <c r="B171" s="34" t="s">
        <v>861</v>
      </c>
      <c r="C171" s="34"/>
      <c r="D171" s="34"/>
      <c r="E171" s="25" t="n">
        <v>45305</v>
      </c>
      <c r="F171" s="25" t="n">
        <v>45331</v>
      </c>
      <c r="G171" s="26" t="n">
        <v>20</v>
      </c>
      <c r="H171" s="316"/>
      <c r="I171" s="316"/>
      <c r="J171" s="34" t="s">
        <v>751</v>
      </c>
      <c r="K171" s="36" t="n">
        <v>10000</v>
      </c>
      <c r="L171" s="36" t="n">
        <v>16000</v>
      </c>
      <c r="M171" s="29"/>
      <c r="N171" s="30" t="n">
        <v>16000</v>
      </c>
      <c r="O171" s="30" t="n">
        <v>16000</v>
      </c>
      <c r="P171" s="36" t="n">
        <v>0</v>
      </c>
      <c r="Q171" s="302" t="n">
        <v>45327</v>
      </c>
    </row>
    <row r="172" customFormat="false" ht="14.25" hidden="true" customHeight="false" outlineLevel="0" collapsed="false">
      <c r="A172" s="20" t="n">
        <v>2427</v>
      </c>
      <c r="B172" s="34" t="s">
        <v>861</v>
      </c>
      <c r="C172" s="34"/>
      <c r="D172" s="34"/>
      <c r="E172" s="25" t="n">
        <v>45308</v>
      </c>
      <c r="F172" s="25" t="n">
        <v>45330</v>
      </c>
      <c r="G172" s="26" t="n">
        <v>16</v>
      </c>
      <c r="H172" s="316"/>
      <c r="I172" s="316"/>
      <c r="J172" s="34" t="s">
        <v>751</v>
      </c>
      <c r="K172" s="31" t="n">
        <v>5000</v>
      </c>
      <c r="L172" s="31" t="n">
        <v>8000</v>
      </c>
      <c r="M172" s="29"/>
      <c r="N172" s="30" t="n">
        <v>8000</v>
      </c>
      <c r="O172" s="30" t="n">
        <v>8000</v>
      </c>
      <c r="P172" s="36" t="n">
        <v>0</v>
      </c>
      <c r="Q172" s="302" t="n">
        <v>45327</v>
      </c>
    </row>
    <row r="173" customFormat="false" ht="14.25" hidden="true" customHeight="false" outlineLevel="0" collapsed="false">
      <c r="A173" s="20" t="n">
        <v>2435</v>
      </c>
      <c r="B173" s="34" t="s">
        <v>861</v>
      </c>
      <c r="C173" s="34"/>
      <c r="D173" s="34"/>
      <c r="E173" s="25" t="n">
        <v>45313</v>
      </c>
      <c r="F173" s="25" t="n">
        <v>45330</v>
      </c>
      <c r="G173" s="26" t="n">
        <v>13</v>
      </c>
      <c r="H173" s="316"/>
      <c r="I173" s="316"/>
      <c r="J173" s="34" t="s">
        <v>751</v>
      </c>
      <c r="K173" s="31" t="n">
        <v>10000</v>
      </c>
      <c r="L173" s="31" t="n">
        <v>16000</v>
      </c>
      <c r="M173" s="37"/>
      <c r="N173" s="30" t="n">
        <v>16000</v>
      </c>
      <c r="O173" s="30" t="n">
        <v>16000</v>
      </c>
      <c r="P173" s="36" t="n">
        <v>0</v>
      </c>
      <c r="Q173" s="302" t="n">
        <v>45327</v>
      </c>
    </row>
    <row r="174" customFormat="false" ht="34.3" hidden="true" customHeight="false" outlineLevel="0" collapsed="false">
      <c r="A174" s="20" t="n">
        <v>2169</v>
      </c>
      <c r="B174" s="34" t="s">
        <v>779</v>
      </c>
      <c r="C174" s="34"/>
      <c r="D174" s="34"/>
      <c r="E174" s="25" t="n">
        <v>45126</v>
      </c>
      <c r="F174" s="25" t="n">
        <v>45330</v>
      </c>
      <c r="G174" s="26" t="n">
        <v>146</v>
      </c>
      <c r="H174" s="316" t="n">
        <v>120</v>
      </c>
      <c r="I174" s="316" t="n">
        <v>26</v>
      </c>
      <c r="J174" s="52" t="s">
        <v>901</v>
      </c>
      <c r="K174" s="31" t="n">
        <v>30000</v>
      </c>
      <c r="L174" s="31" t="n">
        <v>60300</v>
      </c>
      <c r="M174" s="29" t="n">
        <v>2512.5</v>
      </c>
      <c r="N174" s="30" t="n">
        <v>10050</v>
      </c>
      <c r="O174" s="30" t="n">
        <v>60300</v>
      </c>
      <c r="P174" s="36" t="n">
        <v>0</v>
      </c>
      <c r="Q174" s="302" t="n">
        <v>45327</v>
      </c>
    </row>
    <row r="175" customFormat="false" ht="17.9" hidden="true" customHeight="false" outlineLevel="0" collapsed="false">
      <c r="A175" s="20" t="n">
        <v>2398</v>
      </c>
      <c r="B175" s="34" t="s">
        <v>510</v>
      </c>
      <c r="C175" s="34"/>
      <c r="D175" s="34"/>
      <c r="E175" s="25" t="n">
        <v>45294</v>
      </c>
      <c r="F175" s="25" t="n">
        <v>45331</v>
      </c>
      <c r="G175" s="26" t="n">
        <v>27</v>
      </c>
      <c r="H175" s="316" t="e">
        <f aca="false">#VALUE!</f>
        <v>#VALUE!</v>
      </c>
      <c r="I175" s="316" t="e">
        <f aca="false">#VALUE!</f>
        <v>#VALUE!</v>
      </c>
      <c r="J175" s="52" t="s">
        <v>751</v>
      </c>
      <c r="K175" s="36" t="n">
        <v>15000</v>
      </c>
      <c r="L175" s="36" t="n">
        <v>22500</v>
      </c>
      <c r="M175" s="29" t="s">
        <v>214</v>
      </c>
      <c r="N175" s="30" t="n">
        <v>22500</v>
      </c>
      <c r="O175" s="30" t="n">
        <v>22500</v>
      </c>
      <c r="P175" s="36" t="n">
        <v>0</v>
      </c>
      <c r="Q175" s="302" t="n">
        <v>45327</v>
      </c>
    </row>
    <row r="176" customFormat="false" ht="26.1" hidden="true" customHeight="false" outlineLevel="0" collapsed="false">
      <c r="A176" s="20" t="n">
        <v>2410</v>
      </c>
      <c r="B176" s="34" t="s">
        <v>758</v>
      </c>
      <c r="C176" s="34"/>
      <c r="D176" s="34"/>
      <c r="E176" s="25" t="n">
        <v>45301</v>
      </c>
      <c r="F176" s="25" t="n">
        <v>45323</v>
      </c>
      <c r="G176" s="26" t="n">
        <v>16</v>
      </c>
      <c r="H176" s="316" t="e">
        <f aca="false">#DIV/0!</f>
        <v>#DIV/0!</v>
      </c>
      <c r="I176" s="316" t="e">
        <f aca="false">#DIV/0!</f>
        <v>#DIV/0!</v>
      </c>
      <c r="J176" s="52" t="s">
        <v>751</v>
      </c>
      <c r="K176" s="31" t="n">
        <v>5000</v>
      </c>
      <c r="L176" s="31" t="n">
        <v>7500</v>
      </c>
      <c r="M176" s="37"/>
      <c r="N176" s="30" t="n">
        <v>8000</v>
      </c>
      <c r="O176" s="30" t="n">
        <v>8000</v>
      </c>
      <c r="P176" s="36" t="n">
        <v>-500</v>
      </c>
      <c r="Q176" s="302" t="n">
        <v>45327</v>
      </c>
    </row>
    <row r="177" customFormat="false" ht="26.1" hidden="true" customHeight="false" outlineLevel="0" collapsed="false">
      <c r="A177" s="20" t="n">
        <v>2287</v>
      </c>
      <c r="B177" s="34" t="s">
        <v>230</v>
      </c>
      <c r="C177" s="34" t="s">
        <v>231</v>
      </c>
      <c r="D177" s="34" t="s">
        <v>819</v>
      </c>
      <c r="E177" s="25" t="n">
        <v>45208</v>
      </c>
      <c r="F177" s="25" t="n">
        <v>45308</v>
      </c>
      <c r="G177" s="26" t="n">
        <v>72</v>
      </c>
      <c r="H177" s="316" t="n">
        <v>72</v>
      </c>
      <c r="I177" s="316" t="n">
        <v>0</v>
      </c>
      <c r="J177" s="34" t="s">
        <v>749</v>
      </c>
      <c r="K177" s="31" t="n">
        <v>20000</v>
      </c>
      <c r="L177" s="31" t="n">
        <v>43200</v>
      </c>
      <c r="M177" s="37" t="n">
        <v>3000</v>
      </c>
      <c r="N177" s="30" t="n">
        <v>4200</v>
      </c>
      <c r="O177" s="30" t="n">
        <v>43200</v>
      </c>
      <c r="P177" s="31" t="n">
        <v>0</v>
      </c>
      <c r="Q177" s="302" t="n">
        <v>45334</v>
      </c>
    </row>
    <row r="178" customFormat="false" ht="26.1" hidden="true" customHeight="false" outlineLevel="0" collapsed="false">
      <c r="A178" s="20" t="n">
        <v>2381</v>
      </c>
      <c r="B178" s="34" t="s">
        <v>230</v>
      </c>
      <c r="C178" s="34" t="s">
        <v>231</v>
      </c>
      <c r="D178" s="34" t="s">
        <v>819</v>
      </c>
      <c r="E178" s="25" t="n">
        <v>45280</v>
      </c>
      <c r="F178" s="25" t="n">
        <v>45380</v>
      </c>
      <c r="G178" s="26" t="n">
        <v>72</v>
      </c>
      <c r="H178" s="316" t="n">
        <v>72.0289855072464</v>
      </c>
      <c r="I178" s="316" t="n">
        <v>-0.0289855072463752</v>
      </c>
      <c r="J178" s="34" t="s">
        <v>749</v>
      </c>
      <c r="K178" s="31" t="n">
        <v>23000</v>
      </c>
      <c r="L178" s="31" t="n">
        <v>49680</v>
      </c>
      <c r="M178" s="37" t="n">
        <v>3450</v>
      </c>
      <c r="N178" s="30" t="n">
        <v>29000</v>
      </c>
      <c r="O178" s="30" t="n">
        <v>49700</v>
      </c>
      <c r="P178" s="31" t="n">
        <v>-20</v>
      </c>
      <c r="Q178" s="302" t="n">
        <v>45334</v>
      </c>
    </row>
    <row r="179" customFormat="false" ht="26.1" hidden="true" customHeight="false" outlineLevel="0" collapsed="false">
      <c r="A179" s="20" t="n">
        <v>2473</v>
      </c>
      <c r="B179" s="34" t="s">
        <v>794</v>
      </c>
      <c r="C179" s="34" t="s">
        <v>880</v>
      </c>
      <c r="D179" s="34"/>
      <c r="E179" s="25" t="n">
        <v>45336</v>
      </c>
      <c r="F179" s="25" t="n">
        <v>45338</v>
      </c>
      <c r="G179" s="26" t="n">
        <v>2</v>
      </c>
      <c r="H179" s="316" t="e">
        <f aca="false">#DIV/0!</f>
        <v>#DIV/0!</v>
      </c>
      <c r="I179" s="316" t="e">
        <f aca="false">#DIV/0!</f>
        <v>#DIV/0!</v>
      </c>
      <c r="J179" s="52" t="s">
        <v>751</v>
      </c>
      <c r="K179" s="31" t="n">
        <v>30000</v>
      </c>
      <c r="L179" s="31" t="n">
        <v>36000</v>
      </c>
      <c r="M179" s="37"/>
      <c r="N179" s="30" t="n">
        <v>36000</v>
      </c>
      <c r="O179" s="30" t="n">
        <v>36000</v>
      </c>
      <c r="P179" s="36" t="n">
        <v>0</v>
      </c>
      <c r="Q179" s="302" t="n">
        <v>45334</v>
      </c>
    </row>
    <row r="180" customFormat="false" ht="83.55" hidden="true" customHeight="false" outlineLevel="0" collapsed="false">
      <c r="A180" s="20" t="n">
        <v>2342</v>
      </c>
      <c r="B180" s="34" t="s">
        <v>872</v>
      </c>
      <c r="C180" s="34" t="s">
        <v>305</v>
      </c>
      <c r="D180" s="34"/>
      <c r="E180" s="25" t="n">
        <v>45253</v>
      </c>
      <c r="F180" s="25" t="n">
        <v>45355</v>
      </c>
      <c r="G180" s="26" t="n">
        <v>72</v>
      </c>
      <c r="H180" s="316" t="n">
        <v>72</v>
      </c>
      <c r="I180" s="316" t="n">
        <v>0</v>
      </c>
      <c r="J180" s="34" t="s">
        <v>245</v>
      </c>
      <c r="K180" s="31" t="n">
        <v>300000</v>
      </c>
      <c r="L180" s="31" t="n">
        <v>648000</v>
      </c>
      <c r="M180" s="37" t="n">
        <v>45000</v>
      </c>
      <c r="N180" s="30" t="n">
        <v>153000</v>
      </c>
      <c r="O180" s="30" t="n">
        <v>648000</v>
      </c>
      <c r="P180" s="36" t="n">
        <v>0</v>
      </c>
      <c r="Q180" s="302" t="n">
        <v>45334</v>
      </c>
    </row>
    <row r="181" customFormat="false" ht="17.9" hidden="true" customHeight="false" outlineLevel="0" collapsed="false">
      <c r="A181" s="20" t="n">
        <v>2129</v>
      </c>
      <c r="B181" s="34" t="s">
        <v>369</v>
      </c>
      <c r="C181" s="34"/>
      <c r="D181" s="34"/>
      <c r="E181" s="25" t="n">
        <v>45092</v>
      </c>
      <c r="F181" s="25" t="n">
        <v>45331</v>
      </c>
      <c r="G181" s="26" t="n">
        <v>171</v>
      </c>
      <c r="H181" s="316" t="n">
        <v>160</v>
      </c>
      <c r="I181" s="316" t="n">
        <v>11</v>
      </c>
      <c r="J181" s="52" t="s">
        <v>902</v>
      </c>
      <c r="K181" s="31" t="n">
        <v>50000</v>
      </c>
      <c r="L181" s="31" t="n">
        <v>135200</v>
      </c>
      <c r="M181" s="37" t="n">
        <v>4225</v>
      </c>
      <c r="N181" s="30" t="n">
        <v>16900</v>
      </c>
      <c r="O181" s="30" t="n">
        <v>135200</v>
      </c>
      <c r="P181" s="36" t="n">
        <v>0</v>
      </c>
      <c r="Q181" s="302" t="n">
        <v>45334</v>
      </c>
    </row>
    <row r="182" customFormat="false" ht="17.9" hidden="true" customHeight="false" outlineLevel="0" collapsed="false">
      <c r="A182" s="20" t="n">
        <v>2446</v>
      </c>
      <c r="B182" s="34" t="s">
        <v>369</v>
      </c>
      <c r="C182" s="34"/>
      <c r="D182" s="34"/>
      <c r="E182" s="62" t="n">
        <v>45319</v>
      </c>
      <c r="F182" s="25" t="n">
        <v>45331</v>
      </c>
      <c r="G182" s="26" t="n">
        <v>10</v>
      </c>
      <c r="H182" s="316" t="e">
        <f aca="false">#VALUE!</f>
        <v>#VALUE!</v>
      </c>
      <c r="I182" s="316" t="e">
        <f aca="false">#VALUE!</f>
        <v>#VALUE!</v>
      </c>
      <c r="J182" s="52" t="s">
        <v>751</v>
      </c>
      <c r="K182" s="31" t="n">
        <v>50000</v>
      </c>
      <c r="L182" s="31" t="n">
        <v>65000</v>
      </c>
      <c r="M182" s="29" t="s">
        <v>214</v>
      </c>
      <c r="N182" s="30" t="n">
        <v>65000</v>
      </c>
      <c r="O182" s="30" t="n">
        <v>65000</v>
      </c>
      <c r="P182" s="36" t="n">
        <v>0</v>
      </c>
      <c r="Q182" s="302" t="n">
        <v>45334</v>
      </c>
    </row>
    <row r="183" customFormat="false" ht="19.4" hidden="true" customHeight="false" outlineLevel="0" collapsed="false">
      <c r="A183" s="20" t="n">
        <v>2307</v>
      </c>
      <c r="B183" s="22" t="s">
        <v>772</v>
      </c>
      <c r="C183" s="22" t="s">
        <v>773</v>
      </c>
      <c r="D183" s="319" t="n">
        <v>12876451</v>
      </c>
      <c r="E183" s="25" t="n">
        <v>45222</v>
      </c>
      <c r="F183" s="24" t="n">
        <v>45322</v>
      </c>
      <c r="G183" s="26" t="n">
        <v>72</v>
      </c>
      <c r="H183" s="316" t="n">
        <v>72.2222222222222</v>
      </c>
      <c r="I183" s="316" t="n">
        <v>-0.222222222222229</v>
      </c>
      <c r="J183" s="34" t="s">
        <v>788</v>
      </c>
      <c r="K183" s="31" t="n">
        <v>15000</v>
      </c>
      <c r="L183" s="31" t="n">
        <v>32400</v>
      </c>
      <c r="M183" s="37" t="n">
        <v>2250</v>
      </c>
      <c r="N183" s="30" t="n">
        <v>5000</v>
      </c>
      <c r="O183" s="30" t="n">
        <v>32500</v>
      </c>
      <c r="P183" s="36" t="n">
        <v>-100</v>
      </c>
      <c r="Q183" s="302" t="n">
        <v>45334</v>
      </c>
    </row>
    <row r="184" customFormat="false" ht="17.9" hidden="true" customHeight="false" outlineLevel="0" collapsed="false">
      <c r="A184" s="20" t="n">
        <v>2465</v>
      </c>
      <c r="B184" s="34" t="s">
        <v>429</v>
      </c>
      <c r="C184" s="34"/>
      <c r="D184" s="34"/>
      <c r="E184" s="25" t="n">
        <v>45330</v>
      </c>
      <c r="F184" s="25" t="n">
        <v>45337</v>
      </c>
      <c r="G184" s="26" t="n">
        <v>5</v>
      </c>
      <c r="H184" s="316" t="e">
        <f aca="false">#DIV/0!</f>
        <v>#DIV/0!</v>
      </c>
      <c r="I184" s="316" t="e">
        <f aca="false">#DIV/0!</f>
        <v>#DIV/0!</v>
      </c>
      <c r="J184" s="34" t="s">
        <v>751</v>
      </c>
      <c r="K184" s="36" t="n">
        <v>20000</v>
      </c>
      <c r="L184" s="36" t="n">
        <v>26000</v>
      </c>
      <c r="M184" s="29"/>
      <c r="N184" s="30" t="n">
        <v>26000</v>
      </c>
      <c r="O184" s="30" t="n">
        <v>26000</v>
      </c>
      <c r="P184" s="36" t="n">
        <v>0</v>
      </c>
      <c r="Q184" s="302" t="n">
        <v>45334</v>
      </c>
    </row>
    <row r="185" customFormat="false" ht="42.5" hidden="true" customHeight="false" outlineLevel="0" collapsed="false">
      <c r="A185" s="20" t="n">
        <v>2249</v>
      </c>
      <c r="B185" s="34" t="s">
        <v>903</v>
      </c>
      <c r="C185" s="34" t="s">
        <v>904</v>
      </c>
      <c r="D185" s="34"/>
      <c r="E185" s="25" t="n">
        <v>45181</v>
      </c>
      <c r="F185" s="25" t="n">
        <v>45335</v>
      </c>
      <c r="G185" s="26" t="n">
        <v>110</v>
      </c>
      <c r="H185" s="316" t="n">
        <v>110</v>
      </c>
      <c r="I185" s="316" t="n">
        <v>0</v>
      </c>
      <c r="J185" s="34" t="s">
        <v>905</v>
      </c>
      <c r="K185" s="31" t="n">
        <v>70000</v>
      </c>
      <c r="L185" s="31" t="n">
        <v>184800</v>
      </c>
      <c r="M185" s="37" t="n">
        <v>8400</v>
      </c>
      <c r="N185" s="30" t="n">
        <v>16800</v>
      </c>
      <c r="O185" s="30" t="n">
        <v>184800</v>
      </c>
      <c r="P185" s="36" t="n">
        <v>0</v>
      </c>
      <c r="Q185" s="302" t="n">
        <v>45334</v>
      </c>
    </row>
    <row r="186" customFormat="false" ht="42.5" hidden="true" customHeight="false" outlineLevel="0" collapsed="false">
      <c r="A186" s="20" t="n">
        <v>2172</v>
      </c>
      <c r="B186" s="34" t="s">
        <v>906</v>
      </c>
      <c r="C186" s="34" t="s">
        <v>786</v>
      </c>
      <c r="D186" s="34"/>
      <c r="E186" s="25" t="n">
        <v>45129</v>
      </c>
      <c r="F186" s="25" t="n">
        <v>45230</v>
      </c>
      <c r="G186" s="72" t="n">
        <v>72</v>
      </c>
      <c r="H186" s="316" t="n">
        <v>100</v>
      </c>
      <c r="I186" s="316" t="n">
        <v>-28</v>
      </c>
      <c r="J186" s="34" t="s">
        <v>749</v>
      </c>
      <c r="K186" s="31" t="n">
        <v>20000</v>
      </c>
      <c r="L186" s="31" t="n">
        <v>60000</v>
      </c>
      <c r="M186" s="37" t="n">
        <v>3000</v>
      </c>
      <c r="N186" s="30" t="n">
        <v>20000</v>
      </c>
      <c r="O186" s="30" t="n">
        <v>60000</v>
      </c>
      <c r="P186" s="36" t="n">
        <v>0</v>
      </c>
      <c r="Q186" s="302" t="n">
        <v>45341</v>
      </c>
    </row>
    <row r="187" customFormat="false" ht="17.9" hidden="true" customHeight="false" outlineLevel="0" collapsed="false">
      <c r="A187" s="20" t="n">
        <v>2237</v>
      </c>
      <c r="B187" s="34" t="s">
        <v>333</v>
      </c>
      <c r="C187" s="34" t="s">
        <v>907</v>
      </c>
      <c r="D187" s="34"/>
      <c r="E187" s="25" t="n">
        <v>45175</v>
      </c>
      <c r="F187" s="25" t="n">
        <v>45350</v>
      </c>
      <c r="G187" s="72" t="n">
        <v>125</v>
      </c>
      <c r="H187" s="316" t="n">
        <v>135</v>
      </c>
      <c r="I187" s="316" t="n">
        <v>-10</v>
      </c>
      <c r="J187" s="34" t="s">
        <v>908</v>
      </c>
      <c r="K187" s="31" t="n">
        <v>100000</v>
      </c>
      <c r="L187" s="31" t="n">
        <v>270000</v>
      </c>
      <c r="M187" s="37" t="n">
        <v>10000</v>
      </c>
      <c r="N187" s="30" t="n">
        <v>50000</v>
      </c>
      <c r="O187" s="30" t="n">
        <v>270000</v>
      </c>
      <c r="P187" s="36" t="n">
        <v>0</v>
      </c>
      <c r="Q187" s="302" t="n">
        <v>45341</v>
      </c>
    </row>
    <row r="188" customFormat="false" ht="26.1" hidden="true" customHeight="false" outlineLevel="0" collapsed="false">
      <c r="A188" s="20" t="n">
        <v>2327</v>
      </c>
      <c r="B188" s="34" t="s">
        <v>336</v>
      </c>
      <c r="C188" s="34" t="s">
        <v>337</v>
      </c>
      <c r="D188" s="34"/>
      <c r="E188" s="25" t="n">
        <v>45237</v>
      </c>
      <c r="F188" s="25" t="n">
        <v>45337</v>
      </c>
      <c r="G188" s="72" t="n">
        <v>72</v>
      </c>
      <c r="H188" s="316" t="n">
        <v>72</v>
      </c>
      <c r="I188" s="316" t="n">
        <v>0</v>
      </c>
      <c r="J188" s="34" t="s">
        <v>769</v>
      </c>
      <c r="K188" s="31" t="n">
        <v>10000</v>
      </c>
      <c r="L188" s="31" t="n">
        <v>21600</v>
      </c>
      <c r="M188" s="37" t="n">
        <v>1500</v>
      </c>
      <c r="N188" s="30" t="n">
        <v>600</v>
      </c>
      <c r="O188" s="30" t="n">
        <v>21600</v>
      </c>
      <c r="P188" s="31" t="n">
        <v>0</v>
      </c>
      <c r="Q188" s="302" t="n">
        <v>45341</v>
      </c>
    </row>
    <row r="189" customFormat="false" ht="42.5" hidden="true" customHeight="false" outlineLevel="0" collapsed="false">
      <c r="A189" s="20" t="n">
        <v>2196</v>
      </c>
      <c r="B189" s="34" t="s">
        <v>881</v>
      </c>
      <c r="C189" s="34" t="s">
        <v>882</v>
      </c>
      <c r="D189" s="34"/>
      <c r="E189" s="25" t="n">
        <v>45145</v>
      </c>
      <c r="F189" s="25" t="n">
        <v>45245</v>
      </c>
      <c r="G189" s="72" t="n">
        <v>72</v>
      </c>
      <c r="H189" s="316" t="n">
        <v>78.3333333333333</v>
      </c>
      <c r="I189" s="316" t="n">
        <v>-6.33333333333333</v>
      </c>
      <c r="J189" s="34" t="s">
        <v>792</v>
      </c>
      <c r="K189" s="36" t="n">
        <v>60000</v>
      </c>
      <c r="L189" s="36" t="n">
        <v>141000</v>
      </c>
      <c r="M189" s="29" t="n">
        <v>9000</v>
      </c>
      <c r="N189" s="30" t="n">
        <v>29673</v>
      </c>
      <c r="O189" s="30" t="n">
        <v>141000</v>
      </c>
      <c r="P189" s="36" t="n">
        <v>0</v>
      </c>
      <c r="Q189" s="302" t="n">
        <v>45341</v>
      </c>
    </row>
    <row r="190" customFormat="false" ht="34.3" hidden="true" customHeight="false" outlineLevel="0" collapsed="false">
      <c r="A190" s="20" t="n">
        <v>2133</v>
      </c>
      <c r="B190" s="34" t="s">
        <v>909</v>
      </c>
      <c r="C190" s="34" t="s">
        <v>910</v>
      </c>
      <c r="D190" s="34"/>
      <c r="E190" s="25" t="n">
        <v>45096</v>
      </c>
      <c r="F190" s="25" t="n">
        <v>45208</v>
      </c>
      <c r="G190" s="72" t="n">
        <v>80</v>
      </c>
      <c r="H190" s="316" t="n">
        <v>87.4074074074074</v>
      </c>
      <c r="I190" s="316" t="n">
        <v>-7.40740740740741</v>
      </c>
      <c r="J190" s="68" t="s">
        <v>911</v>
      </c>
      <c r="K190" s="36" t="n">
        <v>20000</v>
      </c>
      <c r="L190" s="36" t="n">
        <v>47200</v>
      </c>
      <c r="M190" s="29" t="n">
        <v>2700</v>
      </c>
      <c r="N190" s="30" t="n">
        <v>15328</v>
      </c>
      <c r="O190" s="30" t="n">
        <v>47200</v>
      </c>
      <c r="P190" s="36" t="n">
        <v>0</v>
      </c>
      <c r="Q190" s="302" t="n">
        <v>45341</v>
      </c>
    </row>
    <row r="191" customFormat="false" ht="17.9" hidden="true" customHeight="false" outlineLevel="0" collapsed="false">
      <c r="A191" s="20" t="n">
        <v>2476</v>
      </c>
      <c r="B191" s="34" t="s">
        <v>429</v>
      </c>
      <c r="C191" s="34"/>
      <c r="D191" s="34"/>
      <c r="E191" s="25" t="n">
        <v>45338</v>
      </c>
      <c r="F191" s="25" t="n">
        <v>45345</v>
      </c>
      <c r="G191" s="72" t="n">
        <v>5</v>
      </c>
      <c r="H191" s="316" t="e">
        <f aca="false">#DIV/0!</f>
        <v>#DIV/0!</v>
      </c>
      <c r="I191" s="316" t="e">
        <f aca="false">#DIV/0!</f>
        <v>#DIV/0!</v>
      </c>
      <c r="J191" s="52" t="s">
        <v>751</v>
      </c>
      <c r="K191" s="36" t="n">
        <v>20000</v>
      </c>
      <c r="L191" s="36" t="n">
        <v>26000</v>
      </c>
      <c r="M191" s="29"/>
      <c r="N191" s="30" t="n">
        <v>26000</v>
      </c>
      <c r="O191" s="30" t="n">
        <v>26000</v>
      </c>
      <c r="P191" s="36" t="n">
        <v>0</v>
      </c>
      <c r="Q191" s="302" t="n">
        <v>45341</v>
      </c>
    </row>
    <row r="192" customFormat="false" ht="42" hidden="true" customHeight="false" outlineLevel="0" collapsed="false">
      <c r="A192" s="20" t="n">
        <v>2111</v>
      </c>
      <c r="B192" s="34" t="s">
        <v>833</v>
      </c>
      <c r="C192" s="34" t="s">
        <v>834</v>
      </c>
      <c r="D192" s="34"/>
      <c r="E192" s="25" t="n">
        <v>45082</v>
      </c>
      <c r="F192" s="25" t="n">
        <v>45334</v>
      </c>
      <c r="G192" s="72" t="n">
        <v>180</v>
      </c>
      <c r="H192" s="316" t="n">
        <v>160</v>
      </c>
      <c r="I192" s="316" t="n">
        <v>20</v>
      </c>
      <c r="J192" s="52" t="s">
        <v>912</v>
      </c>
      <c r="K192" s="36" t="n">
        <v>30000</v>
      </c>
      <c r="L192" s="36" t="n">
        <v>90520</v>
      </c>
      <c r="M192" s="29" t="n">
        <v>2828.75</v>
      </c>
      <c r="N192" s="30" t="n">
        <v>7235</v>
      </c>
      <c r="O192" s="30" t="n">
        <v>90520</v>
      </c>
      <c r="P192" s="36" t="n">
        <v>0</v>
      </c>
      <c r="Q192" s="302" t="n">
        <v>45341</v>
      </c>
    </row>
    <row r="193" customFormat="false" ht="42" hidden="true" customHeight="false" outlineLevel="0" collapsed="false">
      <c r="A193" s="20" t="n">
        <v>2165</v>
      </c>
      <c r="B193" s="34" t="s">
        <v>833</v>
      </c>
      <c r="C193" s="34" t="s">
        <v>834</v>
      </c>
      <c r="D193" s="34"/>
      <c r="E193" s="25" t="n">
        <v>45124</v>
      </c>
      <c r="F193" s="25" t="n">
        <v>45369</v>
      </c>
      <c r="G193" s="72" t="n">
        <v>175</v>
      </c>
      <c r="H193" s="316" t="n">
        <v>160</v>
      </c>
      <c r="I193" s="316" t="n">
        <v>15</v>
      </c>
      <c r="J193" s="52" t="s">
        <v>912</v>
      </c>
      <c r="K193" s="36" t="n">
        <v>30000</v>
      </c>
      <c r="L193" s="36" t="n">
        <v>90520</v>
      </c>
      <c r="M193" s="29" t="n">
        <v>2828.75</v>
      </c>
      <c r="N193" s="30" t="n">
        <v>15740</v>
      </c>
      <c r="O193" s="30" t="n">
        <v>90520</v>
      </c>
      <c r="P193" s="36" t="n">
        <v>0</v>
      </c>
      <c r="Q193" s="302" t="n">
        <v>45341</v>
      </c>
    </row>
    <row r="194" customFormat="false" ht="42" hidden="true" customHeight="false" outlineLevel="0" collapsed="false">
      <c r="A194" s="20" t="n">
        <v>2209</v>
      </c>
      <c r="B194" s="34" t="s">
        <v>833</v>
      </c>
      <c r="C194" s="34" t="s">
        <v>834</v>
      </c>
      <c r="D194" s="34"/>
      <c r="E194" s="25" t="n">
        <v>45154</v>
      </c>
      <c r="F194" s="25" t="n">
        <v>45406</v>
      </c>
      <c r="G194" s="72" t="n">
        <v>180</v>
      </c>
      <c r="H194" s="316" t="n">
        <v>160</v>
      </c>
      <c r="I194" s="316" t="n">
        <v>20</v>
      </c>
      <c r="J194" s="52" t="s">
        <v>913</v>
      </c>
      <c r="K194" s="36" t="n">
        <v>50000</v>
      </c>
      <c r="L194" s="36" t="n">
        <v>132000</v>
      </c>
      <c r="M194" s="37" t="n">
        <v>4125</v>
      </c>
      <c r="N194" s="30" t="n">
        <v>33000</v>
      </c>
      <c r="O194" s="30" t="n">
        <v>132000</v>
      </c>
      <c r="P194" s="36" t="n">
        <v>0</v>
      </c>
      <c r="Q194" s="302" t="n">
        <v>45341</v>
      </c>
    </row>
    <row r="195" customFormat="false" ht="26.1" hidden="true" customHeight="false" outlineLevel="0" collapsed="false">
      <c r="A195" s="20" t="n">
        <v>2282</v>
      </c>
      <c r="B195" s="34" t="s">
        <v>519</v>
      </c>
      <c r="C195" s="34" t="s">
        <v>520</v>
      </c>
      <c r="D195" s="34"/>
      <c r="E195" s="25" t="n">
        <v>45206</v>
      </c>
      <c r="F195" s="25" t="n">
        <v>45307</v>
      </c>
      <c r="G195" s="72" t="n">
        <v>72</v>
      </c>
      <c r="H195" s="320" t="n">
        <v>72</v>
      </c>
      <c r="I195" s="320" t="n">
        <v>0</v>
      </c>
      <c r="J195" s="34" t="s">
        <v>749</v>
      </c>
      <c r="K195" s="36" t="n">
        <v>20000</v>
      </c>
      <c r="L195" s="36" t="n">
        <v>43200</v>
      </c>
      <c r="M195" s="29" t="n">
        <v>3000</v>
      </c>
      <c r="N195" s="30" t="n">
        <v>5200</v>
      </c>
      <c r="O195" s="30" t="n">
        <v>43200</v>
      </c>
      <c r="P195" s="36" t="n">
        <v>0</v>
      </c>
      <c r="Q195" s="302" t="n">
        <v>45341</v>
      </c>
    </row>
    <row r="196" customFormat="false" ht="17.9" hidden="true" customHeight="false" outlineLevel="0" collapsed="false">
      <c r="A196" s="20" t="n">
        <v>2251</v>
      </c>
      <c r="B196" s="34" t="s">
        <v>852</v>
      </c>
      <c r="C196" s="34" t="s">
        <v>853</v>
      </c>
      <c r="D196" s="34"/>
      <c r="E196" s="25" t="n">
        <v>45182</v>
      </c>
      <c r="F196" s="25" t="n">
        <v>45282</v>
      </c>
      <c r="G196" s="72" t="n">
        <v>72</v>
      </c>
      <c r="H196" s="316" t="n">
        <v>73.0833333333333</v>
      </c>
      <c r="I196" s="316" t="n">
        <v>-1.08333333333333</v>
      </c>
      <c r="J196" s="34" t="s">
        <v>266</v>
      </c>
      <c r="K196" s="36" t="n">
        <v>100000</v>
      </c>
      <c r="L196" s="31" t="n">
        <v>216000</v>
      </c>
      <c r="M196" s="37" t="n">
        <v>15000</v>
      </c>
      <c r="N196" s="30" t="n">
        <v>34250</v>
      </c>
      <c r="O196" s="30" t="n">
        <v>219250</v>
      </c>
      <c r="P196" s="36" t="n">
        <v>-3250</v>
      </c>
      <c r="Q196" s="302" t="n">
        <v>45348</v>
      </c>
    </row>
    <row r="197" customFormat="false" ht="26.1" hidden="true" customHeight="false" outlineLevel="0" collapsed="false">
      <c r="A197" s="20" t="n">
        <v>2481</v>
      </c>
      <c r="B197" s="34" t="s">
        <v>794</v>
      </c>
      <c r="C197" s="34" t="s">
        <v>880</v>
      </c>
      <c r="D197" s="34"/>
      <c r="E197" s="25" t="n">
        <v>45339</v>
      </c>
      <c r="F197" s="25" t="n">
        <v>45352</v>
      </c>
      <c r="G197" s="72" t="n">
        <v>10</v>
      </c>
      <c r="H197" s="316" t="e">
        <f aca="false">#DIV/0!</f>
        <v>#DIV/0!</v>
      </c>
      <c r="I197" s="316" t="e">
        <f aca="false">#DIV/0!</f>
        <v>#DIV/0!</v>
      </c>
      <c r="J197" s="52" t="s">
        <v>751</v>
      </c>
      <c r="K197" s="36" t="n">
        <v>20000</v>
      </c>
      <c r="L197" s="36" t="n">
        <v>29000</v>
      </c>
      <c r="M197" s="29"/>
      <c r="N197" s="30" t="n">
        <v>29000</v>
      </c>
      <c r="O197" s="30" t="n">
        <v>29000</v>
      </c>
      <c r="P197" s="36" t="n">
        <v>0</v>
      </c>
      <c r="Q197" s="302" t="n">
        <v>45348</v>
      </c>
    </row>
    <row r="198" customFormat="false" ht="26.1" hidden="true" customHeight="false" outlineLevel="0" collapsed="false">
      <c r="A198" s="20" t="n">
        <v>2311</v>
      </c>
      <c r="B198" s="34" t="s">
        <v>914</v>
      </c>
      <c r="C198" s="34" t="s">
        <v>292</v>
      </c>
      <c r="D198" s="34"/>
      <c r="E198" s="25" t="n">
        <v>45224</v>
      </c>
      <c r="F198" s="25" t="n">
        <v>45324</v>
      </c>
      <c r="G198" s="72" t="n">
        <v>72</v>
      </c>
      <c r="H198" s="316" t="n">
        <v>72</v>
      </c>
      <c r="I198" s="316" t="n">
        <v>0</v>
      </c>
      <c r="J198" s="34" t="s">
        <v>749</v>
      </c>
      <c r="K198" s="31" t="n">
        <v>20000</v>
      </c>
      <c r="L198" s="31" t="n">
        <v>43200</v>
      </c>
      <c r="M198" s="37" t="n">
        <v>3000</v>
      </c>
      <c r="N198" s="30" t="n">
        <v>1200</v>
      </c>
      <c r="O198" s="30" t="n">
        <v>43200</v>
      </c>
      <c r="P198" s="36" t="n">
        <v>0</v>
      </c>
      <c r="Q198" s="302" t="n">
        <v>45348</v>
      </c>
    </row>
    <row r="199" customFormat="false" ht="17.9" hidden="true" customHeight="false" outlineLevel="0" collapsed="false">
      <c r="A199" s="20" t="n">
        <v>2493</v>
      </c>
      <c r="B199" s="34" t="s">
        <v>429</v>
      </c>
      <c r="C199" s="34"/>
      <c r="D199" s="34"/>
      <c r="E199" s="25" t="n">
        <v>45346</v>
      </c>
      <c r="F199" s="25" t="n">
        <v>45352</v>
      </c>
      <c r="G199" s="72" t="n">
        <v>5</v>
      </c>
      <c r="H199" s="316" t="e">
        <f aca="false">#DIV/0!</f>
        <v>#DIV/0!</v>
      </c>
      <c r="I199" s="316" t="e">
        <f aca="false">#DIV/0!</f>
        <v>#DIV/0!</v>
      </c>
      <c r="J199" s="34" t="s">
        <v>751</v>
      </c>
      <c r="K199" s="31" t="n">
        <v>20000</v>
      </c>
      <c r="L199" s="31" t="n">
        <v>26000</v>
      </c>
      <c r="M199" s="37"/>
      <c r="N199" s="30" t="n">
        <v>26000</v>
      </c>
      <c r="O199" s="30" t="n">
        <v>26000</v>
      </c>
      <c r="P199" s="36" t="n">
        <v>0</v>
      </c>
      <c r="Q199" s="302" t="n">
        <v>45348</v>
      </c>
    </row>
    <row r="200" customFormat="false" ht="26.1" hidden="true" customHeight="false" outlineLevel="0" collapsed="false">
      <c r="A200" s="20" t="n">
        <v>2460</v>
      </c>
      <c r="B200" s="34" t="s">
        <v>754</v>
      </c>
      <c r="C200" s="34" t="s">
        <v>755</v>
      </c>
      <c r="D200" s="34"/>
      <c r="E200" s="25" t="n">
        <v>45328</v>
      </c>
      <c r="F200" s="25" t="n">
        <v>45335</v>
      </c>
      <c r="G200" s="72" t="n">
        <v>5</v>
      </c>
      <c r="H200" s="316" t="e">
        <f aca="false">#DIV/0!</f>
        <v>#DIV/0!</v>
      </c>
      <c r="I200" s="316" t="e">
        <f aca="false">#DIV/0!</f>
        <v>#DIV/0!</v>
      </c>
      <c r="J200" s="52" t="s">
        <v>751</v>
      </c>
      <c r="K200" s="31" t="n">
        <v>20000</v>
      </c>
      <c r="L200" s="31" t="n">
        <v>30000</v>
      </c>
      <c r="M200" s="29"/>
      <c r="N200" s="30" t="n">
        <v>30000</v>
      </c>
      <c r="O200" s="30" t="n">
        <v>30000</v>
      </c>
      <c r="P200" s="36" t="n">
        <v>0</v>
      </c>
      <c r="Q200" s="302" t="n">
        <v>45348</v>
      </c>
    </row>
    <row r="201" customFormat="false" ht="34.3" hidden="true" customHeight="false" outlineLevel="0" collapsed="false">
      <c r="A201" s="20" t="n">
        <v>2346</v>
      </c>
      <c r="B201" s="34" t="s">
        <v>915</v>
      </c>
      <c r="C201" s="34" t="s">
        <v>623</v>
      </c>
      <c r="D201" s="34"/>
      <c r="E201" s="25" t="n">
        <v>45254</v>
      </c>
      <c r="F201" s="25" t="n">
        <v>45356</v>
      </c>
      <c r="G201" s="72" t="n">
        <v>72</v>
      </c>
      <c r="H201" s="320" t="n">
        <v>72</v>
      </c>
      <c r="I201" s="320" t="n">
        <v>0</v>
      </c>
      <c r="J201" s="34" t="s">
        <v>769</v>
      </c>
      <c r="K201" s="36" t="n">
        <v>10000</v>
      </c>
      <c r="L201" s="36" t="n">
        <v>21600</v>
      </c>
      <c r="M201" s="29" t="n">
        <v>1500</v>
      </c>
      <c r="N201" s="30" t="n">
        <v>2100</v>
      </c>
      <c r="O201" s="30" t="n">
        <v>21600</v>
      </c>
      <c r="P201" s="36" t="n">
        <v>0</v>
      </c>
      <c r="Q201" s="302" t="n">
        <v>45348</v>
      </c>
    </row>
    <row r="202" customFormat="false" ht="17.9" hidden="true" customHeight="false" outlineLevel="0" collapsed="false">
      <c r="A202" s="20" t="n">
        <v>2233</v>
      </c>
      <c r="B202" s="34" t="s">
        <v>224</v>
      </c>
      <c r="C202" s="34"/>
      <c r="D202" s="34" t="n">
        <v>22375673</v>
      </c>
      <c r="E202" s="25" t="n">
        <v>45170</v>
      </c>
      <c r="F202" s="25" t="n">
        <v>45362</v>
      </c>
      <c r="G202" s="72" t="n">
        <v>136</v>
      </c>
      <c r="H202" s="316" t="n">
        <v>120</v>
      </c>
      <c r="I202" s="316" t="n">
        <v>16</v>
      </c>
      <c r="J202" s="52" t="s">
        <v>916</v>
      </c>
      <c r="K202" s="31" t="n">
        <v>40000</v>
      </c>
      <c r="L202" s="31" t="n">
        <v>111000</v>
      </c>
      <c r="M202" s="37" t="n">
        <v>4625</v>
      </c>
      <c r="N202" s="30" t="n">
        <v>18500</v>
      </c>
      <c r="O202" s="30" t="n">
        <v>111000</v>
      </c>
      <c r="P202" s="31" t="n">
        <v>0</v>
      </c>
      <c r="Q202" s="302" t="n">
        <v>45355</v>
      </c>
    </row>
    <row r="203" customFormat="false" ht="26.1" hidden="true" customHeight="false" outlineLevel="0" collapsed="false">
      <c r="A203" s="20" t="n">
        <v>2458</v>
      </c>
      <c r="B203" s="34" t="s">
        <v>794</v>
      </c>
      <c r="C203" s="34" t="s">
        <v>880</v>
      </c>
      <c r="D203" s="34"/>
      <c r="E203" s="25" t="n">
        <v>45327</v>
      </c>
      <c r="F203" s="25" t="n">
        <v>45355</v>
      </c>
      <c r="G203" s="72" t="n">
        <v>20</v>
      </c>
      <c r="H203" s="316" t="e">
        <f aca="false">#DIV/0!</f>
        <v>#DIV/0!</v>
      </c>
      <c r="I203" s="316" t="e">
        <f aca="false">#DIV/0!</f>
        <v>#DIV/0!</v>
      </c>
      <c r="J203" s="52" t="s">
        <v>751</v>
      </c>
      <c r="K203" s="31" t="n">
        <v>100000</v>
      </c>
      <c r="L203" s="31" t="n">
        <v>140000</v>
      </c>
      <c r="M203" s="37"/>
      <c r="N203" s="30" t="n">
        <v>75000</v>
      </c>
      <c r="O203" s="30" t="n">
        <v>140000</v>
      </c>
      <c r="P203" s="36" t="n">
        <v>0</v>
      </c>
      <c r="Q203" s="302" t="n">
        <v>45355</v>
      </c>
    </row>
    <row r="204" customFormat="false" ht="58.95" hidden="true" customHeight="false" outlineLevel="0" collapsed="false">
      <c r="A204" s="20" t="n">
        <v>2281</v>
      </c>
      <c r="B204" s="34" t="s">
        <v>272</v>
      </c>
      <c r="C204" s="34" t="s">
        <v>917</v>
      </c>
      <c r="D204" s="34" t="s">
        <v>918</v>
      </c>
      <c r="E204" s="25" t="n">
        <v>45205</v>
      </c>
      <c r="F204" s="25" t="n">
        <v>45359</v>
      </c>
      <c r="G204" s="72" t="n">
        <v>110</v>
      </c>
      <c r="H204" s="316" t="n">
        <v>110</v>
      </c>
      <c r="I204" s="316" t="n">
        <v>0</v>
      </c>
      <c r="J204" s="31" t="s">
        <v>362</v>
      </c>
      <c r="K204" s="37" t="n">
        <v>100000</v>
      </c>
      <c r="L204" s="31" t="n">
        <v>264000</v>
      </c>
      <c r="M204" s="37" t="n">
        <v>12000</v>
      </c>
      <c r="N204" s="30" t="n">
        <v>12000</v>
      </c>
      <c r="O204" s="30" t="n">
        <v>264000</v>
      </c>
      <c r="P204" s="36" t="n">
        <v>0</v>
      </c>
      <c r="Q204" s="302" t="n">
        <v>45355</v>
      </c>
    </row>
    <row r="205" customFormat="false" ht="17.9" hidden="true" customHeight="false" outlineLevel="0" collapsed="false">
      <c r="A205" s="20" t="n">
        <v>2341</v>
      </c>
      <c r="B205" s="34" t="s">
        <v>323</v>
      </c>
      <c r="C205" s="34" t="s">
        <v>324</v>
      </c>
      <c r="D205" s="34" t="n">
        <v>14154231</v>
      </c>
      <c r="E205" s="25" t="n">
        <v>45253</v>
      </c>
      <c r="F205" s="25" t="n">
        <v>45355</v>
      </c>
      <c r="G205" s="72" t="n">
        <v>72</v>
      </c>
      <c r="H205" s="317" t="n">
        <v>72</v>
      </c>
      <c r="I205" s="317" t="n">
        <v>0</v>
      </c>
      <c r="J205" s="34" t="s">
        <v>788</v>
      </c>
      <c r="K205" s="31" t="n">
        <v>15000</v>
      </c>
      <c r="L205" s="31" t="n">
        <v>32400</v>
      </c>
      <c r="M205" s="37" t="n">
        <v>2250</v>
      </c>
      <c r="N205" s="30" t="n">
        <v>5400</v>
      </c>
      <c r="O205" s="30" t="n">
        <v>32400</v>
      </c>
      <c r="P205" s="36" t="n">
        <v>0</v>
      </c>
      <c r="Q205" s="302" t="n">
        <v>45355</v>
      </c>
    </row>
    <row r="206" customFormat="false" ht="17.9" hidden="true" customHeight="false" outlineLevel="0" collapsed="false">
      <c r="A206" s="20" t="n">
        <v>2507</v>
      </c>
      <c r="B206" s="34" t="s">
        <v>429</v>
      </c>
      <c r="C206" s="34"/>
      <c r="D206" s="34"/>
      <c r="E206" s="25" t="n">
        <v>45353</v>
      </c>
      <c r="F206" s="25" t="n">
        <v>45359</v>
      </c>
      <c r="G206" s="72" t="n">
        <v>5</v>
      </c>
      <c r="H206" s="316" t="e">
        <f aca="false">#DIV/0!</f>
        <v>#DIV/0!</v>
      </c>
      <c r="I206" s="316" t="e">
        <f aca="false">#DIV/0!</f>
        <v>#DIV/0!</v>
      </c>
      <c r="J206" s="34" t="s">
        <v>751</v>
      </c>
      <c r="K206" s="36" t="n">
        <v>10000</v>
      </c>
      <c r="L206" s="36" t="n">
        <v>13000</v>
      </c>
      <c r="M206" s="29"/>
      <c r="N206" s="30" t="n">
        <v>13000</v>
      </c>
      <c r="O206" s="30" t="n">
        <v>13000</v>
      </c>
      <c r="P206" s="36" t="n">
        <v>0</v>
      </c>
      <c r="Q206" s="302" t="n">
        <v>45355</v>
      </c>
    </row>
    <row r="207" customFormat="false" ht="34.3" hidden="true" customHeight="false" outlineLevel="0" collapsed="false">
      <c r="A207" s="20" t="n">
        <v>2319</v>
      </c>
      <c r="B207" s="34" t="s">
        <v>440</v>
      </c>
      <c r="C207" s="34" t="s">
        <v>445</v>
      </c>
      <c r="D207" s="34" t="s">
        <v>919</v>
      </c>
      <c r="E207" s="25" t="n">
        <v>45230</v>
      </c>
      <c r="F207" s="25" t="n">
        <v>45330</v>
      </c>
      <c r="G207" s="72" t="n">
        <v>72</v>
      </c>
      <c r="H207" s="42" t="n">
        <v>72</v>
      </c>
      <c r="I207" s="42" t="n">
        <v>0</v>
      </c>
      <c r="J207" s="34" t="s">
        <v>381</v>
      </c>
      <c r="K207" s="36" t="n">
        <v>50000</v>
      </c>
      <c r="L207" s="36" t="n">
        <v>108000</v>
      </c>
      <c r="M207" s="29" t="n">
        <v>7500</v>
      </c>
      <c r="N207" s="30" t="n">
        <v>4500</v>
      </c>
      <c r="O207" s="30" t="n">
        <v>108000</v>
      </c>
      <c r="P207" s="36" t="n">
        <v>0</v>
      </c>
      <c r="Q207" s="302" t="n">
        <v>45355</v>
      </c>
    </row>
    <row r="208" customFormat="false" ht="14.25" hidden="true" customHeight="false" outlineLevel="0" collapsed="false">
      <c r="A208" s="20" t="n">
        <v>2469</v>
      </c>
      <c r="B208" s="34" t="s">
        <v>861</v>
      </c>
      <c r="C208" s="34"/>
      <c r="D208" s="34"/>
      <c r="E208" s="321" t="n">
        <v>45333</v>
      </c>
      <c r="F208" s="25" t="n">
        <v>45359</v>
      </c>
      <c r="G208" s="72" t="n">
        <v>20</v>
      </c>
      <c r="H208" s="320" t="e">
        <f aca="false">#DIV/0!</f>
        <v>#DIV/0!</v>
      </c>
      <c r="I208" s="320" t="e">
        <f aca="false">#DIV/0!</f>
        <v>#DIV/0!</v>
      </c>
      <c r="J208" s="34" t="s">
        <v>751</v>
      </c>
      <c r="K208" s="31" t="n">
        <v>5000</v>
      </c>
      <c r="L208" s="31" t="n">
        <v>8000</v>
      </c>
      <c r="M208" s="29"/>
      <c r="N208" s="30" t="n">
        <v>8000</v>
      </c>
      <c r="O208" s="30" t="n">
        <v>8000</v>
      </c>
      <c r="P208" s="36" t="n">
        <v>0</v>
      </c>
      <c r="Q208" s="302" t="n">
        <v>45355</v>
      </c>
    </row>
    <row r="209" customFormat="false" ht="14.25" hidden="true" customHeight="false" outlineLevel="0" collapsed="false">
      <c r="A209" s="20" t="n">
        <v>2482</v>
      </c>
      <c r="B209" s="34" t="s">
        <v>861</v>
      </c>
      <c r="C209" s="34"/>
      <c r="D209" s="34"/>
      <c r="E209" s="321" t="n">
        <v>45341</v>
      </c>
      <c r="F209" s="25" t="n">
        <v>45359</v>
      </c>
      <c r="G209" s="72" t="n">
        <v>14</v>
      </c>
      <c r="H209" s="320" t="e">
        <f aca="false">#DIV/0!</f>
        <v>#DIV/0!</v>
      </c>
      <c r="I209" s="320" t="e">
        <f aca="false">#DIV/0!</f>
        <v>#DIV/0!</v>
      </c>
      <c r="J209" s="52" t="s">
        <v>751</v>
      </c>
      <c r="K209" s="31" t="n">
        <v>5000</v>
      </c>
      <c r="L209" s="31" t="n">
        <v>8000</v>
      </c>
      <c r="M209" s="37"/>
      <c r="N209" s="30" t="n">
        <v>8000</v>
      </c>
      <c r="O209" s="30" t="n">
        <v>8000</v>
      </c>
      <c r="P209" s="36" t="n">
        <v>0</v>
      </c>
      <c r="Q209" s="302" t="n">
        <v>45355</v>
      </c>
    </row>
    <row r="210" customFormat="false" ht="14.25" hidden="true" customHeight="false" outlineLevel="0" collapsed="false">
      <c r="A210" s="20" t="n">
        <v>2494</v>
      </c>
      <c r="B210" s="34" t="s">
        <v>861</v>
      </c>
      <c r="C210" s="34"/>
      <c r="D210" s="34"/>
      <c r="E210" s="25" t="n">
        <v>45346</v>
      </c>
      <c r="F210" s="25" t="n">
        <v>45359</v>
      </c>
      <c r="G210" s="72" t="n">
        <v>10</v>
      </c>
      <c r="H210" s="316" t="e">
        <f aca="false">#DIV/0!</f>
        <v>#DIV/0!</v>
      </c>
      <c r="I210" s="316" t="e">
        <f aca="false">#DIV/0!</f>
        <v>#DIV/0!</v>
      </c>
      <c r="J210" s="34" t="s">
        <v>751</v>
      </c>
      <c r="K210" s="31" t="n">
        <v>5000</v>
      </c>
      <c r="L210" s="31" t="n">
        <v>8000</v>
      </c>
      <c r="M210" s="29"/>
      <c r="N210" s="30" t="n">
        <v>8000</v>
      </c>
      <c r="O210" s="30" t="n">
        <v>8000</v>
      </c>
      <c r="P210" s="36" t="n">
        <v>0</v>
      </c>
      <c r="Q210" s="302" t="n">
        <v>45355</v>
      </c>
    </row>
    <row r="211" customFormat="false" ht="34.3" hidden="true" customHeight="false" outlineLevel="0" collapsed="false">
      <c r="A211" s="20" t="n">
        <v>2217</v>
      </c>
      <c r="B211" s="34" t="s">
        <v>779</v>
      </c>
      <c r="C211" s="34"/>
      <c r="D211" s="34"/>
      <c r="E211" s="25" t="n">
        <v>45160</v>
      </c>
      <c r="F211" s="25" t="n">
        <v>45362</v>
      </c>
      <c r="G211" s="72" t="n">
        <v>144</v>
      </c>
      <c r="H211" s="316" t="n">
        <v>120</v>
      </c>
      <c r="I211" s="316" t="n">
        <v>24</v>
      </c>
      <c r="J211" s="52" t="s">
        <v>920</v>
      </c>
      <c r="K211" s="31" t="n">
        <v>30000</v>
      </c>
      <c r="L211" s="31" t="n">
        <v>64800</v>
      </c>
      <c r="M211" s="37" t="n">
        <v>2700</v>
      </c>
      <c r="N211" s="30" t="n">
        <v>10800</v>
      </c>
      <c r="O211" s="30" t="n">
        <v>64800</v>
      </c>
      <c r="P211" s="36" t="n">
        <v>0</v>
      </c>
      <c r="Q211" s="302" t="n">
        <v>45355</v>
      </c>
    </row>
    <row r="212" customFormat="false" ht="17.9" hidden="true" customHeight="false" outlineLevel="0" collapsed="false">
      <c r="A212" s="20" t="n">
        <v>2253</v>
      </c>
      <c r="B212" s="34" t="s">
        <v>510</v>
      </c>
      <c r="C212" s="34"/>
      <c r="D212" s="34"/>
      <c r="E212" s="25" t="n">
        <v>45184</v>
      </c>
      <c r="F212" s="25" t="n">
        <v>45359</v>
      </c>
      <c r="G212" s="72" t="n">
        <v>125</v>
      </c>
      <c r="H212" s="320" t="n">
        <v>120</v>
      </c>
      <c r="I212" s="320" t="n">
        <v>5</v>
      </c>
      <c r="J212" s="52" t="s">
        <v>921</v>
      </c>
      <c r="K212" s="36" t="n">
        <v>100000</v>
      </c>
      <c r="L212" s="36" t="n">
        <v>216000</v>
      </c>
      <c r="M212" s="29" t="n">
        <v>9000</v>
      </c>
      <c r="N212" s="30" t="n">
        <v>36000</v>
      </c>
      <c r="O212" s="30" t="n">
        <v>216000</v>
      </c>
      <c r="P212" s="36" t="n">
        <v>0</v>
      </c>
      <c r="Q212" s="302" t="n">
        <v>45355</v>
      </c>
    </row>
    <row r="213" customFormat="false" ht="34.3" hidden="true" customHeight="false" outlineLevel="0" collapsed="false">
      <c r="A213" s="20" t="n">
        <v>2250</v>
      </c>
      <c r="B213" s="34" t="s">
        <v>522</v>
      </c>
      <c r="C213" s="34" t="s">
        <v>523</v>
      </c>
      <c r="D213" s="34"/>
      <c r="E213" s="25" t="n">
        <v>45182</v>
      </c>
      <c r="F213" s="25" t="n">
        <v>45364</v>
      </c>
      <c r="G213" s="72" t="n">
        <v>130</v>
      </c>
      <c r="H213" s="320" t="n">
        <v>130</v>
      </c>
      <c r="I213" s="320" t="n">
        <v>0</v>
      </c>
      <c r="J213" s="34" t="s">
        <v>846</v>
      </c>
      <c r="K213" s="36" t="n">
        <v>100000</v>
      </c>
      <c r="L213" s="36" t="n">
        <v>260000</v>
      </c>
      <c r="M213" s="29" t="n">
        <v>10000</v>
      </c>
      <c r="N213" s="30" t="n">
        <v>30000</v>
      </c>
      <c r="O213" s="30" t="n">
        <v>260000</v>
      </c>
      <c r="P213" s="36" t="n">
        <v>0</v>
      </c>
      <c r="Q213" s="302" t="n">
        <v>45355</v>
      </c>
    </row>
    <row r="214" customFormat="false" ht="42" hidden="true" customHeight="false" outlineLevel="0" collapsed="false">
      <c r="A214" s="20" t="n">
        <v>2361</v>
      </c>
      <c r="B214" s="34" t="s">
        <v>885</v>
      </c>
      <c r="C214" s="34" t="s">
        <v>886</v>
      </c>
      <c r="D214" s="34" t="s">
        <v>526</v>
      </c>
      <c r="E214" s="25" t="n">
        <v>45265</v>
      </c>
      <c r="F214" s="24" t="n">
        <v>45365</v>
      </c>
      <c r="G214" s="72" t="n">
        <v>72</v>
      </c>
      <c r="H214" s="320" t="n">
        <v>72</v>
      </c>
      <c r="I214" s="320" t="n">
        <v>0</v>
      </c>
      <c r="J214" s="34" t="s">
        <v>452</v>
      </c>
      <c r="K214" s="31" t="n">
        <v>30000</v>
      </c>
      <c r="L214" s="31" t="n">
        <v>64800</v>
      </c>
      <c r="M214" s="29" t="n">
        <v>4500</v>
      </c>
      <c r="N214" s="30" t="n">
        <v>10300</v>
      </c>
      <c r="O214" s="30" t="n">
        <v>64800</v>
      </c>
      <c r="P214" s="36" t="n">
        <v>0</v>
      </c>
      <c r="Q214" s="302" t="n">
        <v>45355</v>
      </c>
    </row>
    <row r="215" customFormat="false" ht="26.1" hidden="true" customHeight="false" outlineLevel="0" collapsed="false">
      <c r="A215" s="20" t="n">
        <v>2259</v>
      </c>
      <c r="B215" s="34" t="s">
        <v>781</v>
      </c>
      <c r="C215" s="34" t="s">
        <v>782</v>
      </c>
      <c r="D215" s="34"/>
      <c r="E215" s="25" t="n">
        <v>45188</v>
      </c>
      <c r="F215" s="25" t="n">
        <v>45362</v>
      </c>
      <c r="G215" s="72" t="n">
        <v>124</v>
      </c>
      <c r="H215" s="320" t="n">
        <v>120</v>
      </c>
      <c r="I215" s="320" t="n">
        <v>4</v>
      </c>
      <c r="J215" s="52" t="s">
        <v>783</v>
      </c>
      <c r="K215" s="31" t="n">
        <v>20000</v>
      </c>
      <c r="L215" s="31" t="n">
        <v>52800</v>
      </c>
      <c r="M215" s="37" t="n">
        <v>2200</v>
      </c>
      <c r="N215" s="30" t="n">
        <v>8800</v>
      </c>
      <c r="O215" s="30" t="n">
        <v>52800</v>
      </c>
      <c r="P215" s="36" t="n">
        <v>0</v>
      </c>
      <c r="Q215" s="302" t="n">
        <v>45355</v>
      </c>
    </row>
    <row r="216" customFormat="false" ht="14.25" hidden="true" customHeight="false" outlineLevel="0" collapsed="false">
      <c r="A216" s="318" t="n">
        <v>2499</v>
      </c>
      <c r="B216" s="34" t="s">
        <v>537</v>
      </c>
      <c r="C216" s="34"/>
      <c r="D216" s="34"/>
      <c r="E216" s="25" t="n">
        <v>45349</v>
      </c>
      <c r="F216" s="25" t="n">
        <v>45359</v>
      </c>
      <c r="G216" s="26" t="n">
        <v>8</v>
      </c>
      <c r="H216" s="320" t="e">
        <f aca="false">#DIV/0!</f>
        <v>#DIV/0!</v>
      </c>
      <c r="I216" s="320" t="e">
        <f aca="false">#DIV/0!</f>
        <v>#DIV/0!</v>
      </c>
      <c r="J216" s="52" t="s">
        <v>751</v>
      </c>
      <c r="K216" s="36" t="n">
        <v>5000</v>
      </c>
      <c r="L216" s="36" t="n">
        <v>8000</v>
      </c>
      <c r="M216" s="29"/>
      <c r="N216" s="30" t="n">
        <v>8000</v>
      </c>
      <c r="O216" s="30" t="n">
        <v>8000</v>
      </c>
      <c r="P216" s="36" t="n">
        <v>0</v>
      </c>
      <c r="Q216" s="302" t="n">
        <v>45355</v>
      </c>
    </row>
    <row r="217" customFormat="false" ht="26.1" hidden="true" customHeight="false" outlineLevel="0" collapsed="false">
      <c r="A217" s="20" t="n">
        <v>2422</v>
      </c>
      <c r="B217" s="34" t="s">
        <v>758</v>
      </c>
      <c r="C217" s="34"/>
      <c r="D217" s="34"/>
      <c r="E217" s="25" t="n">
        <v>45306</v>
      </c>
      <c r="F217" s="25" t="n">
        <v>45359</v>
      </c>
      <c r="G217" s="72" t="n">
        <v>39</v>
      </c>
      <c r="H217" s="320" t="e">
        <f aca="false">#DIV/0!</f>
        <v>#DIV/0!</v>
      </c>
      <c r="I217" s="320" t="e">
        <f aca="false">#DIV/0!</f>
        <v>#DIV/0!</v>
      </c>
      <c r="J217" s="52" t="s">
        <v>751</v>
      </c>
      <c r="K217" s="31" t="n">
        <v>5000</v>
      </c>
      <c r="L217" s="31" t="n">
        <v>9200</v>
      </c>
      <c r="M217" s="29"/>
      <c r="N217" s="30" t="n">
        <v>3200</v>
      </c>
      <c r="O217" s="30" t="n">
        <v>9200</v>
      </c>
      <c r="P217" s="36" t="n">
        <v>0</v>
      </c>
      <c r="Q217" s="302" t="n">
        <v>45355</v>
      </c>
    </row>
    <row r="218" customFormat="false" ht="26.1" hidden="true" customHeight="false" outlineLevel="0" collapsed="false">
      <c r="A218" s="20" t="n">
        <v>2453</v>
      </c>
      <c r="B218" s="34" t="s">
        <v>758</v>
      </c>
      <c r="C218" s="34"/>
      <c r="D218" s="34"/>
      <c r="E218" s="25" t="n">
        <v>45301</v>
      </c>
      <c r="F218" s="25" t="n">
        <v>45359</v>
      </c>
      <c r="G218" s="72" t="n">
        <v>42</v>
      </c>
      <c r="H218" s="320" t="e">
        <f aca="false">#DIV/0!</f>
        <v>#DIV/0!</v>
      </c>
      <c r="I218" s="320" t="e">
        <f aca="false">#DIV/0!</f>
        <v>#DIV/0!</v>
      </c>
      <c r="J218" s="52" t="s">
        <v>751</v>
      </c>
      <c r="K218" s="36" t="n">
        <v>5000</v>
      </c>
      <c r="L218" s="36" t="n">
        <v>12800</v>
      </c>
      <c r="M218" s="29"/>
      <c r="N218" s="30" t="n">
        <v>12800</v>
      </c>
      <c r="O218" s="30" t="n">
        <v>12800</v>
      </c>
      <c r="P218" s="36" t="n">
        <v>0</v>
      </c>
      <c r="Q218" s="302" t="n">
        <v>45355</v>
      </c>
    </row>
    <row r="219" customFormat="false" ht="58.95" hidden="true" customHeight="false" outlineLevel="0" collapsed="false">
      <c r="A219" s="20" t="n">
        <v>1958</v>
      </c>
      <c r="B219" s="34" t="s">
        <v>761</v>
      </c>
      <c r="C219" s="34" t="s">
        <v>585</v>
      </c>
      <c r="D219" s="34"/>
      <c r="E219" s="25" t="n">
        <v>44945</v>
      </c>
      <c r="F219" s="25" t="n">
        <v>45331</v>
      </c>
      <c r="G219" s="72" t="n">
        <v>276</v>
      </c>
      <c r="H219" s="320" t="n">
        <v>240</v>
      </c>
      <c r="I219" s="320" t="n">
        <v>36</v>
      </c>
      <c r="J219" s="52" t="s">
        <v>922</v>
      </c>
      <c r="K219" s="31" t="n">
        <v>130000</v>
      </c>
      <c r="L219" s="31" t="n">
        <v>390000</v>
      </c>
      <c r="M219" s="37" t="n">
        <v>8125</v>
      </c>
      <c r="N219" s="41" t="n">
        <v>32250</v>
      </c>
      <c r="O219" s="41" t="n">
        <v>390000</v>
      </c>
      <c r="P219" s="31" t="n">
        <v>0</v>
      </c>
      <c r="Q219" s="302" t="n">
        <v>45355</v>
      </c>
    </row>
    <row r="220" customFormat="false" ht="26.1" hidden="true" customHeight="false" outlineLevel="0" collapsed="false">
      <c r="A220" s="318" t="n">
        <v>2520</v>
      </c>
      <c r="B220" s="34" t="s">
        <v>794</v>
      </c>
      <c r="C220" s="34" t="s">
        <v>880</v>
      </c>
      <c r="D220" s="34"/>
      <c r="E220" s="25" t="n">
        <v>45363</v>
      </c>
      <c r="F220" s="25" t="n">
        <v>45369</v>
      </c>
      <c r="G220" s="72" t="n">
        <v>4</v>
      </c>
      <c r="H220" s="316" t="e">
        <f aca="false">#DIV/0!</f>
        <v>#DIV/0!</v>
      </c>
      <c r="I220" s="316" t="e">
        <f aca="false">#DIV/0!</f>
        <v>#DIV/0!</v>
      </c>
      <c r="J220" s="52" t="s">
        <v>751</v>
      </c>
      <c r="K220" s="36" t="n">
        <v>20000</v>
      </c>
      <c r="L220" s="36" t="n">
        <v>26000</v>
      </c>
      <c r="M220" s="29"/>
      <c r="N220" s="30" t="n">
        <v>26000</v>
      </c>
      <c r="O220" s="30" t="n">
        <v>26000</v>
      </c>
      <c r="P220" s="36" t="n">
        <v>0</v>
      </c>
      <c r="Q220" s="302" t="n">
        <v>45362</v>
      </c>
    </row>
    <row r="221" customFormat="false" ht="26.1" hidden="true" customHeight="false" outlineLevel="0" collapsed="false">
      <c r="A221" s="20" t="n">
        <v>2326</v>
      </c>
      <c r="B221" s="34" t="s">
        <v>285</v>
      </c>
      <c r="C221" s="34" t="s">
        <v>286</v>
      </c>
      <c r="D221" s="34"/>
      <c r="E221" s="25" t="n">
        <v>45237</v>
      </c>
      <c r="F221" s="25" t="n">
        <v>45356</v>
      </c>
      <c r="G221" s="72" t="n">
        <v>85</v>
      </c>
      <c r="H221" s="316" t="n">
        <v>80</v>
      </c>
      <c r="I221" s="316" t="n">
        <v>5</v>
      </c>
      <c r="J221" s="52" t="s">
        <v>923</v>
      </c>
      <c r="K221" s="31" t="n">
        <v>30000</v>
      </c>
      <c r="L221" s="31" t="n">
        <v>64800</v>
      </c>
      <c r="M221" s="37" t="n">
        <v>4050</v>
      </c>
      <c r="N221" s="30" t="n">
        <v>16200</v>
      </c>
      <c r="O221" s="30" t="n">
        <v>64800</v>
      </c>
      <c r="P221" s="36" t="n">
        <v>0</v>
      </c>
      <c r="Q221" s="302" t="n">
        <v>45362</v>
      </c>
    </row>
    <row r="222" customFormat="false" ht="26.1" hidden="true" customHeight="false" outlineLevel="0" collapsed="false">
      <c r="A222" s="20" t="n">
        <v>2506</v>
      </c>
      <c r="B222" s="34" t="s">
        <v>356</v>
      </c>
      <c r="C222" s="34" t="s">
        <v>357</v>
      </c>
      <c r="D222" s="34" t="s">
        <v>358</v>
      </c>
      <c r="E222" s="25" t="n">
        <v>45353</v>
      </c>
      <c r="F222" s="25" t="n">
        <v>45359</v>
      </c>
      <c r="G222" s="72" t="n">
        <v>5</v>
      </c>
      <c r="H222" s="320" t="e">
        <f aca="false">#VALUE!</f>
        <v>#VALUE!</v>
      </c>
      <c r="I222" s="320" t="e">
        <f aca="false">#VALUE!</f>
        <v>#VALUE!</v>
      </c>
      <c r="J222" s="52" t="s">
        <v>751</v>
      </c>
      <c r="K222" s="36" t="n">
        <v>10000</v>
      </c>
      <c r="L222" s="36" t="n">
        <v>13000</v>
      </c>
      <c r="M222" s="29" t="s">
        <v>214</v>
      </c>
      <c r="N222" s="30" t="n">
        <v>13000</v>
      </c>
      <c r="O222" s="30" t="n">
        <v>13000</v>
      </c>
      <c r="P222" s="36" t="n">
        <v>0</v>
      </c>
      <c r="Q222" s="302" t="n">
        <v>45362</v>
      </c>
    </row>
    <row r="223" customFormat="false" ht="17.9" hidden="true" customHeight="false" outlineLevel="0" collapsed="false">
      <c r="A223" s="20" t="n">
        <v>2511</v>
      </c>
      <c r="B223" s="34" t="s">
        <v>429</v>
      </c>
      <c r="C223" s="34"/>
      <c r="D223" s="34"/>
      <c r="E223" s="25" t="n">
        <v>45359</v>
      </c>
      <c r="F223" s="25" t="n">
        <v>45366</v>
      </c>
      <c r="G223" s="72" t="n">
        <v>5</v>
      </c>
      <c r="H223" s="316" t="e">
        <f aca="false">#DIV/0!</f>
        <v>#DIV/0!</v>
      </c>
      <c r="I223" s="316" t="e">
        <f aca="false">#DIV/0!</f>
        <v>#DIV/0!</v>
      </c>
      <c r="J223" s="34" t="s">
        <v>751</v>
      </c>
      <c r="K223" s="31" t="n">
        <v>50000</v>
      </c>
      <c r="L223" s="31" t="n">
        <v>65000</v>
      </c>
      <c r="M223" s="37"/>
      <c r="N223" s="30" t="n">
        <v>65000</v>
      </c>
      <c r="O223" s="30" t="n">
        <v>65000</v>
      </c>
      <c r="P223" s="36" t="n">
        <v>0</v>
      </c>
      <c r="Q223" s="302" t="n">
        <v>45362</v>
      </c>
    </row>
    <row r="224" customFormat="false" ht="28.35" hidden="true" customHeight="false" outlineLevel="0" collapsed="false">
      <c r="A224" s="20" t="n">
        <v>2338</v>
      </c>
      <c r="B224" s="22" t="s">
        <v>425</v>
      </c>
      <c r="C224" s="22" t="s">
        <v>426</v>
      </c>
      <c r="D224" s="22"/>
      <c r="E224" s="25" t="n">
        <v>45246</v>
      </c>
      <c r="F224" s="24" t="n">
        <v>45362</v>
      </c>
      <c r="G224" s="72" t="n">
        <v>82</v>
      </c>
      <c r="H224" s="73" t="n">
        <v>0</v>
      </c>
      <c r="I224" s="316" t="n">
        <v>82</v>
      </c>
      <c r="J224" s="34" t="s">
        <v>924</v>
      </c>
      <c r="K224" s="34" t="n">
        <v>30000</v>
      </c>
      <c r="L224" s="31" t="n">
        <v>64800</v>
      </c>
      <c r="M224" s="37" t="n">
        <v>4050</v>
      </c>
      <c r="N224" s="30" t="n">
        <v>16200</v>
      </c>
      <c r="O224" s="30" t="n">
        <v>65400</v>
      </c>
      <c r="P224" s="36" t="n">
        <v>-600</v>
      </c>
      <c r="Q224" s="302" t="n">
        <v>45362</v>
      </c>
    </row>
    <row r="225" customFormat="false" ht="34.3" hidden="true" customHeight="false" outlineLevel="0" collapsed="false">
      <c r="A225" s="20" t="n">
        <v>2312</v>
      </c>
      <c r="B225" s="34" t="s">
        <v>450</v>
      </c>
      <c r="C225" s="34" t="s">
        <v>451</v>
      </c>
      <c r="D225" s="34"/>
      <c r="E225" s="25" t="n">
        <v>45225</v>
      </c>
      <c r="F225" s="25" t="n">
        <v>45327</v>
      </c>
      <c r="G225" s="72" t="n">
        <v>72</v>
      </c>
      <c r="H225" s="316" t="n">
        <v>72</v>
      </c>
      <c r="I225" s="316" t="n">
        <v>0</v>
      </c>
      <c r="J225" s="34" t="s">
        <v>769</v>
      </c>
      <c r="K225" s="36" t="n">
        <v>10000</v>
      </c>
      <c r="L225" s="36" t="n">
        <v>21600</v>
      </c>
      <c r="M225" s="29" t="n">
        <v>1500</v>
      </c>
      <c r="N225" s="30" t="n">
        <v>2600</v>
      </c>
      <c r="O225" s="30" t="n">
        <v>21600</v>
      </c>
      <c r="P225" s="36" t="n">
        <v>0</v>
      </c>
      <c r="Q225" s="302" t="n">
        <v>45362</v>
      </c>
    </row>
    <row r="226" customFormat="false" ht="42.5" hidden="true" customHeight="false" outlineLevel="0" collapsed="false">
      <c r="A226" s="20" t="n">
        <v>2295</v>
      </c>
      <c r="B226" s="34" t="s">
        <v>925</v>
      </c>
      <c r="C226" s="34" t="s">
        <v>926</v>
      </c>
      <c r="D226" s="34" t="s">
        <v>927</v>
      </c>
      <c r="E226" s="25" t="n">
        <v>45212</v>
      </c>
      <c r="F226" s="25" t="n">
        <v>45314</v>
      </c>
      <c r="G226" s="72" t="n">
        <v>72</v>
      </c>
      <c r="H226" s="316" t="n">
        <v>72</v>
      </c>
      <c r="I226" s="316" t="n">
        <v>0</v>
      </c>
      <c r="J226" s="34" t="s">
        <v>928</v>
      </c>
      <c r="K226" s="36" t="n">
        <v>45000</v>
      </c>
      <c r="L226" s="36" t="n">
        <v>97200</v>
      </c>
      <c r="M226" s="29" t="n">
        <v>6750</v>
      </c>
      <c r="N226" s="30" t="n">
        <v>24600</v>
      </c>
      <c r="O226" s="30" t="n">
        <v>97200</v>
      </c>
      <c r="P226" s="36" t="n">
        <v>0</v>
      </c>
      <c r="Q226" s="302" t="n">
        <v>45362</v>
      </c>
    </row>
    <row r="227" customFormat="false" ht="26.1" hidden="true" customHeight="false" outlineLevel="0" collapsed="false">
      <c r="A227" s="20" t="n">
        <v>2354</v>
      </c>
      <c r="B227" s="34" t="s">
        <v>929</v>
      </c>
      <c r="C227" s="34" t="s">
        <v>623</v>
      </c>
      <c r="D227" s="34"/>
      <c r="E227" s="25" t="n">
        <v>45259</v>
      </c>
      <c r="F227" s="25" t="n">
        <v>45359</v>
      </c>
      <c r="G227" s="72" t="n">
        <v>72</v>
      </c>
      <c r="H227" s="320" t="n">
        <v>72</v>
      </c>
      <c r="I227" s="320" t="n">
        <v>0</v>
      </c>
      <c r="J227" s="34" t="s">
        <v>749</v>
      </c>
      <c r="K227" s="31" t="n">
        <v>20000</v>
      </c>
      <c r="L227" s="31" t="n">
        <v>43200</v>
      </c>
      <c r="M227" s="29" t="n">
        <v>3000</v>
      </c>
      <c r="N227" s="30" t="n">
        <v>4200</v>
      </c>
      <c r="O227" s="30" t="n">
        <v>43200</v>
      </c>
      <c r="P227" s="36" t="n">
        <v>0</v>
      </c>
      <c r="Q227" s="302" t="n">
        <v>45362</v>
      </c>
    </row>
    <row r="228" customFormat="false" ht="26.1" hidden="true" customHeight="false" outlineLevel="0" collapsed="false">
      <c r="A228" s="20" t="n">
        <v>2317</v>
      </c>
      <c r="B228" s="34" t="s">
        <v>930</v>
      </c>
      <c r="C228" s="34" t="s">
        <v>216</v>
      </c>
      <c r="D228" s="34"/>
      <c r="E228" s="25" t="n">
        <v>45229</v>
      </c>
      <c r="F228" s="25" t="n">
        <v>45383</v>
      </c>
      <c r="G228" s="72" t="n">
        <v>110</v>
      </c>
      <c r="H228" s="316" t="n">
        <v>110</v>
      </c>
      <c r="I228" s="316" t="n">
        <v>0</v>
      </c>
      <c r="J228" s="34" t="s">
        <v>931</v>
      </c>
      <c r="K228" s="31" t="n">
        <v>50000</v>
      </c>
      <c r="L228" s="31" t="n">
        <v>132000</v>
      </c>
      <c r="M228" s="37" t="n">
        <v>6000</v>
      </c>
      <c r="N228" s="30" t="n">
        <v>24000</v>
      </c>
      <c r="O228" s="30" t="n">
        <v>132000</v>
      </c>
      <c r="P228" s="31" t="n">
        <v>0</v>
      </c>
      <c r="Q228" s="302" t="n">
        <v>45369</v>
      </c>
    </row>
    <row r="229" customFormat="false" ht="19.4" hidden="true" customHeight="false" outlineLevel="0" collapsed="false">
      <c r="A229" s="20" t="n">
        <v>2301</v>
      </c>
      <c r="B229" s="22" t="s">
        <v>772</v>
      </c>
      <c r="C229" s="22" t="s">
        <v>773</v>
      </c>
      <c r="D229" s="22"/>
      <c r="E229" s="25" t="n">
        <v>45108</v>
      </c>
      <c r="F229" s="24" t="n">
        <v>45209</v>
      </c>
      <c r="G229" s="72" t="n">
        <v>72</v>
      </c>
      <c r="H229" s="316" t="n">
        <v>80.3703703703704</v>
      </c>
      <c r="I229" s="316" t="n">
        <v>-8.37037037037037</v>
      </c>
      <c r="J229" s="322" t="s">
        <v>932</v>
      </c>
      <c r="K229" s="31" t="n">
        <v>30000</v>
      </c>
      <c r="L229" s="36" t="n">
        <v>64800</v>
      </c>
      <c r="M229" s="29" t="n">
        <v>4050</v>
      </c>
      <c r="N229" s="30" t="n">
        <v>4500</v>
      </c>
      <c r="O229" s="30" t="n">
        <v>65100</v>
      </c>
      <c r="P229" s="36" t="n">
        <v>-300</v>
      </c>
      <c r="Q229" s="302" t="n">
        <v>45369</v>
      </c>
    </row>
    <row r="230" customFormat="false" ht="17.9" hidden="true" customHeight="false" outlineLevel="0" collapsed="false">
      <c r="A230" s="20" t="n">
        <v>2523</v>
      </c>
      <c r="B230" s="34" t="s">
        <v>429</v>
      </c>
      <c r="C230" s="34"/>
      <c r="D230" s="34"/>
      <c r="E230" s="25" t="n">
        <v>45367</v>
      </c>
      <c r="F230" s="25" t="n">
        <v>45373</v>
      </c>
      <c r="G230" s="72" t="n">
        <v>5</v>
      </c>
      <c r="H230" s="316" t="e">
        <f aca="false">#DIV/0!</f>
        <v>#DIV/0!</v>
      </c>
      <c r="I230" s="316" t="e">
        <f aca="false">#DIV/0!</f>
        <v>#DIV/0!</v>
      </c>
      <c r="J230" s="34" t="s">
        <v>751</v>
      </c>
      <c r="K230" s="36" t="n">
        <v>20000</v>
      </c>
      <c r="L230" s="36" t="n">
        <v>26000</v>
      </c>
      <c r="M230" s="29"/>
      <c r="N230" s="30" t="n">
        <v>39000</v>
      </c>
      <c r="O230" s="30" t="n">
        <v>39000</v>
      </c>
      <c r="P230" s="36" t="n">
        <v>-13000</v>
      </c>
      <c r="Q230" s="302" t="n">
        <v>45369</v>
      </c>
    </row>
    <row r="231" customFormat="false" ht="34.3" hidden="true" customHeight="false" outlineLevel="0" collapsed="false">
      <c r="A231" s="20" t="n">
        <v>2353</v>
      </c>
      <c r="B231" s="34" t="s">
        <v>503</v>
      </c>
      <c r="C231" s="34" t="s">
        <v>241</v>
      </c>
      <c r="D231" s="34"/>
      <c r="E231" s="25" t="n">
        <v>45258</v>
      </c>
      <c r="F231" s="25" t="n">
        <v>45358</v>
      </c>
      <c r="G231" s="72" t="n">
        <v>72</v>
      </c>
      <c r="H231" s="316" t="n">
        <v>72.6111111111111</v>
      </c>
      <c r="I231" s="316" t="n">
        <v>-0.611111111111114</v>
      </c>
      <c r="J231" s="34" t="s">
        <v>452</v>
      </c>
      <c r="K231" s="31" t="n">
        <v>30000</v>
      </c>
      <c r="L231" s="31" t="n">
        <v>64800</v>
      </c>
      <c r="M231" s="37" t="n">
        <v>4500</v>
      </c>
      <c r="N231" s="30" t="n">
        <v>850</v>
      </c>
      <c r="O231" s="30" t="n">
        <v>65350</v>
      </c>
      <c r="P231" s="36" t="n">
        <v>-550</v>
      </c>
      <c r="Q231" s="302" t="n">
        <v>45369</v>
      </c>
    </row>
    <row r="232" customFormat="false" ht="42.5" hidden="true" customHeight="false" outlineLevel="0" collapsed="false">
      <c r="A232" s="20" t="n">
        <v>2359</v>
      </c>
      <c r="B232" s="34" t="s">
        <v>818</v>
      </c>
      <c r="C232" s="34" t="s">
        <v>556</v>
      </c>
      <c r="D232" s="34"/>
      <c r="E232" s="25" t="n">
        <v>45262</v>
      </c>
      <c r="F232" s="25" t="n">
        <v>45363</v>
      </c>
      <c r="G232" s="72" t="n">
        <v>72</v>
      </c>
      <c r="H232" s="320" t="n">
        <v>72</v>
      </c>
      <c r="I232" s="320" t="n">
        <v>0</v>
      </c>
      <c r="J232" s="34" t="s">
        <v>452</v>
      </c>
      <c r="K232" s="31" t="n">
        <v>30000</v>
      </c>
      <c r="L232" s="31" t="n">
        <v>64800</v>
      </c>
      <c r="M232" s="37" t="n">
        <v>4500</v>
      </c>
      <c r="N232" s="30" t="n">
        <v>5200</v>
      </c>
      <c r="O232" s="30" t="n">
        <v>64800</v>
      </c>
      <c r="P232" s="36" t="n">
        <v>0</v>
      </c>
      <c r="Q232" s="302" t="n">
        <v>45369</v>
      </c>
    </row>
    <row r="233" customFormat="false" ht="26.1" hidden="true" customHeight="false" outlineLevel="0" collapsed="false">
      <c r="A233" s="20" t="n">
        <v>2355</v>
      </c>
      <c r="B233" s="34" t="s">
        <v>560</v>
      </c>
      <c r="C233" s="34" t="s">
        <v>933</v>
      </c>
      <c r="D233" s="34" t="n">
        <v>24324078</v>
      </c>
      <c r="E233" s="25" t="n">
        <v>45259</v>
      </c>
      <c r="F233" s="25" t="s">
        <v>214</v>
      </c>
      <c r="G233" s="72" t="n">
        <v>72</v>
      </c>
      <c r="H233" s="320" t="n">
        <v>72</v>
      </c>
      <c r="I233" s="320" t="n">
        <v>0</v>
      </c>
      <c r="J233" s="34" t="s">
        <v>934</v>
      </c>
      <c r="K233" s="31" t="n">
        <v>50000</v>
      </c>
      <c r="L233" s="31" t="n">
        <v>111096</v>
      </c>
      <c r="M233" s="37" t="n">
        <v>7715</v>
      </c>
      <c r="N233" s="30" t="n">
        <v>6096</v>
      </c>
      <c r="O233" s="30" t="n">
        <v>111096</v>
      </c>
      <c r="P233" s="36" t="n">
        <v>0</v>
      </c>
      <c r="Q233" s="302" t="n">
        <v>45369</v>
      </c>
    </row>
    <row r="234" customFormat="false" ht="17.9" hidden="true" customHeight="false" outlineLevel="0" collapsed="false">
      <c r="A234" s="20" t="n">
        <v>2386</v>
      </c>
      <c r="B234" s="34" t="s">
        <v>581</v>
      </c>
      <c r="C234" s="34" t="s">
        <v>582</v>
      </c>
      <c r="D234" s="34"/>
      <c r="E234" s="25" t="n">
        <v>45282</v>
      </c>
      <c r="F234" s="25" t="n">
        <v>45384</v>
      </c>
      <c r="G234" s="72" t="n">
        <v>72</v>
      </c>
      <c r="H234" s="320" t="n">
        <v>72.2222222222222</v>
      </c>
      <c r="I234" s="320" t="n">
        <v>-0.222222222222229</v>
      </c>
      <c r="J234" s="34" t="s">
        <v>452</v>
      </c>
      <c r="K234" s="31" t="n">
        <v>30000</v>
      </c>
      <c r="L234" s="31" t="n">
        <v>64800</v>
      </c>
      <c r="M234" s="29" t="n">
        <v>4500</v>
      </c>
      <c r="N234" s="30" t="n">
        <v>2000</v>
      </c>
      <c r="O234" s="30" t="n">
        <v>65000</v>
      </c>
      <c r="P234" s="36" t="n">
        <v>-200</v>
      </c>
      <c r="Q234" s="302" t="n">
        <v>45369</v>
      </c>
    </row>
    <row r="235" customFormat="false" ht="26.1" hidden="true" customHeight="false" outlineLevel="0" collapsed="false">
      <c r="A235" s="20" t="n">
        <v>2239</v>
      </c>
      <c r="B235" s="34" t="s">
        <v>385</v>
      </c>
      <c r="C235" s="34" t="s">
        <v>796</v>
      </c>
      <c r="D235" s="34"/>
      <c r="E235" s="25" t="n">
        <v>45175</v>
      </c>
      <c r="F235" s="25" t="n">
        <v>45359</v>
      </c>
      <c r="G235" s="72" t="n">
        <v>132</v>
      </c>
      <c r="H235" s="316" t="n">
        <v>120</v>
      </c>
      <c r="I235" s="316" t="n">
        <v>12</v>
      </c>
      <c r="J235" s="52" t="s">
        <v>891</v>
      </c>
      <c r="K235" s="31" t="n">
        <v>30000</v>
      </c>
      <c r="L235" s="36" t="n">
        <v>79200</v>
      </c>
      <c r="M235" s="29" t="n">
        <v>3300</v>
      </c>
      <c r="N235" s="30" t="n">
        <v>13200</v>
      </c>
      <c r="O235" s="30" t="n">
        <v>79200</v>
      </c>
      <c r="P235" s="36" t="n">
        <v>0</v>
      </c>
      <c r="Q235" s="302" t="n">
        <v>45376</v>
      </c>
    </row>
    <row r="236" customFormat="false" ht="17.9" hidden="true" customHeight="false" outlineLevel="0" collapsed="false">
      <c r="A236" s="20" t="n">
        <v>2541</v>
      </c>
      <c r="B236" s="34" t="s">
        <v>429</v>
      </c>
      <c r="C236" s="34"/>
      <c r="D236" s="34"/>
      <c r="E236" s="25" t="n">
        <v>45374</v>
      </c>
      <c r="F236" s="25" t="n">
        <v>45380</v>
      </c>
      <c r="G236" s="72" t="n">
        <v>5</v>
      </c>
      <c r="H236" s="316" t="e">
        <f aca="false">#DIV/0!</f>
        <v>#DIV/0!</v>
      </c>
      <c r="I236" s="316" t="e">
        <f aca="false">#DIV/0!</f>
        <v>#DIV/0!</v>
      </c>
      <c r="J236" s="52" t="s">
        <v>751</v>
      </c>
      <c r="K236" s="36" t="n">
        <v>30000</v>
      </c>
      <c r="L236" s="36" t="n">
        <v>39000</v>
      </c>
      <c r="M236" s="29"/>
      <c r="N236" s="30" t="n">
        <v>39000</v>
      </c>
      <c r="O236" s="30" t="n">
        <v>39000</v>
      </c>
      <c r="P236" s="36" t="n">
        <v>0</v>
      </c>
      <c r="Q236" s="302" t="n">
        <v>45376</v>
      </c>
    </row>
    <row r="237" customFormat="false" ht="26.1" hidden="true" customHeight="false" outlineLevel="0" collapsed="false">
      <c r="A237" s="20" t="n">
        <v>2522</v>
      </c>
      <c r="B237" s="34" t="s">
        <v>935</v>
      </c>
      <c r="C237" s="34" t="s">
        <v>936</v>
      </c>
      <c r="D237" s="34" t="s">
        <v>937</v>
      </c>
      <c r="E237" s="25" t="n">
        <v>45367</v>
      </c>
      <c r="F237" s="25" t="n">
        <v>45464</v>
      </c>
      <c r="G237" s="26" t="n">
        <v>70</v>
      </c>
      <c r="H237" s="320" t="n">
        <v>70</v>
      </c>
      <c r="I237" s="320" t="n">
        <v>0</v>
      </c>
      <c r="J237" s="34" t="s">
        <v>938</v>
      </c>
      <c r="K237" s="36" t="n">
        <v>80000</v>
      </c>
      <c r="L237" s="36" t="n">
        <v>175000</v>
      </c>
      <c r="M237" s="29" t="n">
        <v>12500</v>
      </c>
      <c r="N237" s="30" t="n">
        <v>92500</v>
      </c>
      <c r="O237" s="30" t="n">
        <v>175000</v>
      </c>
      <c r="P237" s="36" t="n">
        <v>0</v>
      </c>
      <c r="Q237" s="302" t="n">
        <v>45376</v>
      </c>
    </row>
    <row r="238" customFormat="false" ht="17.9" hidden="true" customHeight="false" outlineLevel="0" collapsed="false">
      <c r="A238" s="20" t="n">
        <v>2363</v>
      </c>
      <c r="B238" s="34" t="s">
        <v>461</v>
      </c>
      <c r="C238" s="34"/>
      <c r="D238" s="34"/>
      <c r="E238" s="25" t="n">
        <v>45266</v>
      </c>
      <c r="F238" s="25" t="n">
        <v>45366</v>
      </c>
      <c r="G238" s="72" t="n">
        <v>72</v>
      </c>
      <c r="H238" s="316" t="n">
        <v>72</v>
      </c>
      <c r="I238" s="316" t="n">
        <v>0</v>
      </c>
      <c r="J238" s="34" t="s">
        <v>627</v>
      </c>
      <c r="K238" s="36" t="n">
        <v>40000</v>
      </c>
      <c r="L238" s="36" t="n">
        <v>86400</v>
      </c>
      <c r="M238" s="29" t="n">
        <v>6000</v>
      </c>
      <c r="N238" s="30" t="n">
        <v>2400</v>
      </c>
      <c r="O238" s="30" t="n">
        <v>86400</v>
      </c>
      <c r="P238" s="36" t="n">
        <v>0</v>
      </c>
      <c r="Q238" s="302" t="n">
        <v>45376</v>
      </c>
    </row>
    <row r="239" customFormat="false" ht="26.1" hidden="true" customHeight="false" outlineLevel="0" collapsed="false">
      <c r="A239" s="20" t="n">
        <v>2333</v>
      </c>
      <c r="B239" s="34" t="s">
        <v>752</v>
      </c>
      <c r="C239" s="34" t="s">
        <v>753</v>
      </c>
      <c r="D239" s="34"/>
      <c r="E239" s="25" t="n">
        <v>45239</v>
      </c>
      <c r="F239" s="25" t="n">
        <v>45341</v>
      </c>
      <c r="G239" s="72" t="n">
        <v>72</v>
      </c>
      <c r="H239" s="316" t="n">
        <v>72</v>
      </c>
      <c r="I239" s="316" t="n">
        <v>0</v>
      </c>
      <c r="J239" s="34" t="s">
        <v>452</v>
      </c>
      <c r="K239" s="31" t="n">
        <v>30000</v>
      </c>
      <c r="L239" s="31" t="n">
        <v>64800</v>
      </c>
      <c r="M239" s="29" t="n">
        <v>4500</v>
      </c>
      <c r="N239" s="30" t="n">
        <v>1800</v>
      </c>
      <c r="O239" s="30" t="n">
        <v>64800</v>
      </c>
      <c r="P239" s="36" t="n">
        <v>0</v>
      </c>
      <c r="Q239" s="302" t="n">
        <v>45376</v>
      </c>
    </row>
    <row r="240" customFormat="false" ht="34.3" hidden="true" customHeight="false" outlineLevel="0" collapsed="false">
      <c r="A240" s="20" t="n">
        <v>2352</v>
      </c>
      <c r="B240" s="34" t="s">
        <v>939</v>
      </c>
      <c r="C240" s="34" t="s">
        <v>875</v>
      </c>
      <c r="D240" s="34"/>
      <c r="E240" s="25" t="n">
        <v>45258</v>
      </c>
      <c r="F240" s="25" t="n">
        <v>45384</v>
      </c>
      <c r="G240" s="72" t="n">
        <v>90</v>
      </c>
      <c r="H240" s="316" t="n">
        <v>80</v>
      </c>
      <c r="I240" s="316" t="n">
        <v>10</v>
      </c>
      <c r="J240" s="52" t="s">
        <v>940</v>
      </c>
      <c r="K240" s="31" t="n">
        <v>15000</v>
      </c>
      <c r="L240" s="31" t="n">
        <v>32400</v>
      </c>
      <c r="M240" s="29" t="n">
        <v>2025</v>
      </c>
      <c r="N240" s="30" t="n">
        <v>8100</v>
      </c>
      <c r="O240" s="30" t="n">
        <v>32400</v>
      </c>
      <c r="P240" s="36" t="n">
        <v>0</v>
      </c>
      <c r="Q240" s="302" t="n">
        <v>45376</v>
      </c>
    </row>
    <row r="241" customFormat="false" ht="34.3" hidden="true" customHeight="false" outlineLevel="0" collapsed="false">
      <c r="A241" s="20" t="n">
        <v>2170</v>
      </c>
      <c r="B241" s="34" t="s">
        <v>941</v>
      </c>
      <c r="C241" s="34" t="s">
        <v>594</v>
      </c>
      <c r="D241" s="34"/>
      <c r="E241" s="25" t="n">
        <v>45122</v>
      </c>
      <c r="F241" s="25" t="n">
        <v>45275</v>
      </c>
      <c r="G241" s="72" t="n">
        <v>110</v>
      </c>
      <c r="H241" s="320" t="n">
        <v>111.666666666667</v>
      </c>
      <c r="I241" s="320" t="n">
        <v>-1.66666666666667</v>
      </c>
      <c r="J241" s="34" t="s">
        <v>931</v>
      </c>
      <c r="K241" s="31" t="n">
        <v>50000</v>
      </c>
      <c r="L241" s="31" t="n">
        <v>132000</v>
      </c>
      <c r="M241" s="37" t="n">
        <v>6000</v>
      </c>
      <c r="N241" s="30" t="n">
        <v>18000</v>
      </c>
      <c r="O241" s="30" t="n">
        <v>134000</v>
      </c>
      <c r="P241" s="36" t="n">
        <v>-2000</v>
      </c>
      <c r="Q241" s="302" t="n">
        <v>45376</v>
      </c>
    </row>
    <row r="242" customFormat="false" ht="26.1" hidden="true" customHeight="false" outlineLevel="0" collapsed="false">
      <c r="A242" s="20" t="n">
        <v>2509</v>
      </c>
      <c r="B242" s="34" t="s">
        <v>794</v>
      </c>
      <c r="C242" s="34" t="s">
        <v>880</v>
      </c>
      <c r="D242" s="34"/>
      <c r="E242" s="25" t="n">
        <v>45357</v>
      </c>
      <c r="F242" s="25" t="n">
        <v>45385</v>
      </c>
      <c r="G242" s="72" t="n">
        <v>20</v>
      </c>
      <c r="H242" s="316" t="e">
        <f aca="false">#DIV/0!</f>
        <v>#DIV/0!</v>
      </c>
      <c r="I242" s="316" t="e">
        <f aca="false">#DIV/0!</f>
        <v>#DIV/0!</v>
      </c>
      <c r="J242" s="52" t="s">
        <v>751</v>
      </c>
      <c r="K242" s="31" t="n">
        <v>100000</v>
      </c>
      <c r="L242" s="31" t="n">
        <v>150000</v>
      </c>
      <c r="M242" s="37"/>
      <c r="N242" s="30" t="n">
        <v>25000</v>
      </c>
      <c r="O242" s="30" t="n">
        <v>150000</v>
      </c>
      <c r="P242" s="36" t="n">
        <v>0</v>
      </c>
      <c r="Q242" s="302" t="n">
        <v>45383</v>
      </c>
    </row>
    <row r="243" customFormat="false" ht="34.3" hidden="true" customHeight="false" outlineLevel="0" collapsed="false">
      <c r="A243" s="20" t="n">
        <v>2368</v>
      </c>
      <c r="B243" s="34" t="s">
        <v>744</v>
      </c>
      <c r="C243" s="34" t="s">
        <v>745</v>
      </c>
      <c r="D243" s="34"/>
      <c r="E243" s="25" t="n">
        <v>45269</v>
      </c>
      <c r="F243" s="25" t="n">
        <v>45370</v>
      </c>
      <c r="G243" s="72" t="n">
        <v>72</v>
      </c>
      <c r="H243" s="316" t="n">
        <v>72</v>
      </c>
      <c r="I243" s="316" t="n">
        <v>0</v>
      </c>
      <c r="J243" s="34" t="s">
        <v>452</v>
      </c>
      <c r="K243" s="31" t="n">
        <v>30000</v>
      </c>
      <c r="L243" s="31" t="n">
        <v>64800</v>
      </c>
      <c r="M243" s="37" t="n">
        <v>4500</v>
      </c>
      <c r="N243" s="30" t="n">
        <v>1350</v>
      </c>
      <c r="O243" s="30" t="n">
        <v>64800</v>
      </c>
      <c r="P243" s="36" t="n">
        <v>0</v>
      </c>
      <c r="Q243" s="302" t="n">
        <v>45383</v>
      </c>
    </row>
    <row r="244" customFormat="false" ht="26.1" hidden="true" customHeight="false" outlineLevel="0" collapsed="false">
      <c r="A244" s="20" t="n">
        <v>2415</v>
      </c>
      <c r="B244" s="34" t="s">
        <v>336</v>
      </c>
      <c r="C244" s="34" t="s">
        <v>337</v>
      </c>
      <c r="D244" s="34"/>
      <c r="E244" s="25" t="n">
        <v>45302</v>
      </c>
      <c r="F244" s="25" t="n">
        <v>45404</v>
      </c>
      <c r="G244" s="72" t="n">
        <v>72</v>
      </c>
      <c r="H244" s="316" t="n">
        <v>72</v>
      </c>
      <c r="I244" s="316" t="n">
        <v>0</v>
      </c>
      <c r="J244" s="34" t="s">
        <v>769</v>
      </c>
      <c r="K244" s="31" t="n">
        <v>10000</v>
      </c>
      <c r="L244" s="31" t="n">
        <v>21600</v>
      </c>
      <c r="M244" s="37" t="n">
        <v>1500</v>
      </c>
      <c r="N244" s="30" t="n">
        <v>2100</v>
      </c>
      <c r="O244" s="30" t="n">
        <v>21600</v>
      </c>
      <c r="P244" s="36" t="n">
        <v>0</v>
      </c>
      <c r="Q244" s="302" t="n">
        <v>45383</v>
      </c>
    </row>
    <row r="245" customFormat="false" ht="34.3" hidden="true" customHeight="false" outlineLevel="0" collapsed="false">
      <c r="A245" s="318" t="n">
        <v>2548</v>
      </c>
      <c r="B245" s="34" t="s">
        <v>450</v>
      </c>
      <c r="C245" s="34" t="s">
        <v>451</v>
      </c>
      <c r="D245" s="34"/>
      <c r="E245" s="25" t="n">
        <v>45380</v>
      </c>
      <c r="F245" s="25" t="n">
        <v>45385</v>
      </c>
      <c r="G245" s="72" t="n">
        <v>3</v>
      </c>
      <c r="H245" s="320" t="e">
        <f aca="false">#VALUE!</f>
        <v>#VALUE!</v>
      </c>
      <c r="I245" s="316" t="e">
        <f aca="false">#VALUE!</f>
        <v>#VALUE!</v>
      </c>
      <c r="J245" s="52" t="s">
        <v>942</v>
      </c>
      <c r="K245" s="36" t="n">
        <v>10000</v>
      </c>
      <c r="L245" s="36" t="n">
        <v>13000</v>
      </c>
      <c r="M245" s="29" t="s">
        <v>214</v>
      </c>
      <c r="N245" s="30" t="n">
        <v>13000</v>
      </c>
      <c r="O245" s="30" t="n">
        <v>13000</v>
      </c>
      <c r="P245" s="36" t="n">
        <v>0</v>
      </c>
      <c r="Q245" s="302" t="n">
        <v>45383</v>
      </c>
    </row>
    <row r="246" customFormat="false" ht="42.5" hidden="true" customHeight="false" outlineLevel="0" collapsed="false">
      <c r="A246" s="20" t="n">
        <v>2344</v>
      </c>
      <c r="B246" s="34" t="s">
        <v>485</v>
      </c>
      <c r="C246" s="34" t="s">
        <v>486</v>
      </c>
      <c r="D246" s="34"/>
      <c r="E246" s="25" t="n">
        <v>45254</v>
      </c>
      <c r="F246" s="25" t="n">
        <v>45356</v>
      </c>
      <c r="G246" s="72" t="n">
        <v>72</v>
      </c>
      <c r="H246" s="316" t="n">
        <v>72</v>
      </c>
      <c r="I246" s="316" t="n">
        <v>0</v>
      </c>
      <c r="J246" s="34" t="s">
        <v>452</v>
      </c>
      <c r="K246" s="31" t="n">
        <v>30000</v>
      </c>
      <c r="L246" s="31" t="n">
        <v>64800</v>
      </c>
      <c r="M246" s="37" t="n">
        <v>4500</v>
      </c>
      <c r="N246" s="30" t="n">
        <v>9300</v>
      </c>
      <c r="O246" s="30" t="n">
        <v>64800</v>
      </c>
      <c r="P246" s="36" t="n">
        <v>0</v>
      </c>
      <c r="Q246" s="302" t="n">
        <v>45383</v>
      </c>
    </row>
    <row r="247" customFormat="false" ht="26.1" hidden="true" customHeight="false" outlineLevel="0" collapsed="false">
      <c r="A247" s="20" t="n">
        <v>2455</v>
      </c>
      <c r="B247" s="34" t="s">
        <v>754</v>
      </c>
      <c r="C247" s="34" t="s">
        <v>755</v>
      </c>
      <c r="D247" s="34"/>
      <c r="E247" s="25" t="n">
        <v>45324</v>
      </c>
      <c r="F247" s="25" t="n">
        <v>45352</v>
      </c>
      <c r="G247" s="72" t="n">
        <v>20</v>
      </c>
      <c r="H247" s="316" t="e">
        <f aca="false">#DIV/0!</f>
        <v>#DIV/0!</v>
      </c>
      <c r="I247" s="316" t="e">
        <f aca="false">#DIV/0!</f>
        <v>#DIV/0!</v>
      </c>
      <c r="J247" s="52" t="s">
        <v>751</v>
      </c>
      <c r="K247" s="36" t="n">
        <v>40000</v>
      </c>
      <c r="L247" s="36" t="n">
        <v>60000</v>
      </c>
      <c r="M247" s="29"/>
      <c r="N247" s="30" t="n">
        <v>20000</v>
      </c>
      <c r="O247" s="30" t="n">
        <v>60000</v>
      </c>
      <c r="P247" s="36" t="n">
        <v>0</v>
      </c>
      <c r="Q247" s="302" t="n">
        <v>45383</v>
      </c>
    </row>
    <row r="248" customFormat="false" ht="14.25" hidden="true" customHeight="false" outlineLevel="0" collapsed="false">
      <c r="A248" s="20" t="n">
        <v>2513</v>
      </c>
      <c r="B248" s="34" t="s">
        <v>861</v>
      </c>
      <c r="C248" s="34"/>
      <c r="D248" s="34"/>
      <c r="E248" s="25" t="n">
        <v>45359</v>
      </c>
      <c r="F248" s="25" t="n">
        <v>45387</v>
      </c>
      <c r="G248" s="72" t="n">
        <v>20</v>
      </c>
      <c r="H248" s="316" t="e">
        <f aca="false">#DIV/0!</f>
        <v>#DIV/0!</v>
      </c>
      <c r="I248" s="316" t="e">
        <f aca="false">#DIV/0!</f>
        <v>#DIV/0!</v>
      </c>
      <c r="J248" s="34" t="s">
        <v>751</v>
      </c>
      <c r="K248" s="31" t="n">
        <v>10000</v>
      </c>
      <c r="L248" s="31" t="n">
        <v>16000</v>
      </c>
      <c r="M248" s="37"/>
      <c r="N248" s="30" t="n">
        <v>16000</v>
      </c>
      <c r="O248" s="30" t="n">
        <v>16000</v>
      </c>
      <c r="P248" s="36" t="n">
        <v>0</v>
      </c>
      <c r="Q248" s="302" t="n">
        <v>45383</v>
      </c>
    </row>
    <row r="249" customFormat="false" ht="14.25" hidden="true" customHeight="false" outlineLevel="0" collapsed="false">
      <c r="A249" s="20" t="n">
        <v>2529</v>
      </c>
      <c r="B249" s="34" t="s">
        <v>861</v>
      </c>
      <c r="C249" s="34"/>
      <c r="D249" s="34"/>
      <c r="E249" s="25" t="n">
        <v>45369</v>
      </c>
      <c r="F249" s="25" t="n">
        <v>45390</v>
      </c>
      <c r="G249" s="26" t="n">
        <v>15</v>
      </c>
      <c r="H249" s="320"/>
      <c r="I249" s="320"/>
      <c r="J249" s="34" t="s">
        <v>751</v>
      </c>
      <c r="K249" s="31" t="n">
        <v>5000</v>
      </c>
      <c r="L249" s="31" t="n">
        <v>8000</v>
      </c>
      <c r="M249" s="29"/>
      <c r="N249" s="30" t="n">
        <v>8000</v>
      </c>
      <c r="O249" s="30" t="n">
        <v>8000</v>
      </c>
      <c r="P249" s="36" t="n">
        <v>0</v>
      </c>
      <c r="Q249" s="302" t="n">
        <v>45383</v>
      </c>
    </row>
    <row r="250" customFormat="false" ht="14.25" hidden="true" customHeight="false" outlineLevel="0" collapsed="false">
      <c r="A250" s="20" t="n">
        <v>2542</v>
      </c>
      <c r="B250" s="34" t="s">
        <v>861</v>
      </c>
      <c r="C250" s="34"/>
      <c r="D250" s="34"/>
      <c r="E250" s="323" t="n">
        <v>45376</v>
      </c>
      <c r="F250" s="25" t="n">
        <v>45390</v>
      </c>
      <c r="G250" s="26" t="n">
        <v>10</v>
      </c>
      <c r="H250" s="316" t="e">
        <f aca="false">#DIV/0!</f>
        <v>#DIV/0!</v>
      </c>
      <c r="I250" s="316" t="e">
        <f aca="false">#DIV/0!</f>
        <v>#DIV/0!</v>
      </c>
      <c r="J250" s="52" t="s">
        <v>751</v>
      </c>
      <c r="K250" s="36" t="n">
        <v>5000</v>
      </c>
      <c r="L250" s="36" t="n">
        <v>8000</v>
      </c>
      <c r="M250" s="29"/>
      <c r="N250" s="30" t="n">
        <v>8000</v>
      </c>
      <c r="O250" s="30" t="n">
        <v>8000</v>
      </c>
      <c r="P250" s="36" t="n">
        <v>0</v>
      </c>
      <c r="Q250" s="302" t="n">
        <v>45383</v>
      </c>
    </row>
    <row r="251" customFormat="false" ht="14.25" hidden="true" customHeight="false" outlineLevel="0" collapsed="false">
      <c r="A251" s="20" t="n">
        <v>2510</v>
      </c>
      <c r="B251" s="34" t="s">
        <v>537</v>
      </c>
      <c r="C251" s="34"/>
      <c r="D251" s="34"/>
      <c r="E251" s="25" t="n">
        <v>45359</v>
      </c>
      <c r="F251" s="25" t="n">
        <f aca="false">WORKDAY(E251,G251)</f>
        <v>45387</v>
      </c>
      <c r="G251" s="26" t="n">
        <v>20</v>
      </c>
      <c r="H251" s="316" t="e">
        <f aca="false">(CQ251* 5)/M251</f>
        <v>#DIV/0!</v>
      </c>
      <c r="I251" s="316" t="e">
        <f aca="false">G251-H251</f>
        <v>#DIV/0!</v>
      </c>
      <c r="J251" s="52" t="s">
        <v>751</v>
      </c>
      <c r="K251" s="36" t="n">
        <v>10000</v>
      </c>
      <c r="L251" s="36" t="n">
        <v>16000</v>
      </c>
      <c r="M251" s="29"/>
      <c r="N251" s="30" t="n">
        <v>16000</v>
      </c>
      <c r="O251" s="30" t="n">
        <v>16000</v>
      </c>
      <c r="P251" s="36" t="n">
        <v>0</v>
      </c>
      <c r="Q251" s="302" t="n">
        <v>45383</v>
      </c>
    </row>
    <row r="252" customFormat="false" ht="34.3" hidden="true" customHeight="false" outlineLevel="0" collapsed="false">
      <c r="A252" s="20" t="n">
        <v>2151</v>
      </c>
      <c r="B252" s="34" t="s">
        <v>543</v>
      </c>
      <c r="C252" s="34" t="s">
        <v>532</v>
      </c>
      <c r="D252" s="34"/>
      <c r="E252" s="25" t="n">
        <v>45113</v>
      </c>
      <c r="F252" s="25" t="n">
        <v>45302</v>
      </c>
      <c r="G252" s="72" t="n">
        <v>135</v>
      </c>
      <c r="H252" s="320" t="n">
        <v>138.181818181818</v>
      </c>
      <c r="I252" s="320" t="n">
        <v>-3.18181818181819</v>
      </c>
      <c r="J252" s="52" t="s">
        <v>943</v>
      </c>
      <c r="K252" s="31" t="n">
        <v>15000</v>
      </c>
      <c r="L252" s="31" t="n">
        <v>39600</v>
      </c>
      <c r="M252" s="29" t="n">
        <v>1650</v>
      </c>
      <c r="N252" s="30" t="n">
        <v>6600</v>
      </c>
      <c r="O252" s="30" t="n">
        <v>45600</v>
      </c>
      <c r="P252" s="36" t="n">
        <v>-6000</v>
      </c>
      <c r="Q252" s="302" t="n">
        <v>45383</v>
      </c>
    </row>
    <row r="253" customFormat="false" ht="17.9" hidden="true" customHeight="false" outlineLevel="0" collapsed="false">
      <c r="A253" s="20" t="n">
        <v>2409</v>
      </c>
      <c r="B253" s="34" t="s">
        <v>599</v>
      </c>
      <c r="C253" s="34"/>
      <c r="D253" s="34"/>
      <c r="E253" s="25" t="n">
        <v>45300</v>
      </c>
      <c r="F253" s="25" t="n">
        <v>45440</v>
      </c>
      <c r="G253" s="72" t="n">
        <v>100</v>
      </c>
      <c r="H253" s="320" t="n">
        <v>72</v>
      </c>
      <c r="I253" s="320" t="n">
        <v>28</v>
      </c>
      <c r="J253" s="34" t="s">
        <v>774</v>
      </c>
      <c r="K253" s="31" t="n">
        <v>25000</v>
      </c>
      <c r="L253" s="31" t="n">
        <v>54000</v>
      </c>
      <c r="M253" s="29" t="n">
        <v>3750</v>
      </c>
      <c r="N253" s="30" t="n">
        <v>1500</v>
      </c>
      <c r="O253" s="30" t="n">
        <v>54000</v>
      </c>
      <c r="P253" s="36" t="n">
        <v>0</v>
      </c>
      <c r="Q253" s="302" t="n">
        <v>45383</v>
      </c>
    </row>
    <row r="254" customFormat="false" ht="50.7" hidden="true" customHeight="false" outlineLevel="0" collapsed="false">
      <c r="A254" s="20" t="n">
        <v>2383</v>
      </c>
      <c r="B254" s="324" t="s">
        <v>218</v>
      </c>
      <c r="C254" s="34" t="s">
        <v>219</v>
      </c>
      <c r="D254" s="34"/>
      <c r="E254" s="25" t="n">
        <v>45280</v>
      </c>
      <c r="F254" s="25" t="n">
        <v>45380</v>
      </c>
      <c r="G254" s="72" t="n">
        <v>72</v>
      </c>
      <c r="H254" s="316" t="n">
        <v>80</v>
      </c>
      <c r="I254" s="316" t="n">
        <v>-8</v>
      </c>
      <c r="J254" s="52" t="s">
        <v>944</v>
      </c>
      <c r="K254" s="31" t="n">
        <v>50000</v>
      </c>
      <c r="L254" s="31" t="n">
        <v>108000</v>
      </c>
      <c r="M254" s="37" t="n">
        <v>6750</v>
      </c>
      <c r="N254" s="30" t="n">
        <v>27000</v>
      </c>
      <c r="O254" s="30" t="n">
        <v>108000</v>
      </c>
      <c r="P254" s="31" t="n">
        <v>0</v>
      </c>
      <c r="Q254" s="302" t="n">
        <v>45390</v>
      </c>
    </row>
    <row r="255" customFormat="false" ht="42" hidden="true" customHeight="false" outlineLevel="0" collapsed="false">
      <c r="A255" s="20" t="n">
        <v>2396</v>
      </c>
      <c r="B255" s="324" t="s">
        <v>227</v>
      </c>
      <c r="C255" s="34" t="s">
        <v>228</v>
      </c>
      <c r="D255" s="34"/>
      <c r="E255" s="25" t="n">
        <v>45290</v>
      </c>
      <c r="F255" s="25" t="n">
        <v>45292</v>
      </c>
      <c r="G255" s="72" t="n">
        <v>72</v>
      </c>
      <c r="H255" s="316" t="n">
        <v>75</v>
      </c>
      <c r="I255" s="316" t="n">
        <v>-3</v>
      </c>
      <c r="J255" s="34" t="s">
        <v>749</v>
      </c>
      <c r="K255" s="31" t="n">
        <v>20000</v>
      </c>
      <c r="L255" s="31" t="n">
        <v>43200</v>
      </c>
      <c r="M255" s="37" t="n">
        <v>3000</v>
      </c>
      <c r="N255" s="30" t="n">
        <v>3000</v>
      </c>
      <c r="O255" s="30" t="n">
        <v>45000</v>
      </c>
      <c r="P255" s="36" t="n">
        <v>-1800</v>
      </c>
      <c r="Q255" s="302" t="n">
        <v>45390</v>
      </c>
    </row>
    <row r="256" customFormat="false" ht="17.9" hidden="true" customHeight="false" outlineLevel="0" collapsed="false">
      <c r="A256" s="20" t="n">
        <v>2258</v>
      </c>
      <c r="B256" s="324" t="s">
        <v>276</v>
      </c>
      <c r="C256" s="34" t="s">
        <v>277</v>
      </c>
      <c r="D256" s="34"/>
      <c r="E256" s="25" t="n">
        <v>45188</v>
      </c>
      <c r="F256" s="25" t="n">
        <v>45370</v>
      </c>
      <c r="G256" s="72" t="n">
        <v>130</v>
      </c>
      <c r="H256" s="316" t="n">
        <v>130</v>
      </c>
      <c r="I256" s="316" t="n">
        <v>0</v>
      </c>
      <c r="J256" s="68" t="s">
        <v>945</v>
      </c>
      <c r="K256" s="31" t="n">
        <v>100000</v>
      </c>
      <c r="L256" s="31" t="n">
        <v>240110</v>
      </c>
      <c r="M256" s="37" t="n">
        <v>9235</v>
      </c>
      <c r="N256" s="30" t="n">
        <v>18470</v>
      </c>
      <c r="O256" s="30" t="n">
        <v>240110</v>
      </c>
      <c r="P256" s="36" t="n">
        <v>0</v>
      </c>
      <c r="Q256" s="302" t="n">
        <v>45390</v>
      </c>
    </row>
    <row r="257" customFormat="false" ht="83.55" hidden="true" customHeight="false" outlineLevel="0" collapsed="false">
      <c r="A257" s="20" t="n">
        <v>2426</v>
      </c>
      <c r="B257" s="324" t="s">
        <v>872</v>
      </c>
      <c r="C257" s="34" t="s">
        <v>305</v>
      </c>
      <c r="D257" s="34"/>
      <c r="E257" s="25" t="n">
        <v>45308</v>
      </c>
      <c r="F257" s="25" t="n">
        <v>45408</v>
      </c>
      <c r="G257" s="72" t="n">
        <v>72</v>
      </c>
      <c r="H257" s="316" t="n">
        <v>72</v>
      </c>
      <c r="I257" s="316" t="n">
        <v>0</v>
      </c>
      <c r="J257" s="34" t="s">
        <v>412</v>
      </c>
      <c r="K257" s="36" t="n">
        <v>500000</v>
      </c>
      <c r="L257" s="36" t="n">
        <v>1080000</v>
      </c>
      <c r="M257" s="29" t="n">
        <v>75000</v>
      </c>
      <c r="N257" s="30" t="n">
        <v>255000</v>
      </c>
      <c r="O257" s="30" t="n">
        <v>1080000</v>
      </c>
      <c r="P257" s="36" t="n">
        <v>0</v>
      </c>
      <c r="Q257" s="302" t="n">
        <v>45390</v>
      </c>
    </row>
    <row r="258" customFormat="false" ht="14.25" hidden="true" customHeight="false" outlineLevel="0" collapsed="false">
      <c r="A258" s="20" t="n">
        <v>2551</v>
      </c>
      <c r="B258" s="324" t="s">
        <v>429</v>
      </c>
      <c r="C258" s="34"/>
      <c r="D258" s="34"/>
      <c r="E258" s="25" t="n">
        <v>45384</v>
      </c>
      <c r="F258" s="25" t="n">
        <v>45394</v>
      </c>
      <c r="G258" s="26" t="n">
        <v>8</v>
      </c>
      <c r="H258" s="316" t="e">
        <f aca="false">#DIV/0!</f>
        <v>#DIV/0!</v>
      </c>
      <c r="I258" s="316" t="e">
        <f aca="false">#DIV/0!</f>
        <v>#DIV/0!</v>
      </c>
      <c r="J258" s="52" t="s">
        <v>751</v>
      </c>
      <c r="K258" s="325" t="n">
        <v>40000</v>
      </c>
      <c r="L258" s="31" t="n">
        <v>52000</v>
      </c>
      <c r="M258" s="29"/>
      <c r="N258" s="30" t="n">
        <v>22000</v>
      </c>
      <c r="O258" s="30" t="n">
        <v>52000</v>
      </c>
      <c r="P258" s="36" t="n">
        <v>0</v>
      </c>
      <c r="Q258" s="302" t="n">
        <v>45390</v>
      </c>
    </row>
    <row r="259" customFormat="false" ht="14.25" hidden="true" customHeight="false" outlineLevel="0" collapsed="false">
      <c r="A259" s="20" t="n">
        <v>2558</v>
      </c>
      <c r="B259" s="324" t="s">
        <v>429</v>
      </c>
      <c r="C259" s="34"/>
      <c r="D259" s="34"/>
      <c r="E259" s="25" t="n">
        <v>45387</v>
      </c>
      <c r="F259" s="25" t="n">
        <v>45394</v>
      </c>
      <c r="G259" s="26" t="n">
        <v>5</v>
      </c>
      <c r="H259" s="316" t="e">
        <f aca="false">#DIV/0!</f>
        <v>#DIV/0!</v>
      </c>
      <c r="I259" s="316" t="e">
        <f aca="false">#DIV/0!</f>
        <v>#DIV/0!</v>
      </c>
      <c r="J259" s="52" t="s">
        <v>751</v>
      </c>
      <c r="K259" s="31" t="n">
        <v>20000</v>
      </c>
      <c r="L259" s="31" t="n">
        <v>26000</v>
      </c>
      <c r="M259" s="37"/>
      <c r="N259" s="30" t="n">
        <v>26000</v>
      </c>
      <c r="O259" s="30" t="n">
        <v>26000</v>
      </c>
      <c r="P259" s="36" t="n">
        <v>0</v>
      </c>
      <c r="Q259" s="302" t="n">
        <v>45390</v>
      </c>
    </row>
    <row r="260" customFormat="false" ht="26.1" hidden="true" customHeight="false" outlineLevel="0" collapsed="false">
      <c r="A260" s="20" t="n">
        <v>2343</v>
      </c>
      <c r="B260" s="324" t="s">
        <v>438</v>
      </c>
      <c r="C260" s="34" t="s">
        <v>439</v>
      </c>
      <c r="D260" s="34"/>
      <c r="E260" s="25" t="n">
        <v>45253</v>
      </c>
      <c r="F260" s="25" t="n">
        <v>45355</v>
      </c>
      <c r="G260" s="72" t="n">
        <v>72</v>
      </c>
      <c r="H260" s="316" t="n">
        <v>72</v>
      </c>
      <c r="I260" s="316" t="n">
        <v>0</v>
      </c>
      <c r="J260" s="34" t="s">
        <v>627</v>
      </c>
      <c r="K260" s="31" t="n">
        <v>40000</v>
      </c>
      <c r="L260" s="36" t="n">
        <v>86400</v>
      </c>
      <c r="M260" s="29" t="n">
        <v>6000</v>
      </c>
      <c r="N260" s="30" t="n">
        <v>6400</v>
      </c>
      <c r="O260" s="30" t="n">
        <v>86400</v>
      </c>
      <c r="P260" s="36" t="n">
        <v>0</v>
      </c>
      <c r="Q260" s="302" t="n">
        <v>45390</v>
      </c>
    </row>
    <row r="261" customFormat="false" ht="34.3" hidden="true" customHeight="false" outlineLevel="0" collapsed="false">
      <c r="A261" s="20" t="n">
        <v>2329</v>
      </c>
      <c r="B261" s="324" t="s">
        <v>805</v>
      </c>
      <c r="C261" s="34" t="s">
        <v>451</v>
      </c>
      <c r="D261" s="34"/>
      <c r="E261" s="25" t="n">
        <v>45238</v>
      </c>
      <c r="F261" s="25" t="n">
        <v>45338</v>
      </c>
      <c r="G261" s="72" t="n">
        <v>72</v>
      </c>
      <c r="H261" s="316" t="n">
        <v>72</v>
      </c>
      <c r="I261" s="316" t="n">
        <v>0</v>
      </c>
      <c r="J261" s="34" t="s">
        <v>749</v>
      </c>
      <c r="K261" s="36" t="n">
        <v>20000</v>
      </c>
      <c r="L261" s="36" t="n">
        <v>43200</v>
      </c>
      <c r="M261" s="29" t="n">
        <v>3000</v>
      </c>
      <c r="N261" s="30" t="n">
        <v>5400</v>
      </c>
      <c r="O261" s="30" t="n">
        <v>43200</v>
      </c>
      <c r="P261" s="36" t="n">
        <v>0</v>
      </c>
      <c r="Q261" s="302" t="n">
        <v>45390</v>
      </c>
    </row>
    <row r="262" customFormat="false" ht="14.25" hidden="true" customHeight="false" outlineLevel="0" collapsed="false">
      <c r="A262" s="20" t="n">
        <v>2288</v>
      </c>
      <c r="B262" s="324" t="s">
        <v>946</v>
      </c>
      <c r="C262" s="34" t="s">
        <v>877</v>
      </c>
      <c r="D262" s="34"/>
      <c r="E262" s="25" t="n">
        <v>45209</v>
      </c>
      <c r="F262" s="25" t="n">
        <v>45309</v>
      </c>
      <c r="G262" s="72" t="n">
        <v>72</v>
      </c>
      <c r="H262" s="316" t="n">
        <v>72.2916666666667</v>
      </c>
      <c r="I262" s="316" t="n">
        <v>-0.291666666666671</v>
      </c>
      <c r="J262" s="34" t="s">
        <v>749</v>
      </c>
      <c r="K262" s="31" t="n">
        <v>20000</v>
      </c>
      <c r="L262" s="31" t="n">
        <v>43200</v>
      </c>
      <c r="M262" s="29" t="n">
        <v>3000</v>
      </c>
      <c r="N262" s="30" t="n">
        <v>8000</v>
      </c>
      <c r="O262" s="30" t="n">
        <v>43375</v>
      </c>
      <c r="P262" s="36" t="n">
        <v>-175</v>
      </c>
      <c r="Q262" s="302" t="n">
        <v>45390</v>
      </c>
    </row>
    <row r="263" customFormat="false" ht="26.1" hidden="true" customHeight="false" outlineLevel="0" collapsed="false">
      <c r="A263" s="20" t="n">
        <v>2298</v>
      </c>
      <c r="B263" s="324" t="s">
        <v>789</v>
      </c>
      <c r="C263" s="34" t="s">
        <v>495</v>
      </c>
      <c r="D263" s="34"/>
      <c r="E263" s="25" t="n">
        <v>45214</v>
      </c>
      <c r="F263" s="25" t="n">
        <v>45394</v>
      </c>
      <c r="G263" s="72" t="n">
        <v>130</v>
      </c>
      <c r="H263" s="316" t="n">
        <v>122.272727272727</v>
      </c>
      <c r="I263" s="316" t="n">
        <v>7.72727272727273</v>
      </c>
      <c r="J263" s="34" t="s">
        <v>856</v>
      </c>
      <c r="K263" s="36" t="n">
        <v>40000</v>
      </c>
      <c r="L263" s="36" t="n">
        <v>105600</v>
      </c>
      <c r="M263" s="29" t="n">
        <v>4400</v>
      </c>
      <c r="N263" s="30" t="n">
        <v>10500</v>
      </c>
      <c r="O263" s="30" t="n">
        <v>107600</v>
      </c>
      <c r="P263" s="36" t="n">
        <v>-2000</v>
      </c>
      <c r="Q263" s="302" t="n">
        <v>45390</v>
      </c>
    </row>
    <row r="264" customFormat="false" ht="17.9" hidden="true" customHeight="false" outlineLevel="0" collapsed="false">
      <c r="A264" s="20" t="n">
        <v>2261</v>
      </c>
      <c r="B264" s="324" t="s">
        <v>507</v>
      </c>
      <c r="C264" s="34" t="s">
        <v>241</v>
      </c>
      <c r="D264" s="34"/>
      <c r="E264" s="25" t="n">
        <v>45065</v>
      </c>
      <c r="F264" s="25" t="n">
        <v>45272</v>
      </c>
      <c r="G264" s="72" t="n">
        <v>147</v>
      </c>
      <c r="H264" s="316" t="n">
        <v>140</v>
      </c>
      <c r="I264" s="316" t="n">
        <v>7</v>
      </c>
      <c r="J264" s="52" t="s">
        <v>757</v>
      </c>
      <c r="K264" s="36" t="n">
        <v>70000</v>
      </c>
      <c r="L264" s="36" t="n">
        <v>184800</v>
      </c>
      <c r="M264" s="29" t="n">
        <v>6600</v>
      </c>
      <c r="N264" s="30" t="n">
        <v>26400</v>
      </c>
      <c r="O264" s="30" t="n">
        <v>184800</v>
      </c>
      <c r="P264" s="36" t="n">
        <v>0</v>
      </c>
      <c r="Q264" s="302" t="n">
        <v>45390</v>
      </c>
    </row>
    <row r="265" customFormat="false" ht="14.25" hidden="true" customHeight="false" outlineLevel="0" collapsed="false">
      <c r="A265" s="20" t="n">
        <v>2262</v>
      </c>
      <c r="B265" s="324" t="s">
        <v>779</v>
      </c>
      <c r="C265" s="34"/>
      <c r="D265" s="34"/>
      <c r="E265" s="25" t="n">
        <v>45194</v>
      </c>
      <c r="F265" s="25" t="n">
        <v>45390</v>
      </c>
      <c r="G265" s="72" t="n">
        <v>140</v>
      </c>
      <c r="H265" s="316" t="n">
        <v>120</v>
      </c>
      <c r="I265" s="316" t="n">
        <v>20</v>
      </c>
      <c r="J265" s="52" t="s">
        <v>780</v>
      </c>
      <c r="K265" s="31" t="n">
        <v>30000</v>
      </c>
      <c r="L265" s="31" t="n">
        <v>60000</v>
      </c>
      <c r="M265" s="29" t="n">
        <v>2500</v>
      </c>
      <c r="N265" s="30" t="n">
        <v>10000</v>
      </c>
      <c r="O265" s="30" t="n">
        <v>60000</v>
      </c>
      <c r="P265" s="36" t="n">
        <v>0</v>
      </c>
      <c r="Q265" s="302" t="n">
        <v>45390</v>
      </c>
    </row>
    <row r="266" customFormat="false" ht="14.25" hidden="true" customHeight="false" outlineLevel="0" collapsed="false">
      <c r="A266" s="20" t="n">
        <v>2316</v>
      </c>
      <c r="B266" s="324" t="s">
        <v>779</v>
      </c>
      <c r="C266" s="34"/>
      <c r="D266" s="34"/>
      <c r="E266" s="25" t="n">
        <v>45228</v>
      </c>
      <c r="F266" s="25" t="n">
        <v>45405</v>
      </c>
      <c r="G266" s="72" t="n">
        <v>127</v>
      </c>
      <c r="H266" s="316" t="n">
        <v>120</v>
      </c>
      <c r="I266" s="316" t="n">
        <v>7</v>
      </c>
      <c r="J266" s="52" t="s">
        <v>947</v>
      </c>
      <c r="K266" s="36" t="n">
        <v>25000</v>
      </c>
      <c r="L266" s="36" t="n">
        <v>50250</v>
      </c>
      <c r="M266" s="29" t="n">
        <v>2093.75</v>
      </c>
      <c r="N266" s="30" t="n">
        <v>8375</v>
      </c>
      <c r="O266" s="30" t="n">
        <v>50250</v>
      </c>
      <c r="P266" s="36" t="n">
        <v>0</v>
      </c>
      <c r="Q266" s="302" t="n">
        <v>45390</v>
      </c>
    </row>
    <row r="267" customFormat="false" ht="14.25" hidden="true" customHeight="false" outlineLevel="0" collapsed="false">
      <c r="A267" s="20" t="n">
        <v>2098</v>
      </c>
      <c r="B267" s="324" t="s">
        <v>510</v>
      </c>
      <c r="C267" s="34"/>
      <c r="D267" s="34"/>
      <c r="E267" s="25" t="n">
        <v>45066</v>
      </c>
      <c r="F267" s="25" t="n">
        <v>45392</v>
      </c>
      <c r="G267" s="72" t="n">
        <v>233</v>
      </c>
      <c r="H267" s="316" t="n">
        <v>200</v>
      </c>
      <c r="I267" s="316" t="n">
        <v>33</v>
      </c>
      <c r="J267" s="52" t="s">
        <v>948</v>
      </c>
      <c r="K267" s="31" t="n">
        <v>100000</v>
      </c>
      <c r="L267" s="31" t="n">
        <v>240000</v>
      </c>
      <c r="M267" s="37" t="n">
        <v>6000</v>
      </c>
      <c r="N267" s="30" t="n">
        <v>24000</v>
      </c>
      <c r="O267" s="30" t="n">
        <v>240000</v>
      </c>
      <c r="P267" s="36" t="n">
        <v>0</v>
      </c>
      <c r="Q267" s="302" t="n">
        <v>45390</v>
      </c>
    </row>
    <row r="268" customFormat="false" ht="26.1" hidden="true" customHeight="false" outlineLevel="0" collapsed="false">
      <c r="A268" s="20" t="n">
        <v>2313</v>
      </c>
      <c r="B268" s="324" t="s">
        <v>510</v>
      </c>
      <c r="C268" s="34" t="s">
        <v>830</v>
      </c>
      <c r="D268" s="34"/>
      <c r="E268" s="25" t="n">
        <v>45226</v>
      </c>
      <c r="F268" s="25" t="n">
        <v>45405</v>
      </c>
      <c r="G268" s="72" t="n">
        <v>127</v>
      </c>
      <c r="H268" s="316" t="n">
        <v>120</v>
      </c>
      <c r="I268" s="316" t="n">
        <v>7</v>
      </c>
      <c r="J268" s="52" t="s">
        <v>947</v>
      </c>
      <c r="K268" s="36" t="n">
        <v>25000</v>
      </c>
      <c r="L268" s="36" t="n">
        <v>50250</v>
      </c>
      <c r="M268" s="29" t="n">
        <v>2093.75</v>
      </c>
      <c r="N268" s="30" t="n">
        <v>8375</v>
      </c>
      <c r="O268" s="30" t="n">
        <v>50250</v>
      </c>
      <c r="P268" s="36" t="n">
        <v>0</v>
      </c>
      <c r="Q268" s="302" t="n">
        <v>45390</v>
      </c>
    </row>
    <row r="269" customFormat="false" ht="26.1" hidden="true" customHeight="false" outlineLevel="0" collapsed="false">
      <c r="A269" s="20" t="n">
        <v>2376</v>
      </c>
      <c r="B269" s="324" t="s">
        <v>519</v>
      </c>
      <c r="C269" s="34" t="s">
        <v>520</v>
      </c>
      <c r="D269" s="34"/>
      <c r="E269" s="25" t="n">
        <v>45276</v>
      </c>
      <c r="F269" s="25" t="n">
        <v>45377</v>
      </c>
      <c r="G269" s="72" t="n">
        <v>72</v>
      </c>
      <c r="H269" s="316" t="n">
        <v>72</v>
      </c>
      <c r="I269" s="316" t="n">
        <v>0</v>
      </c>
      <c r="J269" s="34" t="s">
        <v>381</v>
      </c>
      <c r="K269" s="31" t="n">
        <v>50000</v>
      </c>
      <c r="L269" s="31" t="n">
        <v>108000</v>
      </c>
      <c r="M269" s="37" t="n">
        <v>7500</v>
      </c>
      <c r="N269" s="30" t="n">
        <v>5700</v>
      </c>
      <c r="O269" s="30" t="n">
        <v>108000</v>
      </c>
      <c r="P269" s="36" t="n">
        <v>0</v>
      </c>
      <c r="Q269" s="302" t="n">
        <v>45390</v>
      </c>
    </row>
    <row r="270" customFormat="false" ht="34.3" hidden="true" customHeight="false" outlineLevel="0" collapsed="false">
      <c r="A270" s="20" t="n">
        <v>2268</v>
      </c>
      <c r="B270" s="324" t="s">
        <v>543</v>
      </c>
      <c r="C270" s="34" t="s">
        <v>532</v>
      </c>
      <c r="D270" s="34"/>
      <c r="E270" s="25" t="n">
        <v>45195</v>
      </c>
      <c r="F270" s="25" t="n">
        <v>45300</v>
      </c>
      <c r="G270" s="72" t="n">
        <v>75</v>
      </c>
      <c r="H270" s="316" t="n">
        <v>80</v>
      </c>
      <c r="I270" s="316" t="n">
        <v>-5</v>
      </c>
      <c r="J270" s="52" t="s">
        <v>949</v>
      </c>
      <c r="K270" s="31" t="n">
        <v>5000</v>
      </c>
      <c r="L270" s="31" t="n">
        <v>10800</v>
      </c>
      <c r="M270" s="37" t="n">
        <v>675</v>
      </c>
      <c r="N270" s="30" t="n">
        <v>4300</v>
      </c>
      <c r="O270" s="30" t="n">
        <v>10800</v>
      </c>
      <c r="P270" s="36" t="n">
        <v>0</v>
      </c>
      <c r="Q270" s="302" t="n">
        <v>45390</v>
      </c>
    </row>
    <row r="271" customFormat="false" ht="26.1" hidden="true" customHeight="false" outlineLevel="0" collapsed="false">
      <c r="A271" s="20" t="n">
        <v>2277</v>
      </c>
      <c r="B271" s="324" t="s">
        <v>950</v>
      </c>
      <c r="C271" s="34" t="s">
        <v>951</v>
      </c>
      <c r="D271" s="34" t="s">
        <v>952</v>
      </c>
      <c r="E271" s="25" t="n">
        <v>45202</v>
      </c>
      <c r="F271" s="25" t="n">
        <v>45370</v>
      </c>
      <c r="G271" s="72" t="n">
        <v>120</v>
      </c>
      <c r="H271" s="316" t="n">
        <v>120</v>
      </c>
      <c r="I271" s="316" t="n">
        <v>0</v>
      </c>
      <c r="J271" s="52" t="s">
        <v>953</v>
      </c>
      <c r="K271" s="36" t="n">
        <v>50000</v>
      </c>
      <c r="L271" s="36" t="n">
        <v>132000</v>
      </c>
      <c r="M271" s="29" t="n">
        <v>5500</v>
      </c>
      <c r="N271" s="30" t="n">
        <v>22000</v>
      </c>
      <c r="O271" s="30" t="n">
        <v>132000</v>
      </c>
      <c r="P271" s="36" t="n">
        <v>0</v>
      </c>
      <c r="Q271" s="302" t="n">
        <v>45390</v>
      </c>
    </row>
    <row r="272" customFormat="false" ht="26.1" hidden="true" customHeight="false" outlineLevel="0" collapsed="false">
      <c r="A272" s="20" t="n">
        <v>2394</v>
      </c>
      <c r="B272" s="324" t="s">
        <v>950</v>
      </c>
      <c r="C272" s="34" t="s">
        <v>951</v>
      </c>
      <c r="D272" s="34" t="s">
        <v>952</v>
      </c>
      <c r="E272" s="25" t="n">
        <v>45289</v>
      </c>
      <c r="F272" s="25" t="n">
        <v>45401</v>
      </c>
      <c r="G272" s="72" t="n">
        <v>80</v>
      </c>
      <c r="H272" s="316" t="n">
        <v>80</v>
      </c>
      <c r="I272" s="316" t="n">
        <v>0</v>
      </c>
      <c r="J272" s="52" t="s">
        <v>954</v>
      </c>
      <c r="K272" s="31" t="n">
        <v>20000</v>
      </c>
      <c r="L272" s="31" t="n">
        <v>43200</v>
      </c>
      <c r="M272" s="37" t="n">
        <v>2700</v>
      </c>
      <c r="N272" s="30" t="n">
        <v>10800</v>
      </c>
      <c r="O272" s="30" t="n">
        <v>43200</v>
      </c>
      <c r="P272" s="36" t="n">
        <v>0</v>
      </c>
      <c r="Q272" s="302" t="n">
        <v>45390</v>
      </c>
    </row>
    <row r="273" customFormat="false" ht="34.3" hidden="true" customHeight="false" outlineLevel="0" collapsed="false">
      <c r="A273" s="20" t="n">
        <v>2466</v>
      </c>
      <c r="B273" s="324" t="s">
        <v>811</v>
      </c>
      <c r="C273" s="34" t="s">
        <v>486</v>
      </c>
      <c r="D273" s="34"/>
      <c r="E273" s="25" t="n">
        <v>45331</v>
      </c>
      <c r="F273" s="25" t="n">
        <v>45373</v>
      </c>
      <c r="G273" s="72" t="n">
        <v>30</v>
      </c>
      <c r="H273" s="52" t="s">
        <v>894</v>
      </c>
      <c r="I273" s="31" t="n">
        <v>20000</v>
      </c>
      <c r="J273" s="31" t="n">
        <v>34000</v>
      </c>
      <c r="K273" s="37"/>
      <c r="L273" s="30" t="n">
        <v>20000</v>
      </c>
      <c r="M273" s="30" t="n">
        <v>34000</v>
      </c>
      <c r="N273" s="36" t="n">
        <v>0</v>
      </c>
      <c r="O273" s="326" t="e">
        <f aca="false">#DIV/0!</f>
        <v>#DIV/0!</v>
      </c>
      <c r="P273" s="326" t="e">
        <f aca="false">#DIV/0!</f>
        <v>#DIV/0!</v>
      </c>
      <c r="Q273" s="302" t="n">
        <v>45397</v>
      </c>
    </row>
    <row r="274" customFormat="false" ht="50.7" hidden="true" customHeight="false" outlineLevel="0" collapsed="false">
      <c r="A274" s="20" t="n">
        <v>2411</v>
      </c>
      <c r="B274" s="324" t="s">
        <v>264</v>
      </c>
      <c r="C274" s="34" t="s">
        <v>955</v>
      </c>
      <c r="D274" s="34"/>
      <c r="E274" s="25" t="n">
        <v>45301</v>
      </c>
      <c r="F274" s="25" t="n">
        <v>45401</v>
      </c>
      <c r="G274" s="72" t="n">
        <v>72</v>
      </c>
      <c r="H274" s="34" t="s">
        <v>381</v>
      </c>
      <c r="I274" s="31" t="n">
        <v>50000</v>
      </c>
      <c r="J274" s="31" t="n">
        <v>108000</v>
      </c>
      <c r="K274" s="37" t="n">
        <v>7500</v>
      </c>
      <c r="L274" s="30" t="n">
        <v>10500</v>
      </c>
      <c r="M274" s="30" t="n">
        <v>108000</v>
      </c>
      <c r="N274" s="36" t="n">
        <v>0</v>
      </c>
      <c r="O274" s="326" t="n">
        <v>14.4</v>
      </c>
      <c r="P274" s="326" t="n">
        <v>0</v>
      </c>
      <c r="Q274" s="302" t="n">
        <v>45397</v>
      </c>
    </row>
    <row r="275" customFormat="false" ht="26.1" hidden="true" customHeight="false" outlineLevel="0" collapsed="false">
      <c r="A275" s="20" t="n">
        <v>2533</v>
      </c>
      <c r="B275" s="324" t="s">
        <v>356</v>
      </c>
      <c r="C275" s="34" t="s">
        <v>357</v>
      </c>
      <c r="D275" s="34" t="s">
        <v>358</v>
      </c>
      <c r="E275" s="25" t="n">
        <v>45371</v>
      </c>
      <c r="F275" s="25" t="n">
        <v>45392</v>
      </c>
      <c r="G275" s="72" t="n">
        <v>15</v>
      </c>
      <c r="H275" s="52" t="s">
        <v>751</v>
      </c>
      <c r="I275" s="36" t="n">
        <v>15000</v>
      </c>
      <c r="J275" s="36" t="n">
        <v>23000</v>
      </c>
      <c r="K275" s="29" t="s">
        <v>214</v>
      </c>
      <c r="L275" s="30" t="n">
        <v>23000</v>
      </c>
      <c r="M275" s="30" t="n">
        <v>23000</v>
      </c>
      <c r="N275" s="36" t="n">
        <v>0</v>
      </c>
      <c r="O275" s="326" t="e">
        <f aca="false">#VALUE!</f>
        <v>#VALUE!</v>
      </c>
      <c r="P275" s="326" t="e">
        <f aca="false">#VALUE!</f>
        <v>#VALUE!</v>
      </c>
      <c r="Q275" s="302" t="n">
        <v>45397</v>
      </c>
    </row>
    <row r="276" customFormat="false" ht="26.1" hidden="true" customHeight="false" outlineLevel="0" collapsed="false">
      <c r="A276" s="20" t="n">
        <v>2309</v>
      </c>
      <c r="B276" s="324" t="s">
        <v>829</v>
      </c>
      <c r="C276" s="34" t="s">
        <v>830</v>
      </c>
      <c r="D276" s="34"/>
      <c r="E276" s="25" t="n">
        <v>45223</v>
      </c>
      <c r="F276" s="25" t="n">
        <v>45400</v>
      </c>
      <c r="G276" s="72" t="n">
        <v>127</v>
      </c>
      <c r="H276" s="52" t="s">
        <v>947</v>
      </c>
      <c r="I276" s="31" t="n">
        <v>25000</v>
      </c>
      <c r="J276" s="31" t="n">
        <v>50250</v>
      </c>
      <c r="K276" s="37" t="n">
        <v>2093.75</v>
      </c>
      <c r="L276" s="30" t="n">
        <v>8375</v>
      </c>
      <c r="M276" s="30" t="n">
        <v>50250</v>
      </c>
      <c r="N276" s="36" t="n">
        <v>0</v>
      </c>
      <c r="O276" s="326" t="n">
        <v>24</v>
      </c>
      <c r="P276" s="326" t="n">
        <v>1.4</v>
      </c>
      <c r="Q276" s="302" t="n">
        <v>45397</v>
      </c>
    </row>
    <row r="277" customFormat="false" ht="14.25" hidden="true" customHeight="false" outlineLevel="0" collapsed="false">
      <c r="A277" s="20" t="n">
        <v>2572</v>
      </c>
      <c r="B277" s="324" t="s">
        <v>429</v>
      </c>
      <c r="C277" s="34"/>
      <c r="D277" s="34"/>
      <c r="E277" s="25" t="n">
        <v>45384</v>
      </c>
      <c r="F277" s="25" t="n">
        <v>45394</v>
      </c>
      <c r="G277" s="26" t="n">
        <v>8</v>
      </c>
      <c r="H277" s="52" t="s">
        <v>751</v>
      </c>
      <c r="I277" s="46" t="n">
        <v>30000</v>
      </c>
      <c r="J277" s="36" t="n">
        <v>39000</v>
      </c>
      <c r="K277" s="29"/>
      <c r="L277" s="30" t="n">
        <v>39000</v>
      </c>
      <c r="M277" s="30" t="n">
        <v>39000</v>
      </c>
      <c r="N277" s="36" t="n">
        <v>0</v>
      </c>
      <c r="O277" s="326" t="e">
        <f aca="false">#DIV/0!</f>
        <v>#DIV/0!</v>
      </c>
      <c r="P277" s="326" t="e">
        <f aca="false">#DIV/0!</f>
        <v>#DIV/0!</v>
      </c>
      <c r="Q277" s="302" t="n">
        <v>45397</v>
      </c>
    </row>
    <row r="278" customFormat="false" ht="26.1" hidden="true" customHeight="false" outlineLevel="0" collapsed="false">
      <c r="A278" s="20" t="n">
        <v>2405</v>
      </c>
      <c r="B278" s="324" t="s">
        <v>519</v>
      </c>
      <c r="C278" s="34" t="s">
        <v>520</v>
      </c>
      <c r="D278" s="34"/>
      <c r="E278" s="25" t="n">
        <v>45299</v>
      </c>
      <c r="F278" s="25" t="n">
        <v>45399</v>
      </c>
      <c r="G278" s="72" t="n">
        <v>72</v>
      </c>
      <c r="H278" s="34" t="s">
        <v>452</v>
      </c>
      <c r="I278" s="31" t="n">
        <v>30000</v>
      </c>
      <c r="J278" s="31" t="n">
        <v>64800</v>
      </c>
      <c r="K278" s="37" t="n">
        <v>4500</v>
      </c>
      <c r="L278" s="30" t="n">
        <v>15000</v>
      </c>
      <c r="M278" s="30" t="n">
        <v>64800</v>
      </c>
      <c r="N278" s="36" t="n">
        <v>0</v>
      </c>
      <c r="O278" s="326" t="n">
        <v>14.4</v>
      </c>
      <c r="P278" s="326" t="n">
        <v>0</v>
      </c>
      <c r="Q278" s="302" t="n">
        <v>45397</v>
      </c>
    </row>
    <row r="279" customFormat="false" ht="26.1" hidden="true" customHeight="false" outlineLevel="0" collapsed="false">
      <c r="A279" s="20" t="n">
        <v>2424</v>
      </c>
      <c r="B279" s="324" t="s">
        <v>519</v>
      </c>
      <c r="C279" s="34" t="s">
        <v>520</v>
      </c>
      <c r="D279" s="34"/>
      <c r="E279" s="25" t="n">
        <v>45306</v>
      </c>
      <c r="F279" s="25" t="n">
        <v>45406</v>
      </c>
      <c r="G279" s="72" t="n">
        <v>72</v>
      </c>
      <c r="H279" s="34" t="s">
        <v>381</v>
      </c>
      <c r="I279" s="36" t="n">
        <v>50000</v>
      </c>
      <c r="J279" s="36" t="n">
        <v>108000</v>
      </c>
      <c r="K279" s="29" t="n">
        <v>7500</v>
      </c>
      <c r="L279" s="30" t="n">
        <v>18000</v>
      </c>
      <c r="M279" s="30" t="n">
        <v>108000</v>
      </c>
      <c r="N279" s="36" t="n">
        <v>0</v>
      </c>
      <c r="O279" s="326" t="n">
        <v>14.4</v>
      </c>
      <c r="P279" s="326" t="n">
        <v>0</v>
      </c>
      <c r="Q279" s="302" t="n">
        <v>45397</v>
      </c>
    </row>
    <row r="280" customFormat="false" ht="17.9" hidden="true" customHeight="false" outlineLevel="0" collapsed="false">
      <c r="A280" s="20" t="n">
        <v>2437</v>
      </c>
      <c r="B280" s="324" t="s">
        <v>885</v>
      </c>
      <c r="C280" s="34" t="s">
        <v>886</v>
      </c>
      <c r="D280" s="34" t="s">
        <v>526</v>
      </c>
      <c r="E280" s="25" t="n">
        <v>45314</v>
      </c>
      <c r="F280" s="24" t="n">
        <v>45414</v>
      </c>
      <c r="G280" s="72" t="n">
        <v>72</v>
      </c>
      <c r="H280" s="34" t="s">
        <v>792</v>
      </c>
      <c r="I280" s="31" t="n">
        <v>60000</v>
      </c>
      <c r="J280" s="31" t="n">
        <v>129600</v>
      </c>
      <c r="K280" s="29" t="n">
        <v>9000</v>
      </c>
      <c r="L280" s="30" t="n">
        <v>34100</v>
      </c>
      <c r="M280" s="30" t="n">
        <v>129600</v>
      </c>
      <c r="N280" s="36" t="n">
        <v>0</v>
      </c>
      <c r="O280" s="326" t="n">
        <v>14.4</v>
      </c>
      <c r="P280" s="326" t="n">
        <v>0</v>
      </c>
      <c r="Q280" s="302" t="n">
        <v>45397</v>
      </c>
    </row>
    <row r="281" customFormat="false" ht="34.3" hidden="true" customHeight="false" outlineLevel="0" collapsed="false">
      <c r="A281" s="20" t="n">
        <v>2464</v>
      </c>
      <c r="B281" s="324" t="s">
        <v>956</v>
      </c>
      <c r="C281" s="34" t="s">
        <v>308</v>
      </c>
      <c r="D281" s="34"/>
      <c r="E281" s="25" t="n">
        <v>45329</v>
      </c>
      <c r="F281" s="25" t="n">
        <v>45408</v>
      </c>
      <c r="G281" s="72" t="n">
        <v>57</v>
      </c>
      <c r="H281" s="316" t="n">
        <v>62.6865671641791</v>
      </c>
      <c r="I281" s="316" t="n">
        <v>-5.6865671641791</v>
      </c>
      <c r="J281" s="52" t="s">
        <v>957</v>
      </c>
      <c r="K281" s="31" t="n">
        <v>50000</v>
      </c>
      <c r="L281" s="31" t="n">
        <v>105000</v>
      </c>
      <c r="M281" s="29" t="n">
        <v>8375</v>
      </c>
      <c r="N281" s="30" t="n">
        <v>34000</v>
      </c>
      <c r="O281" s="30" t="n">
        <v>105000</v>
      </c>
      <c r="P281" s="36" t="n">
        <v>0</v>
      </c>
      <c r="Q281" s="302" t="n">
        <v>45404</v>
      </c>
    </row>
    <row r="282" customFormat="false" ht="14.25" hidden="true" customHeight="false" outlineLevel="0" collapsed="false">
      <c r="A282" s="20" t="n">
        <v>2583</v>
      </c>
      <c r="B282" s="324" t="s">
        <v>429</v>
      </c>
      <c r="C282" s="34"/>
      <c r="D282" s="34"/>
      <c r="E282" s="25" t="n">
        <v>45400</v>
      </c>
      <c r="F282" s="25" t="n">
        <v>45407</v>
      </c>
      <c r="G282" s="26" t="n">
        <v>5</v>
      </c>
      <c r="H282" s="316" t="e">
        <f aca="false">#DIV/0!</f>
        <v>#DIV/0!</v>
      </c>
      <c r="I282" s="316" t="e">
        <f aca="false">#DIV/0!</f>
        <v>#DIV/0!</v>
      </c>
      <c r="J282" s="52" t="s">
        <v>751</v>
      </c>
      <c r="K282" s="45" t="n">
        <v>20000</v>
      </c>
      <c r="L282" s="31" t="n">
        <v>26000</v>
      </c>
      <c r="M282" s="37"/>
      <c r="N282" s="30" t="n">
        <v>26000</v>
      </c>
      <c r="O282" s="30" t="n">
        <v>26000</v>
      </c>
      <c r="P282" s="36" t="n">
        <v>0</v>
      </c>
      <c r="Q282" s="302" t="n">
        <v>45404</v>
      </c>
    </row>
    <row r="283" customFormat="false" ht="34.3" hidden="true" customHeight="false" outlineLevel="0" collapsed="false">
      <c r="A283" s="20" t="n">
        <v>2370</v>
      </c>
      <c r="B283" s="324" t="s">
        <v>450</v>
      </c>
      <c r="C283" s="34" t="s">
        <v>451</v>
      </c>
      <c r="D283" s="34"/>
      <c r="E283" s="25" t="n">
        <v>45273</v>
      </c>
      <c r="F283" s="25" t="n">
        <v>45373</v>
      </c>
      <c r="G283" s="72" t="n">
        <v>72</v>
      </c>
      <c r="H283" s="316" t="n">
        <v>72</v>
      </c>
      <c r="I283" s="316" t="n">
        <v>0</v>
      </c>
      <c r="J283" s="34" t="s">
        <v>769</v>
      </c>
      <c r="K283" s="31" t="n">
        <v>10000</v>
      </c>
      <c r="L283" s="31" t="n">
        <v>21600</v>
      </c>
      <c r="M283" s="29" t="n">
        <v>1500</v>
      </c>
      <c r="N283" s="30" t="n">
        <v>3600</v>
      </c>
      <c r="O283" s="30" t="n">
        <v>21600</v>
      </c>
      <c r="P283" s="36" t="n">
        <v>0</v>
      </c>
      <c r="Q283" s="302" t="n">
        <v>45404</v>
      </c>
    </row>
    <row r="284" customFormat="false" ht="34.3" hidden="true" customHeight="false" outlineLevel="0" collapsed="false">
      <c r="A284" s="20" t="n">
        <v>2586</v>
      </c>
      <c r="B284" s="324" t="s">
        <v>450</v>
      </c>
      <c r="C284" s="34" t="s">
        <v>451</v>
      </c>
      <c r="D284" s="34"/>
      <c r="E284" s="25" t="n">
        <v>45402</v>
      </c>
      <c r="F284" s="25" t="n">
        <v>45503</v>
      </c>
      <c r="G284" s="72" t="n">
        <v>72</v>
      </c>
      <c r="H284" s="316" t="e">
        <f aca="false">#VALUE!</f>
        <v>#VALUE!</v>
      </c>
      <c r="I284" s="316" t="e">
        <f aca="false">#VALUE!</f>
        <v>#VALUE!</v>
      </c>
      <c r="J284" s="34" t="s">
        <v>769</v>
      </c>
      <c r="K284" s="36" t="n">
        <v>10000</v>
      </c>
      <c r="L284" s="36" t="n">
        <v>11500</v>
      </c>
      <c r="M284" s="29" t="s">
        <v>214</v>
      </c>
      <c r="N284" s="30" t="n">
        <v>11500</v>
      </c>
      <c r="O284" s="30" t="n">
        <v>11500</v>
      </c>
      <c r="P284" s="36" t="n">
        <v>0</v>
      </c>
      <c r="Q284" s="302" t="n">
        <v>45404</v>
      </c>
    </row>
    <row r="285" customFormat="false" ht="34.3" hidden="true" customHeight="false" outlineLevel="0" collapsed="false">
      <c r="A285" s="20" t="n">
        <v>2264</v>
      </c>
      <c r="B285" s="324" t="s">
        <v>833</v>
      </c>
      <c r="C285" s="34" t="s">
        <v>834</v>
      </c>
      <c r="D285" s="34"/>
      <c r="E285" s="25" t="n">
        <v>45194</v>
      </c>
      <c r="F285" s="25" t="n">
        <v>45446</v>
      </c>
      <c r="G285" s="72" t="n">
        <v>180</v>
      </c>
      <c r="H285" s="316" t="n">
        <v>160</v>
      </c>
      <c r="I285" s="316" t="n">
        <v>20</v>
      </c>
      <c r="J285" s="52" t="s">
        <v>900</v>
      </c>
      <c r="K285" s="36" t="n">
        <v>40000</v>
      </c>
      <c r="L285" s="36" t="n">
        <v>120000</v>
      </c>
      <c r="M285" s="29" t="n">
        <v>3750</v>
      </c>
      <c r="N285" s="30" t="n">
        <v>1450</v>
      </c>
      <c r="O285" s="30" t="n">
        <v>120000</v>
      </c>
      <c r="P285" s="36" t="n">
        <v>0</v>
      </c>
      <c r="Q285" s="302" t="n">
        <v>45404</v>
      </c>
    </row>
    <row r="286" customFormat="false" ht="14.25" hidden="true" customHeight="false" outlineLevel="0" collapsed="false">
      <c r="A286" s="20" t="n">
        <v>2452</v>
      </c>
      <c r="B286" s="324" t="s">
        <v>480</v>
      </c>
      <c r="C286" s="34" t="s">
        <v>958</v>
      </c>
      <c r="D286" s="34"/>
      <c r="E286" s="25" t="n">
        <v>45322</v>
      </c>
      <c r="F286" s="25" t="n">
        <v>45422</v>
      </c>
      <c r="G286" s="72" t="n">
        <v>72</v>
      </c>
      <c r="H286" s="316" t="n">
        <v>72</v>
      </c>
      <c r="I286" s="316" t="n">
        <v>0</v>
      </c>
      <c r="J286" s="34" t="s">
        <v>381</v>
      </c>
      <c r="K286" s="36" t="n">
        <v>50000</v>
      </c>
      <c r="L286" s="36" t="n">
        <v>108000</v>
      </c>
      <c r="M286" s="29" t="n">
        <v>7500</v>
      </c>
      <c r="N286" s="30" t="n">
        <v>25500</v>
      </c>
      <c r="O286" s="30" t="n">
        <v>108000</v>
      </c>
      <c r="P286" s="36" t="n">
        <v>0</v>
      </c>
      <c r="Q286" s="302" t="n">
        <v>45404</v>
      </c>
    </row>
    <row r="287" customFormat="false" ht="14.25" hidden="true" customHeight="false" outlineLevel="0" collapsed="false">
      <c r="A287" s="20" t="n">
        <v>2528</v>
      </c>
      <c r="B287" s="324" t="s">
        <v>758</v>
      </c>
      <c r="C287" s="34"/>
      <c r="D287" s="34"/>
      <c r="E287" s="25" t="n">
        <v>45369</v>
      </c>
      <c r="F287" s="25" t="n">
        <v>45390</v>
      </c>
      <c r="G287" s="26" t="n">
        <v>15</v>
      </c>
      <c r="H287" s="316" t="e">
        <f aca="false">#DIV/0!</f>
        <v>#DIV/0!</v>
      </c>
      <c r="I287" s="316" t="e">
        <f aca="false">#DIV/0!</f>
        <v>#DIV/0!</v>
      </c>
      <c r="J287" s="52" t="s">
        <v>751</v>
      </c>
      <c r="K287" s="31" t="n">
        <v>10000</v>
      </c>
      <c r="L287" s="31" t="n">
        <v>16000</v>
      </c>
      <c r="M287" s="29"/>
      <c r="N287" s="30" t="n">
        <v>2000</v>
      </c>
      <c r="O287" s="30" t="n">
        <v>16000</v>
      </c>
      <c r="P287" s="36" t="n">
        <v>0</v>
      </c>
      <c r="Q287" s="302" t="n">
        <v>45404</v>
      </c>
    </row>
    <row r="288" customFormat="false" ht="26.1" hidden="true" customHeight="false" outlineLevel="0" collapsed="false">
      <c r="A288" s="20" t="n">
        <v>2536</v>
      </c>
      <c r="B288" s="324" t="s">
        <v>758</v>
      </c>
      <c r="C288" s="34" t="s">
        <v>959</v>
      </c>
      <c r="D288" s="34"/>
      <c r="E288" s="25" t="n">
        <v>45372</v>
      </c>
      <c r="F288" s="25" t="n">
        <v>45390</v>
      </c>
      <c r="G288" s="26" t="n">
        <v>12</v>
      </c>
      <c r="H288" s="316" t="e">
        <f aca="false">#DIV/0!</f>
        <v>#DIV/0!</v>
      </c>
      <c r="I288" s="316" t="e">
        <f aca="false">#DIV/0!</f>
        <v>#DIV/0!</v>
      </c>
      <c r="J288" s="52" t="s">
        <v>751</v>
      </c>
      <c r="K288" s="36" t="n">
        <v>25000</v>
      </c>
      <c r="L288" s="36" t="n">
        <v>40000</v>
      </c>
      <c r="M288" s="29"/>
      <c r="N288" s="30" t="n">
        <v>44900</v>
      </c>
      <c r="O288" s="30" t="n">
        <v>44900</v>
      </c>
      <c r="P288" s="36" t="n">
        <v>-4900</v>
      </c>
      <c r="Q288" s="302" t="n">
        <v>45404</v>
      </c>
    </row>
    <row r="289" customFormat="false" ht="17.9" hidden="true" customHeight="false" outlineLevel="0" collapsed="false">
      <c r="A289" s="20" t="n">
        <v>2439</v>
      </c>
      <c r="B289" s="34" t="s">
        <v>323</v>
      </c>
      <c r="C289" s="34" t="s">
        <v>324</v>
      </c>
      <c r="D289" s="34" t="n">
        <v>14154231</v>
      </c>
      <c r="E289" s="25" t="n">
        <v>44950</v>
      </c>
      <c r="F289" s="25" t="n">
        <v>45050</v>
      </c>
      <c r="G289" s="72" t="n">
        <v>72</v>
      </c>
      <c r="H289" s="316" t="n">
        <v>72</v>
      </c>
      <c r="I289" s="316" t="n">
        <v>0</v>
      </c>
      <c r="J289" s="34" t="s">
        <v>452</v>
      </c>
      <c r="K289" s="36" t="n">
        <v>30000</v>
      </c>
      <c r="L289" s="36" t="n">
        <v>64800</v>
      </c>
      <c r="M289" s="29" t="n">
        <v>4500</v>
      </c>
      <c r="N289" s="30"/>
      <c r="O289" s="30" t="n">
        <v>64800</v>
      </c>
      <c r="P289" s="36" t="n">
        <v>0</v>
      </c>
      <c r="Q289" s="302" t="n">
        <v>45411</v>
      </c>
    </row>
    <row r="290" customFormat="false" ht="50.7" hidden="true" customHeight="false" outlineLevel="0" collapsed="false">
      <c r="A290" s="20" t="n">
        <v>2417</v>
      </c>
      <c r="B290" s="34" t="s">
        <v>960</v>
      </c>
      <c r="C290" s="34" t="s">
        <v>351</v>
      </c>
      <c r="D290" s="34" t="n">
        <v>27313552360</v>
      </c>
      <c r="E290" s="25" t="n">
        <v>45303</v>
      </c>
      <c r="F290" s="25" t="n">
        <v>45405</v>
      </c>
      <c r="G290" s="72" t="n">
        <v>72</v>
      </c>
      <c r="H290" s="316" t="n">
        <v>80</v>
      </c>
      <c r="I290" s="316" t="n">
        <v>-8</v>
      </c>
      <c r="J290" s="52" t="s">
        <v>961</v>
      </c>
      <c r="K290" s="31" t="n">
        <v>100000</v>
      </c>
      <c r="L290" s="31" t="n">
        <v>216000</v>
      </c>
      <c r="M290" s="29" t="n">
        <v>13500</v>
      </c>
      <c r="N290" s="30"/>
      <c r="O290" s="30" t="n">
        <v>216000</v>
      </c>
      <c r="P290" s="36" t="n">
        <v>0</v>
      </c>
      <c r="Q290" s="302" t="n">
        <v>45411</v>
      </c>
    </row>
    <row r="291" customFormat="false" ht="34.3" hidden="true" customHeight="false" outlineLevel="0" collapsed="false">
      <c r="A291" s="20" t="n">
        <v>2349</v>
      </c>
      <c r="B291" s="34" t="s">
        <v>962</v>
      </c>
      <c r="C291" s="34" t="s">
        <v>292</v>
      </c>
      <c r="D291" s="34"/>
      <c r="E291" s="25" t="n">
        <v>45255</v>
      </c>
      <c r="F291" s="25" t="n">
        <v>45408</v>
      </c>
      <c r="G291" s="72" t="n">
        <v>110</v>
      </c>
      <c r="H291" s="316" t="n">
        <v>110</v>
      </c>
      <c r="I291" s="316" t="n">
        <v>0</v>
      </c>
      <c r="J291" s="34" t="s">
        <v>963</v>
      </c>
      <c r="K291" s="36" t="n">
        <v>60000</v>
      </c>
      <c r="L291" s="36" t="n">
        <v>158400</v>
      </c>
      <c r="M291" s="29" t="n">
        <v>7200</v>
      </c>
      <c r="N291" s="30"/>
      <c r="O291" s="30" t="n">
        <v>158400</v>
      </c>
      <c r="P291" s="36" t="n">
        <v>0</v>
      </c>
      <c r="Q291" s="302" t="n">
        <v>45411</v>
      </c>
    </row>
    <row r="292" customFormat="false" ht="26.1" hidden="true" customHeight="false" outlineLevel="0" collapsed="false">
      <c r="A292" s="20" t="n">
        <v>2304</v>
      </c>
      <c r="B292" s="34" t="s">
        <v>385</v>
      </c>
      <c r="C292" s="34" t="s">
        <v>796</v>
      </c>
      <c r="D292" s="34"/>
      <c r="E292" s="25" t="n">
        <v>45219</v>
      </c>
      <c r="F292" s="25" t="n">
        <v>45380</v>
      </c>
      <c r="G292" s="72" t="n">
        <v>115</v>
      </c>
      <c r="H292" s="316" t="n">
        <v>110</v>
      </c>
      <c r="I292" s="316" t="n">
        <v>5</v>
      </c>
      <c r="J292" s="52" t="s">
        <v>797</v>
      </c>
      <c r="K292" s="31" t="n">
        <v>15000</v>
      </c>
      <c r="L292" s="31" t="n">
        <v>39600</v>
      </c>
      <c r="M292" s="37" t="n">
        <v>1800</v>
      </c>
      <c r="N292" s="30"/>
      <c r="O292" s="30" t="n">
        <v>39600</v>
      </c>
      <c r="P292" s="36" t="n">
        <v>0</v>
      </c>
      <c r="Q292" s="302" t="n">
        <v>45411</v>
      </c>
    </row>
    <row r="293" customFormat="false" ht="26.1" hidden="true" customHeight="false" outlineLevel="0" collapsed="false">
      <c r="A293" s="20" t="n">
        <v>2365</v>
      </c>
      <c r="B293" s="34" t="s">
        <v>385</v>
      </c>
      <c r="C293" s="34" t="s">
        <v>796</v>
      </c>
      <c r="D293" s="34"/>
      <c r="E293" s="25" t="n">
        <v>45268</v>
      </c>
      <c r="F293" s="25" t="n">
        <v>45454</v>
      </c>
      <c r="G293" s="72" t="n">
        <v>132</v>
      </c>
      <c r="H293" s="316" t="n">
        <v>80</v>
      </c>
      <c r="I293" s="316" t="n">
        <v>52</v>
      </c>
      <c r="J293" s="52" t="s">
        <v>964</v>
      </c>
      <c r="K293" s="31" t="n">
        <v>20000</v>
      </c>
      <c r="L293" s="31" t="n">
        <v>43200</v>
      </c>
      <c r="M293" s="37" t="n">
        <v>2700</v>
      </c>
      <c r="N293" s="30"/>
      <c r="O293" s="30" t="n">
        <v>43200</v>
      </c>
      <c r="P293" s="36" t="n">
        <v>0</v>
      </c>
      <c r="Q293" s="302" t="n">
        <v>45411</v>
      </c>
    </row>
    <row r="294" customFormat="false" ht="17.9" hidden="true" customHeight="false" outlineLevel="0" collapsed="false">
      <c r="A294" s="20" t="n">
        <v>2596</v>
      </c>
      <c r="B294" s="34" t="s">
        <v>429</v>
      </c>
      <c r="C294" s="34"/>
      <c r="D294" s="34"/>
      <c r="E294" s="25" t="n">
        <v>45408</v>
      </c>
      <c r="F294" s="25" t="n">
        <v>45415</v>
      </c>
      <c r="G294" s="26" t="n">
        <v>5</v>
      </c>
      <c r="H294" s="316" t="e">
        <f aca="false">#DIV/0!</f>
        <v>#DIV/0!</v>
      </c>
      <c r="I294" s="316" t="e">
        <f aca="false">#DIV/0!</f>
        <v>#DIV/0!</v>
      </c>
      <c r="J294" s="52" t="s">
        <v>751</v>
      </c>
      <c r="K294" s="45" t="n">
        <v>30000</v>
      </c>
      <c r="L294" s="31" t="n">
        <v>39000</v>
      </c>
      <c r="M294" s="37"/>
      <c r="N294" s="30"/>
      <c r="O294" s="30" t="n">
        <v>39000</v>
      </c>
      <c r="P294" s="36" t="n">
        <v>0</v>
      </c>
      <c r="Q294" s="302" t="n">
        <v>45411</v>
      </c>
    </row>
    <row r="295" customFormat="false" ht="42" hidden="true" customHeight="false" outlineLevel="0" collapsed="false">
      <c r="A295" s="20" t="n">
        <v>2276</v>
      </c>
      <c r="B295" s="34" t="s">
        <v>833</v>
      </c>
      <c r="C295" s="34" t="s">
        <v>834</v>
      </c>
      <c r="D295" s="34"/>
      <c r="E295" s="25" t="n">
        <v>45201</v>
      </c>
      <c r="F295" s="25" t="n">
        <v>45453</v>
      </c>
      <c r="G295" s="72" t="n">
        <v>180</v>
      </c>
      <c r="H295" s="316" t="n">
        <v>177.746666666667</v>
      </c>
      <c r="I295" s="316" t="n">
        <v>2.25333333333333</v>
      </c>
      <c r="J295" s="52" t="s">
        <v>900</v>
      </c>
      <c r="K295" s="36" t="n">
        <v>40000</v>
      </c>
      <c r="L295" s="36" t="n">
        <v>120000</v>
      </c>
      <c r="M295" s="29" t="n">
        <v>3750</v>
      </c>
      <c r="N295" s="30"/>
      <c r="O295" s="30" t="n">
        <v>133310</v>
      </c>
      <c r="P295" s="36" t="n">
        <v>-13310</v>
      </c>
      <c r="Q295" s="302" t="n">
        <v>45411</v>
      </c>
    </row>
    <row r="296" customFormat="false" ht="26.1" hidden="true" customHeight="false" outlineLevel="0" collapsed="false">
      <c r="A296" s="20" t="n">
        <v>2555</v>
      </c>
      <c r="B296" s="34" t="s">
        <v>754</v>
      </c>
      <c r="C296" s="34" t="s">
        <v>755</v>
      </c>
      <c r="D296" s="34"/>
      <c r="E296" s="25" t="n">
        <v>45386</v>
      </c>
      <c r="F296" s="25" t="n">
        <v>45414</v>
      </c>
      <c r="G296" s="72" t="n">
        <v>20</v>
      </c>
      <c r="H296" s="316" t="e">
        <f aca="false">#DIV/0!</f>
        <v>#DIV/0!</v>
      </c>
      <c r="I296" s="316" t="e">
        <f aca="false">#DIV/0!</f>
        <v>#DIV/0!</v>
      </c>
      <c r="J296" s="52" t="s">
        <v>751</v>
      </c>
      <c r="K296" s="36" t="n">
        <v>40000</v>
      </c>
      <c r="L296" s="36" t="n">
        <v>60000</v>
      </c>
      <c r="M296" s="29"/>
      <c r="N296" s="30"/>
      <c r="O296" s="30" t="n">
        <v>60000</v>
      </c>
      <c r="P296" s="36" t="n">
        <v>0</v>
      </c>
      <c r="Q296" s="302" t="n">
        <v>45411</v>
      </c>
    </row>
    <row r="297" customFormat="false" ht="26.1" hidden="true" customHeight="false" outlineLevel="0" collapsed="false">
      <c r="A297" s="20" t="n">
        <v>2560</v>
      </c>
      <c r="B297" s="34" t="s">
        <v>754</v>
      </c>
      <c r="C297" s="34" t="s">
        <v>755</v>
      </c>
      <c r="D297" s="34"/>
      <c r="E297" s="25" t="n">
        <v>45388</v>
      </c>
      <c r="F297" s="25" t="n">
        <v>45394</v>
      </c>
      <c r="G297" s="72" t="n">
        <v>5</v>
      </c>
      <c r="H297" s="316" t="e">
        <f aca="false">#DIV/0!</f>
        <v>#DIV/0!</v>
      </c>
      <c r="I297" s="316" t="e">
        <f aca="false">#DIV/0!</f>
        <v>#DIV/0!</v>
      </c>
      <c r="J297" s="52" t="s">
        <v>751</v>
      </c>
      <c r="K297" s="36" t="n">
        <v>40000</v>
      </c>
      <c r="L297" s="36" t="n">
        <v>47000</v>
      </c>
      <c r="M297" s="29"/>
      <c r="N297" s="30"/>
      <c r="O297" s="30" t="n">
        <v>47000</v>
      </c>
      <c r="P297" s="36" t="n">
        <v>0</v>
      </c>
      <c r="Q297" s="302" t="n">
        <v>45411</v>
      </c>
    </row>
    <row r="298" customFormat="false" ht="26.1" hidden="true" customHeight="false" outlineLevel="0" collapsed="false">
      <c r="A298" s="20" t="n">
        <v>2451</v>
      </c>
      <c r="B298" s="34" t="s">
        <v>519</v>
      </c>
      <c r="C298" s="34" t="s">
        <v>520</v>
      </c>
      <c r="D298" s="34"/>
      <c r="E298" s="25" t="n">
        <v>45322</v>
      </c>
      <c r="F298" s="25" t="n">
        <v>45422</v>
      </c>
      <c r="G298" s="72" t="n">
        <v>72</v>
      </c>
      <c r="H298" s="316" t="n">
        <v>72</v>
      </c>
      <c r="I298" s="316" t="n">
        <v>0</v>
      </c>
      <c r="J298" s="34" t="s">
        <v>381</v>
      </c>
      <c r="K298" s="36" t="n">
        <v>50000</v>
      </c>
      <c r="L298" s="36" t="n">
        <v>108000</v>
      </c>
      <c r="M298" s="29" t="n">
        <v>7500</v>
      </c>
      <c r="N298" s="30"/>
      <c r="O298" s="30" t="n">
        <v>108000</v>
      </c>
      <c r="P298" s="36" t="n">
        <v>0</v>
      </c>
      <c r="Q298" s="302" t="n">
        <v>45411</v>
      </c>
    </row>
    <row r="299" customFormat="false" ht="42.5" hidden="true" customHeight="false" outlineLevel="0" collapsed="false">
      <c r="A299" s="20" t="n">
        <v>2372</v>
      </c>
      <c r="B299" s="34" t="s">
        <v>887</v>
      </c>
      <c r="C299" s="34" t="s">
        <v>888</v>
      </c>
      <c r="D299" s="34" t="n">
        <v>24172612</v>
      </c>
      <c r="E299" s="25" t="n">
        <v>45275</v>
      </c>
      <c r="F299" s="25" t="n">
        <v>45377</v>
      </c>
      <c r="G299" s="72" t="n">
        <v>72</v>
      </c>
      <c r="H299" s="316" t="n">
        <v>72</v>
      </c>
      <c r="I299" s="316" t="n">
        <v>0</v>
      </c>
      <c r="J299" s="34" t="s">
        <v>627</v>
      </c>
      <c r="K299" s="31" t="n">
        <v>40000</v>
      </c>
      <c r="L299" s="31" t="n">
        <v>86400</v>
      </c>
      <c r="M299" s="29" t="n">
        <v>6000</v>
      </c>
      <c r="N299" s="30"/>
      <c r="O299" s="30" t="n">
        <v>86400</v>
      </c>
      <c r="P299" s="36" t="n">
        <v>0</v>
      </c>
      <c r="Q299" s="302" t="n">
        <v>45411</v>
      </c>
    </row>
    <row r="300" customFormat="false" ht="26.1" hidden="true" customHeight="false" outlineLevel="0" collapsed="false">
      <c r="A300" s="327" t="n">
        <v>2559</v>
      </c>
      <c r="B300" s="34" t="s">
        <v>794</v>
      </c>
      <c r="C300" s="34" t="s">
        <v>880</v>
      </c>
      <c r="D300" s="34"/>
      <c r="E300" s="25" t="n">
        <v>45388</v>
      </c>
      <c r="F300" s="25" t="n">
        <v>45415</v>
      </c>
      <c r="G300" s="72" t="n">
        <v>20</v>
      </c>
      <c r="H300" s="320" t="e">
        <f aca="false">#DIV/0!</f>
        <v>#DIV/0!</v>
      </c>
      <c r="I300" s="320" t="e">
        <f aca="false">#DIV/0!</f>
        <v>#DIV/0!</v>
      </c>
      <c r="J300" s="52" t="s">
        <v>751</v>
      </c>
      <c r="K300" s="31" t="n">
        <v>50000</v>
      </c>
      <c r="L300" s="31" t="n">
        <v>75000</v>
      </c>
      <c r="M300" s="37"/>
      <c r="N300" s="30" t="n">
        <v>40000</v>
      </c>
      <c r="O300" s="30" t="n">
        <v>75000</v>
      </c>
      <c r="P300" s="36" t="n">
        <v>0</v>
      </c>
      <c r="Q300" s="302" t="n">
        <v>45418</v>
      </c>
    </row>
    <row r="301" customFormat="false" ht="26.1" hidden="true" customHeight="false" outlineLevel="0" collapsed="false">
      <c r="A301" s="327" t="n">
        <v>2581</v>
      </c>
      <c r="B301" s="34" t="s">
        <v>251</v>
      </c>
      <c r="C301" s="34" t="s">
        <v>252</v>
      </c>
      <c r="D301" s="34" t="s">
        <v>253</v>
      </c>
      <c r="E301" s="25" t="n">
        <v>45400</v>
      </c>
      <c r="F301" s="25" t="n">
        <v>45422</v>
      </c>
      <c r="G301" s="72" t="n">
        <v>16</v>
      </c>
      <c r="H301" s="320" t="e">
        <f aca="false">#DIV/0!</f>
        <v>#DIV/0!</v>
      </c>
      <c r="I301" s="320" t="e">
        <f aca="false">#DIV/0!</f>
        <v>#DIV/0!</v>
      </c>
      <c r="J301" s="52" t="s">
        <v>751</v>
      </c>
      <c r="K301" s="31" t="n">
        <v>20000</v>
      </c>
      <c r="L301" s="31" t="n">
        <v>30000</v>
      </c>
      <c r="M301" s="37"/>
      <c r="N301" s="30" t="n">
        <v>30000</v>
      </c>
      <c r="O301" s="30" t="n">
        <v>30000</v>
      </c>
      <c r="P301" s="36" t="n">
        <v>0</v>
      </c>
      <c r="Q301" s="302" t="n">
        <v>45418</v>
      </c>
    </row>
    <row r="302" customFormat="false" ht="26.1" hidden="true" customHeight="false" outlineLevel="0" collapsed="false">
      <c r="A302" s="327" t="n">
        <v>2607</v>
      </c>
      <c r="B302" s="34" t="s">
        <v>251</v>
      </c>
      <c r="C302" s="34" t="s">
        <v>252</v>
      </c>
      <c r="D302" s="34" t="s">
        <v>253</v>
      </c>
      <c r="E302" s="25" t="n">
        <v>45409</v>
      </c>
      <c r="F302" s="25" t="n">
        <v>45422</v>
      </c>
      <c r="G302" s="72" t="n">
        <v>10</v>
      </c>
      <c r="H302" s="320" t="e">
        <f aca="false">#DIV/0!</f>
        <v>#DIV/0!</v>
      </c>
      <c r="I302" s="320" t="e">
        <f aca="false">#DIV/0!</f>
        <v>#DIV/0!</v>
      </c>
      <c r="J302" s="52" t="s">
        <v>751</v>
      </c>
      <c r="K302" s="36" t="n">
        <v>10000</v>
      </c>
      <c r="L302" s="36" t="n">
        <v>16000</v>
      </c>
      <c r="M302" s="29"/>
      <c r="N302" s="30" t="n">
        <v>16000</v>
      </c>
      <c r="O302" s="30" t="n">
        <v>16000</v>
      </c>
      <c r="P302" s="36" t="n">
        <v>0</v>
      </c>
      <c r="Q302" s="302" t="n">
        <v>45418</v>
      </c>
    </row>
    <row r="303" customFormat="false" ht="34.3" hidden="true" customHeight="false" outlineLevel="0" collapsed="false">
      <c r="A303" s="327" t="n">
        <v>2364</v>
      </c>
      <c r="B303" s="34" t="s">
        <v>307</v>
      </c>
      <c r="C303" s="34" t="s">
        <v>308</v>
      </c>
      <c r="D303" s="34"/>
      <c r="E303" s="25" t="n">
        <v>45267</v>
      </c>
      <c r="F303" s="25" t="n">
        <v>45428</v>
      </c>
      <c r="G303" s="72" t="n">
        <v>115</v>
      </c>
      <c r="H303" s="320" t="n">
        <v>109.259259259259</v>
      </c>
      <c r="I303" s="320" t="n">
        <v>5.74074074074075</v>
      </c>
      <c r="J303" s="52" t="s">
        <v>965</v>
      </c>
      <c r="K303" s="36" t="n">
        <v>100000</v>
      </c>
      <c r="L303" s="36" t="n">
        <v>216000</v>
      </c>
      <c r="M303" s="29" t="n">
        <v>10800</v>
      </c>
      <c r="N303" s="30" t="n">
        <v>43200</v>
      </c>
      <c r="O303" s="30" t="n">
        <v>236000</v>
      </c>
      <c r="P303" s="36" t="n">
        <v>-20000</v>
      </c>
      <c r="Q303" s="302" t="n">
        <v>45418</v>
      </c>
    </row>
    <row r="304" customFormat="false" ht="17.9" hidden="true" customHeight="false" outlineLevel="0" collapsed="false">
      <c r="A304" s="327" t="n">
        <v>2598</v>
      </c>
      <c r="B304" s="34" t="s">
        <v>429</v>
      </c>
      <c r="C304" s="34"/>
      <c r="D304" s="34"/>
      <c r="E304" s="25" t="n">
        <v>45409</v>
      </c>
      <c r="F304" s="25" t="n">
        <v>45415</v>
      </c>
      <c r="G304" s="72" t="n">
        <v>5</v>
      </c>
      <c r="H304" s="320" t="e">
        <f aca="false">#DIV/0!</f>
        <v>#DIV/0!</v>
      </c>
      <c r="I304" s="320" t="e">
        <f aca="false">#DIV/0!</f>
        <v>#DIV/0!</v>
      </c>
      <c r="J304" s="52" t="s">
        <v>751</v>
      </c>
      <c r="K304" s="46" t="n">
        <v>50000</v>
      </c>
      <c r="L304" s="36" t="n">
        <v>65000</v>
      </c>
      <c r="M304" s="29"/>
      <c r="N304" s="30" t="n">
        <v>68000</v>
      </c>
      <c r="O304" s="30" t="n">
        <v>68000</v>
      </c>
      <c r="P304" s="36" t="n">
        <v>-3000</v>
      </c>
      <c r="Q304" s="302" t="n">
        <v>45418</v>
      </c>
    </row>
    <row r="305" customFormat="false" ht="50.7" hidden="true" customHeight="false" outlineLevel="0" collapsed="false">
      <c r="A305" s="327" t="n">
        <v>2412</v>
      </c>
      <c r="B305" s="34" t="s">
        <v>874</v>
      </c>
      <c r="C305" s="34" t="s">
        <v>875</v>
      </c>
      <c r="D305" s="34"/>
      <c r="E305" s="25" t="n">
        <v>45302</v>
      </c>
      <c r="F305" s="25" t="n">
        <v>45400</v>
      </c>
      <c r="G305" s="72" t="n">
        <v>70</v>
      </c>
      <c r="H305" s="320" t="n">
        <v>70</v>
      </c>
      <c r="I305" s="320" t="n">
        <v>0</v>
      </c>
      <c r="J305" s="34" t="s">
        <v>966</v>
      </c>
      <c r="K305" s="31" t="n">
        <v>50000</v>
      </c>
      <c r="L305" s="31" t="n">
        <v>122500</v>
      </c>
      <c r="M305" s="37" t="n">
        <v>8750</v>
      </c>
      <c r="N305" s="30" t="n">
        <v>70000</v>
      </c>
      <c r="O305" s="30" t="n">
        <v>122500</v>
      </c>
      <c r="P305" s="36" t="n">
        <v>0</v>
      </c>
      <c r="Q305" s="302" t="n">
        <v>45418</v>
      </c>
    </row>
    <row r="306" customFormat="false" ht="17.9" hidden="true" customHeight="false" outlineLevel="0" collapsed="false">
      <c r="A306" s="327" t="n">
        <v>2335</v>
      </c>
      <c r="B306" s="34" t="s">
        <v>967</v>
      </c>
      <c r="C306" s="34" t="s">
        <v>968</v>
      </c>
      <c r="D306" s="34" t="s">
        <v>969</v>
      </c>
      <c r="E306" s="25" t="n">
        <v>45241</v>
      </c>
      <c r="F306" s="25" t="n">
        <v>45342</v>
      </c>
      <c r="G306" s="72" t="n">
        <v>72</v>
      </c>
      <c r="H306" s="320" t="n">
        <v>80.1666666666667</v>
      </c>
      <c r="I306" s="320" t="n">
        <v>-8.16666666666667</v>
      </c>
      <c r="J306" s="34" t="s">
        <v>788</v>
      </c>
      <c r="K306" s="36" t="n">
        <v>15000</v>
      </c>
      <c r="L306" s="36" t="n">
        <v>32400</v>
      </c>
      <c r="M306" s="29" t="n">
        <v>2250</v>
      </c>
      <c r="N306" s="30" t="n">
        <v>10000</v>
      </c>
      <c r="O306" s="30" t="n">
        <v>36075</v>
      </c>
      <c r="P306" s="36" t="n">
        <v>-3675</v>
      </c>
      <c r="Q306" s="302" t="n">
        <v>45418</v>
      </c>
    </row>
    <row r="307" customFormat="false" ht="17.9" hidden="true" customHeight="false" outlineLevel="0" collapsed="false">
      <c r="A307" s="327" t="n">
        <v>2430</v>
      </c>
      <c r="B307" s="34" t="s">
        <v>461</v>
      </c>
      <c r="C307" s="34"/>
      <c r="D307" s="34"/>
      <c r="E307" s="25" t="n">
        <v>45309</v>
      </c>
      <c r="F307" s="25" t="n">
        <v>45411</v>
      </c>
      <c r="G307" s="72" t="n">
        <v>72</v>
      </c>
      <c r="H307" s="320" t="n">
        <v>72</v>
      </c>
      <c r="I307" s="320" t="n">
        <v>0</v>
      </c>
      <c r="J307" s="34" t="s">
        <v>452</v>
      </c>
      <c r="K307" s="36" t="n">
        <v>30000</v>
      </c>
      <c r="L307" s="36" t="n">
        <v>64800</v>
      </c>
      <c r="M307" s="29" t="n">
        <v>4500</v>
      </c>
      <c r="N307" s="30" t="n">
        <v>10800</v>
      </c>
      <c r="O307" s="30" t="n">
        <v>64800</v>
      </c>
      <c r="P307" s="36" t="n">
        <v>0</v>
      </c>
      <c r="Q307" s="302" t="n">
        <v>45418</v>
      </c>
    </row>
    <row r="308" customFormat="false" ht="34.3" hidden="true" customHeight="false" outlineLevel="0" collapsed="false">
      <c r="A308" s="327" t="n">
        <v>2314</v>
      </c>
      <c r="B308" s="34" t="s">
        <v>476</v>
      </c>
      <c r="C308" s="34" t="s">
        <v>477</v>
      </c>
      <c r="D308" s="34"/>
      <c r="E308" s="25" t="n">
        <v>45226</v>
      </c>
      <c r="F308" s="25" t="n">
        <v>45394</v>
      </c>
      <c r="G308" s="72" t="n">
        <v>120</v>
      </c>
      <c r="H308" s="320" t="n">
        <v>120</v>
      </c>
      <c r="I308" s="320" t="n">
        <v>0</v>
      </c>
      <c r="J308" s="68" t="s">
        <v>970</v>
      </c>
      <c r="K308" s="36" t="n">
        <v>50000</v>
      </c>
      <c r="L308" s="36" t="n">
        <v>110400</v>
      </c>
      <c r="M308" s="29" t="n">
        <v>4600</v>
      </c>
      <c r="N308" s="30" t="n">
        <v>9200</v>
      </c>
      <c r="O308" s="30" t="n">
        <v>110400</v>
      </c>
      <c r="P308" s="36" t="n">
        <v>0</v>
      </c>
      <c r="Q308" s="302" t="n">
        <v>45418</v>
      </c>
    </row>
    <row r="309" customFormat="false" ht="42" hidden="true" customHeight="false" outlineLevel="0" collapsed="false">
      <c r="A309" s="327" t="n">
        <v>2387</v>
      </c>
      <c r="B309" s="34" t="s">
        <v>971</v>
      </c>
      <c r="C309" s="34" t="s">
        <v>972</v>
      </c>
      <c r="D309" s="34"/>
      <c r="E309" s="25" t="n">
        <v>45282</v>
      </c>
      <c r="F309" s="25" t="n">
        <v>45384</v>
      </c>
      <c r="G309" s="72" t="n">
        <v>72</v>
      </c>
      <c r="H309" s="320" t="n">
        <v>72</v>
      </c>
      <c r="I309" s="320" t="n">
        <v>0</v>
      </c>
      <c r="J309" s="34" t="s">
        <v>749</v>
      </c>
      <c r="K309" s="31" t="n">
        <v>20000</v>
      </c>
      <c r="L309" s="31" t="n">
        <v>43200</v>
      </c>
      <c r="M309" s="29" t="n">
        <v>3000</v>
      </c>
      <c r="N309" s="30" t="n">
        <v>7200</v>
      </c>
      <c r="O309" s="30" t="n">
        <v>43200</v>
      </c>
      <c r="P309" s="36" t="n">
        <v>0</v>
      </c>
      <c r="Q309" s="302" t="n">
        <v>45418</v>
      </c>
    </row>
    <row r="310" customFormat="false" ht="50.7" hidden="true" customHeight="false" outlineLevel="0" collapsed="false">
      <c r="A310" s="327" t="n">
        <v>2545</v>
      </c>
      <c r="B310" s="34" t="s">
        <v>973</v>
      </c>
      <c r="C310" s="34" t="s">
        <v>974</v>
      </c>
      <c r="D310" s="34" t="n">
        <v>27242809519</v>
      </c>
      <c r="E310" s="25" t="n">
        <v>45378</v>
      </c>
      <c r="F310" s="25" t="n">
        <v>45422</v>
      </c>
      <c r="G310" s="72" t="n">
        <v>32</v>
      </c>
      <c r="H310" s="320" t="n">
        <v>20.6666666666667</v>
      </c>
      <c r="I310" s="320" t="n">
        <v>11.3333333333333</v>
      </c>
      <c r="J310" s="52" t="s">
        <v>975</v>
      </c>
      <c r="K310" s="31" t="n">
        <v>25000</v>
      </c>
      <c r="L310" s="31" t="n">
        <v>37500</v>
      </c>
      <c r="M310" s="37" t="n">
        <v>9375</v>
      </c>
      <c r="N310" s="30" t="n">
        <v>18750</v>
      </c>
      <c r="O310" s="30" t="n">
        <v>38750</v>
      </c>
      <c r="P310" s="36" t="n">
        <v>-1250</v>
      </c>
      <c r="Q310" s="302" t="n">
        <v>45418</v>
      </c>
    </row>
    <row r="311" customFormat="false" ht="34.3" hidden="true" customHeight="false" outlineLevel="0" collapsed="false">
      <c r="A311" s="327" t="n">
        <v>2339</v>
      </c>
      <c r="B311" s="34" t="s">
        <v>779</v>
      </c>
      <c r="C311" s="34"/>
      <c r="D311" s="34"/>
      <c r="E311" s="25" t="n">
        <v>45251</v>
      </c>
      <c r="F311" s="25" t="n">
        <v>45422</v>
      </c>
      <c r="G311" s="72" t="n">
        <v>123</v>
      </c>
      <c r="H311" s="320" t="n">
        <v>120</v>
      </c>
      <c r="I311" s="320" t="n">
        <v>3</v>
      </c>
      <c r="J311" s="52" t="s">
        <v>920</v>
      </c>
      <c r="K311" s="36" t="n">
        <v>30000</v>
      </c>
      <c r="L311" s="36" t="n">
        <v>64800</v>
      </c>
      <c r="M311" s="29" t="n">
        <v>2700</v>
      </c>
      <c r="N311" s="30" t="n">
        <v>10800</v>
      </c>
      <c r="O311" s="30" t="n">
        <v>64800</v>
      </c>
      <c r="P311" s="36" t="n">
        <v>0</v>
      </c>
      <c r="Q311" s="302" t="n">
        <v>45418</v>
      </c>
    </row>
    <row r="312" customFormat="false" ht="17.9" hidden="true" customHeight="false" outlineLevel="0" collapsed="false">
      <c r="A312" s="327" t="n">
        <v>2340</v>
      </c>
      <c r="B312" s="34" t="s">
        <v>510</v>
      </c>
      <c r="C312" s="34"/>
      <c r="D312" s="34"/>
      <c r="E312" s="25" t="n">
        <v>45251</v>
      </c>
      <c r="F312" s="25" t="n">
        <v>45422</v>
      </c>
      <c r="G312" s="72" t="n">
        <v>123</v>
      </c>
      <c r="H312" s="320" t="n">
        <v>120</v>
      </c>
      <c r="I312" s="320" t="n">
        <v>3</v>
      </c>
      <c r="J312" s="52" t="s">
        <v>976</v>
      </c>
      <c r="K312" s="31" t="n">
        <v>50000</v>
      </c>
      <c r="L312" s="31" t="n">
        <v>108000</v>
      </c>
      <c r="M312" s="37" t="n">
        <v>4500</v>
      </c>
      <c r="N312" s="30" t="n">
        <v>18000</v>
      </c>
      <c r="O312" s="30" t="n">
        <v>108000</v>
      </c>
      <c r="P312" s="36" t="n">
        <v>0</v>
      </c>
      <c r="Q312" s="302" t="n">
        <v>45418</v>
      </c>
    </row>
    <row r="313" customFormat="false" ht="26.1" hidden="true" customHeight="false" outlineLevel="0" collapsed="false">
      <c r="A313" s="327" t="n">
        <v>2280</v>
      </c>
      <c r="B313" s="34" t="s">
        <v>781</v>
      </c>
      <c r="C313" s="34" t="s">
        <v>782</v>
      </c>
      <c r="D313" s="34"/>
      <c r="E313" s="25" t="n">
        <v>45204</v>
      </c>
      <c r="F313" s="25" t="n">
        <v>45378</v>
      </c>
      <c r="G313" s="72" t="n">
        <v>124</v>
      </c>
      <c r="H313" s="320" t="n">
        <v>139.056818181818</v>
      </c>
      <c r="I313" s="320" t="n">
        <v>-15.0568181818182</v>
      </c>
      <c r="J313" s="52" t="s">
        <v>783</v>
      </c>
      <c r="K313" s="36" t="n">
        <v>20000</v>
      </c>
      <c r="L313" s="36" t="n">
        <v>52800</v>
      </c>
      <c r="M313" s="29" t="n">
        <v>2200</v>
      </c>
      <c r="N313" s="30" t="n">
        <v>8800</v>
      </c>
      <c r="O313" s="30" t="n">
        <v>61185</v>
      </c>
      <c r="P313" s="36" t="n">
        <v>-8385</v>
      </c>
      <c r="Q313" s="302" t="n">
        <v>45418</v>
      </c>
    </row>
    <row r="314" customFormat="false" ht="26.1" hidden="true" customHeight="false" outlineLevel="0" collapsed="false">
      <c r="A314" s="327" t="n">
        <v>2418</v>
      </c>
      <c r="B314" s="34" t="s">
        <v>781</v>
      </c>
      <c r="C314" s="34" t="s">
        <v>782</v>
      </c>
      <c r="D314" s="34"/>
      <c r="E314" s="25" t="n">
        <v>45303</v>
      </c>
      <c r="F314" s="25" t="n">
        <v>45415</v>
      </c>
      <c r="G314" s="72" t="n">
        <v>80</v>
      </c>
      <c r="H314" s="320" t="n">
        <v>80</v>
      </c>
      <c r="I314" s="320" t="n">
        <v>0</v>
      </c>
      <c r="J314" s="52" t="s">
        <v>977</v>
      </c>
      <c r="K314" s="36" t="n">
        <v>25000</v>
      </c>
      <c r="L314" s="36" t="n">
        <v>54000</v>
      </c>
      <c r="M314" s="29" t="n">
        <v>3375</v>
      </c>
      <c r="N314" s="30" t="n">
        <v>13500</v>
      </c>
      <c r="O314" s="30" t="n">
        <v>54000</v>
      </c>
      <c r="P314" s="36" t="n">
        <v>0</v>
      </c>
      <c r="Q314" s="302" t="n">
        <v>45418</v>
      </c>
    </row>
    <row r="315" customFormat="false" ht="26.1" hidden="true" customHeight="false" outlineLevel="0" collapsed="false">
      <c r="A315" s="327" t="n">
        <v>2431</v>
      </c>
      <c r="B315" s="34" t="s">
        <v>781</v>
      </c>
      <c r="C315" s="34" t="s">
        <v>782</v>
      </c>
      <c r="D315" s="34"/>
      <c r="E315" s="25" t="n">
        <v>45309</v>
      </c>
      <c r="F315" s="25" t="n">
        <v>45421</v>
      </c>
      <c r="G315" s="72" t="n">
        <v>80</v>
      </c>
      <c r="H315" s="320" t="n">
        <v>80</v>
      </c>
      <c r="I315" s="320" t="n">
        <v>0</v>
      </c>
      <c r="J315" s="52" t="s">
        <v>978</v>
      </c>
      <c r="K315" s="36" t="n">
        <v>30000</v>
      </c>
      <c r="L315" s="36" t="n">
        <v>64800</v>
      </c>
      <c r="M315" s="29" t="n">
        <v>4050</v>
      </c>
      <c r="N315" s="30" t="n">
        <v>16200</v>
      </c>
      <c r="O315" s="30" t="n">
        <v>64800</v>
      </c>
      <c r="P315" s="36" t="n">
        <v>0</v>
      </c>
      <c r="Q315" s="302" t="n">
        <v>45418</v>
      </c>
    </row>
    <row r="316" customFormat="false" ht="42.5" hidden="true" customHeight="false" outlineLevel="0" collapsed="false">
      <c r="A316" s="327" t="n">
        <v>2399</v>
      </c>
      <c r="B316" s="34" t="s">
        <v>818</v>
      </c>
      <c r="C316" s="34" t="s">
        <v>556</v>
      </c>
      <c r="D316" s="34"/>
      <c r="E316" s="25" t="n">
        <v>45295</v>
      </c>
      <c r="F316" s="25" t="n">
        <v>45397</v>
      </c>
      <c r="G316" s="72" t="n">
        <v>72</v>
      </c>
      <c r="H316" s="320" t="n">
        <v>72</v>
      </c>
      <c r="I316" s="320" t="n">
        <v>0</v>
      </c>
      <c r="J316" s="34" t="s">
        <v>381</v>
      </c>
      <c r="K316" s="36" t="n">
        <v>50000</v>
      </c>
      <c r="L316" s="36" t="n">
        <v>108000</v>
      </c>
      <c r="M316" s="29" t="n">
        <v>7500</v>
      </c>
      <c r="N316" s="30" t="n">
        <v>2400</v>
      </c>
      <c r="O316" s="30" t="n">
        <v>108000</v>
      </c>
      <c r="P316" s="36" t="n">
        <v>0</v>
      </c>
      <c r="Q316" s="302" t="n">
        <v>45418</v>
      </c>
    </row>
    <row r="317" customFormat="false" ht="42.5" hidden="true" customHeight="false" outlineLevel="0" collapsed="false">
      <c r="A317" s="327" t="n">
        <v>2407</v>
      </c>
      <c r="B317" s="34" t="s">
        <v>818</v>
      </c>
      <c r="C317" s="34" t="s">
        <v>556</v>
      </c>
      <c r="D317" s="34"/>
      <c r="E317" s="25" t="n">
        <v>45300</v>
      </c>
      <c r="F317" s="25" t="n">
        <v>45400</v>
      </c>
      <c r="G317" s="72" t="n">
        <v>72</v>
      </c>
      <c r="H317" s="320" t="n">
        <v>72</v>
      </c>
      <c r="I317" s="320" t="n">
        <v>0</v>
      </c>
      <c r="J317" s="34" t="s">
        <v>381</v>
      </c>
      <c r="K317" s="36" t="n">
        <v>50000</v>
      </c>
      <c r="L317" s="36" t="n">
        <v>108000</v>
      </c>
      <c r="M317" s="29" t="n">
        <v>7500</v>
      </c>
      <c r="N317" s="30" t="n">
        <v>3000</v>
      </c>
      <c r="O317" s="30" t="n">
        <v>108000</v>
      </c>
      <c r="P317" s="36" t="n">
        <v>0</v>
      </c>
      <c r="Q317" s="302" t="n">
        <v>45418</v>
      </c>
    </row>
    <row r="318" customFormat="false" ht="34.3" hidden="true" customHeight="false" outlineLevel="0" collapsed="false">
      <c r="A318" s="327" t="n">
        <v>1913</v>
      </c>
      <c r="B318" s="34" t="s">
        <v>979</v>
      </c>
      <c r="C318" s="34" t="s">
        <v>445</v>
      </c>
      <c r="D318" s="34"/>
      <c r="E318" s="25" t="n">
        <v>44914</v>
      </c>
      <c r="F318" s="25" t="n">
        <v>45148</v>
      </c>
      <c r="G318" s="72" t="n">
        <v>168</v>
      </c>
      <c r="H318" s="320" t="n">
        <v>119.487179487179</v>
      </c>
      <c r="I318" s="320" t="n">
        <v>48.5128205128205</v>
      </c>
      <c r="J318" s="52" t="s">
        <v>980</v>
      </c>
      <c r="K318" s="31" t="n">
        <v>50000</v>
      </c>
      <c r="L318" s="31" t="n">
        <v>116000</v>
      </c>
      <c r="M318" s="37" t="n">
        <v>4875</v>
      </c>
      <c r="N318" s="30" t="n">
        <v>32000</v>
      </c>
      <c r="O318" s="30" t="n">
        <v>116500</v>
      </c>
      <c r="P318" s="36" t="n">
        <v>-500</v>
      </c>
      <c r="Q318" s="302" t="n">
        <v>45418</v>
      </c>
    </row>
    <row r="319" customFormat="false" ht="42" hidden="true" customHeight="false" outlineLevel="0" collapsed="false">
      <c r="A319" s="327" t="n">
        <v>2588</v>
      </c>
      <c r="B319" s="34" t="s">
        <v>396</v>
      </c>
      <c r="C319" s="34" t="s">
        <v>397</v>
      </c>
      <c r="D319" s="34"/>
      <c r="E319" s="25" t="n">
        <v>45404</v>
      </c>
      <c r="F319" s="25" t="n">
        <v>45432</v>
      </c>
      <c r="G319" s="72" t="n">
        <v>20</v>
      </c>
      <c r="H319" s="320" t="e">
        <f aca="false">#VALUE!</f>
        <v>#VALUE!</v>
      </c>
      <c r="I319" s="320" t="e">
        <f aca="false">#VALUE!</f>
        <v>#VALUE!</v>
      </c>
      <c r="J319" s="52" t="s">
        <v>751</v>
      </c>
      <c r="K319" s="328" t="n">
        <v>30000</v>
      </c>
      <c r="L319" s="36" t="n">
        <v>45000</v>
      </c>
      <c r="M319" s="29" t="s">
        <v>214</v>
      </c>
      <c r="N319" s="30" t="n">
        <v>45000</v>
      </c>
      <c r="O319" s="30" t="n">
        <v>45000</v>
      </c>
      <c r="P319" s="36" t="n">
        <v>0</v>
      </c>
      <c r="Q319" s="302" t="n">
        <v>45425</v>
      </c>
    </row>
    <row r="320" customFormat="false" ht="17.9" hidden="true" customHeight="false" outlineLevel="0" collapsed="false">
      <c r="A320" s="327" t="n">
        <v>2613</v>
      </c>
      <c r="B320" s="34" t="s">
        <v>429</v>
      </c>
      <c r="C320" s="34"/>
      <c r="D320" s="34"/>
      <c r="E320" s="25" t="n">
        <v>45421</v>
      </c>
      <c r="F320" s="25" t="n">
        <v>45428</v>
      </c>
      <c r="G320" s="72" t="n">
        <v>5</v>
      </c>
      <c r="H320" s="320" t="e">
        <f aca="false">#DIV/0!</f>
        <v>#DIV/0!</v>
      </c>
      <c r="I320" s="320" t="e">
        <f aca="false">#DIV/0!</f>
        <v>#DIV/0!</v>
      </c>
      <c r="J320" s="52" t="s">
        <v>751</v>
      </c>
      <c r="K320" s="46" t="n">
        <v>20000</v>
      </c>
      <c r="L320" s="36" t="n">
        <v>26000</v>
      </c>
      <c r="M320" s="29"/>
      <c r="N320" s="30" t="n">
        <v>26000</v>
      </c>
      <c r="O320" s="30" t="n">
        <v>26000</v>
      </c>
      <c r="P320" s="36" t="n">
        <v>0</v>
      </c>
      <c r="Q320" s="302" t="n">
        <v>45425</v>
      </c>
    </row>
    <row r="321" customFormat="false" ht="26.1" hidden="true" customHeight="false" outlineLevel="0" collapsed="false">
      <c r="A321" s="327" t="n">
        <v>2468</v>
      </c>
      <c r="B321" s="34" t="s">
        <v>981</v>
      </c>
      <c r="C321" s="34" t="s">
        <v>982</v>
      </c>
      <c r="D321" s="34" t="s">
        <v>983</v>
      </c>
      <c r="E321" s="25" t="n">
        <v>45332</v>
      </c>
      <c r="F321" s="25" t="n">
        <v>45429</v>
      </c>
      <c r="G321" s="72" t="n">
        <v>70</v>
      </c>
      <c r="H321" s="320" t="n">
        <v>70</v>
      </c>
      <c r="I321" s="320" t="n">
        <v>0</v>
      </c>
      <c r="J321" s="34" t="s">
        <v>966</v>
      </c>
      <c r="K321" s="31" t="n">
        <v>50000</v>
      </c>
      <c r="L321" s="31" t="n">
        <v>122500</v>
      </c>
      <c r="M321" s="37" t="n">
        <v>8750</v>
      </c>
      <c r="N321" s="30"/>
      <c r="O321" s="30" t="n">
        <v>122500</v>
      </c>
      <c r="P321" s="36" t="n">
        <v>0</v>
      </c>
      <c r="Q321" s="302" t="n">
        <v>45425</v>
      </c>
    </row>
    <row r="322" customFormat="false" ht="34.3" hidden="true" customHeight="false" outlineLevel="0" collapsed="false">
      <c r="A322" s="327" t="n">
        <v>2432</v>
      </c>
      <c r="B322" s="34" t="s">
        <v>879</v>
      </c>
      <c r="C322" s="34" t="s">
        <v>484</v>
      </c>
      <c r="D322" s="34"/>
      <c r="E322" s="25" t="n">
        <v>45309</v>
      </c>
      <c r="F322" s="25" t="n">
        <v>45411</v>
      </c>
      <c r="G322" s="72" t="n">
        <v>72</v>
      </c>
      <c r="H322" s="320" t="n">
        <v>72</v>
      </c>
      <c r="I322" s="320" t="n">
        <v>0</v>
      </c>
      <c r="J322" s="52" t="s">
        <v>792</v>
      </c>
      <c r="K322" s="36" t="n">
        <v>50000</v>
      </c>
      <c r="L322" s="36" t="n">
        <v>129600</v>
      </c>
      <c r="M322" s="29" t="n">
        <v>9000</v>
      </c>
      <c r="N322" s="30" t="n">
        <v>4600</v>
      </c>
      <c r="O322" s="30" t="n">
        <v>129600</v>
      </c>
      <c r="P322" s="36" t="n">
        <v>0</v>
      </c>
      <c r="Q322" s="302" t="n">
        <v>45425</v>
      </c>
    </row>
    <row r="323" customFormat="false" ht="14.25" hidden="true" customHeight="false" outlineLevel="0" collapsed="false">
      <c r="A323" s="327" t="n">
        <v>2561</v>
      </c>
      <c r="B323" s="34" t="s">
        <v>861</v>
      </c>
      <c r="C323" s="34"/>
      <c r="D323" s="34"/>
      <c r="E323" s="25" t="n">
        <v>45388</v>
      </c>
      <c r="F323" s="25" t="n">
        <v>45419</v>
      </c>
      <c r="G323" s="72" t="n">
        <v>22</v>
      </c>
      <c r="H323" s="320" t="e">
        <f aca="false">#DIV/0!</f>
        <v>#DIV/0!</v>
      </c>
      <c r="I323" s="320" t="e">
        <f aca="false">#DIV/0!</f>
        <v>#DIV/0!</v>
      </c>
      <c r="J323" s="52" t="s">
        <v>751</v>
      </c>
      <c r="K323" s="36" t="n">
        <v>16000</v>
      </c>
      <c r="L323" s="36" t="n">
        <v>24000</v>
      </c>
      <c r="M323" s="29"/>
      <c r="N323" s="30" t="n">
        <v>24000</v>
      </c>
      <c r="O323" s="30" t="n">
        <v>24000</v>
      </c>
      <c r="P323" s="36" t="n">
        <v>0</v>
      </c>
      <c r="Q323" s="302" t="n">
        <v>45425</v>
      </c>
    </row>
    <row r="324" customFormat="false" ht="14.25" hidden="true" customHeight="false" outlineLevel="0" collapsed="false">
      <c r="A324" s="327" t="n">
        <v>2565</v>
      </c>
      <c r="B324" s="34" t="s">
        <v>861</v>
      </c>
      <c r="C324" s="34"/>
      <c r="D324" s="34"/>
      <c r="E324" s="25" t="n">
        <v>45391</v>
      </c>
      <c r="F324" s="25" t="n">
        <v>45421</v>
      </c>
      <c r="G324" s="72" t="n">
        <v>22</v>
      </c>
      <c r="H324" s="320" t="e">
        <f aca="false">#DIV/0!</f>
        <v>#DIV/0!</v>
      </c>
      <c r="I324" s="320" t="e">
        <f aca="false">#DIV/0!</f>
        <v>#DIV/0!</v>
      </c>
      <c r="J324" s="52" t="s">
        <v>751</v>
      </c>
      <c r="K324" s="36" t="n">
        <v>30000</v>
      </c>
      <c r="L324" s="36" t="n">
        <v>48000</v>
      </c>
      <c r="M324" s="29"/>
      <c r="N324" s="30" t="n">
        <v>48000</v>
      </c>
      <c r="O324" s="30" t="n">
        <v>48000</v>
      </c>
      <c r="P324" s="36" t="n">
        <v>0</v>
      </c>
      <c r="Q324" s="302" t="n">
        <v>45425</v>
      </c>
    </row>
    <row r="325" customFormat="false" ht="14.25" hidden="true" customHeight="false" outlineLevel="0" collapsed="false">
      <c r="A325" s="327" t="n">
        <v>2593</v>
      </c>
      <c r="B325" s="34" t="s">
        <v>861</v>
      </c>
      <c r="C325" s="34"/>
      <c r="D325" s="34"/>
      <c r="E325" s="25" t="n">
        <v>45406</v>
      </c>
      <c r="F325" s="25" t="n">
        <v>45436</v>
      </c>
      <c r="G325" s="72" t="n">
        <v>22</v>
      </c>
      <c r="H325" s="320" t="e">
        <f aca="false">#DIV/0!</f>
        <v>#DIV/0!</v>
      </c>
      <c r="I325" s="320" t="e">
        <f aca="false">#DIV/0!</f>
        <v>#DIV/0!</v>
      </c>
      <c r="J325" s="52" t="s">
        <v>751</v>
      </c>
      <c r="K325" s="31" t="n">
        <v>30000</v>
      </c>
      <c r="L325" s="31" t="n">
        <v>45000</v>
      </c>
      <c r="M325" s="29"/>
      <c r="N325" s="30" t="n">
        <v>45000</v>
      </c>
      <c r="O325" s="30" t="n">
        <v>45000</v>
      </c>
      <c r="P325" s="36" t="n">
        <v>0</v>
      </c>
      <c r="Q325" s="302" t="n">
        <v>45425</v>
      </c>
    </row>
    <row r="326" customFormat="false" ht="26.1" hidden="true" customHeight="false" outlineLevel="0" collapsed="false">
      <c r="A326" s="327" t="n">
        <v>2597</v>
      </c>
      <c r="B326" s="34" t="s">
        <v>758</v>
      </c>
      <c r="C326" s="34"/>
      <c r="D326" s="34"/>
      <c r="E326" s="25" t="n">
        <v>45409</v>
      </c>
      <c r="F326" s="25" t="n">
        <v>45425</v>
      </c>
      <c r="G326" s="72" t="n">
        <v>11</v>
      </c>
      <c r="H326" s="320" t="e">
        <f aca="false">#DIV/0!</f>
        <v>#DIV/0!</v>
      </c>
      <c r="I326" s="320" t="e">
        <f aca="false">#DIV/0!</f>
        <v>#DIV/0!</v>
      </c>
      <c r="J326" s="52" t="s">
        <v>751</v>
      </c>
      <c r="K326" s="36" t="n">
        <v>15000</v>
      </c>
      <c r="L326" s="36" t="n">
        <v>22000</v>
      </c>
      <c r="M326" s="29"/>
      <c r="N326" s="30" t="n">
        <v>22000</v>
      </c>
      <c r="O326" s="30" t="n">
        <v>22000</v>
      </c>
      <c r="P326" s="36" t="n">
        <v>0</v>
      </c>
      <c r="Q326" s="302" t="n">
        <v>45425</v>
      </c>
    </row>
    <row r="327" customFormat="false" ht="17.9" hidden="true" customHeight="false" outlineLevel="0" collapsed="false">
      <c r="A327" s="327" t="n">
        <v>2571</v>
      </c>
      <c r="B327" s="34" t="s">
        <v>984</v>
      </c>
      <c r="C327" s="34"/>
      <c r="D327" s="34"/>
      <c r="E327" s="25" t="n">
        <v>45394</v>
      </c>
      <c r="F327" s="25" t="n">
        <v>45422</v>
      </c>
      <c r="G327" s="72" t="n">
        <v>20</v>
      </c>
      <c r="H327" s="320" t="e">
        <f aca="false">#DIV/0!</f>
        <v>#DIV/0!</v>
      </c>
      <c r="I327" s="320" t="e">
        <f aca="false">#DIV/0!</f>
        <v>#DIV/0!</v>
      </c>
      <c r="J327" s="52" t="s">
        <v>751</v>
      </c>
      <c r="K327" s="31" t="n">
        <v>16000</v>
      </c>
      <c r="L327" s="31" t="n">
        <v>24000</v>
      </c>
      <c r="M327" s="37"/>
      <c r="N327" s="30" t="n">
        <v>24000</v>
      </c>
      <c r="O327" s="30" t="n">
        <v>24000</v>
      </c>
      <c r="P327" s="36" t="n">
        <v>0</v>
      </c>
      <c r="Q327" s="302" t="n">
        <v>45425</v>
      </c>
    </row>
    <row r="328" customFormat="false" ht="58.95" hidden="true" customHeight="false" outlineLevel="0" collapsed="false">
      <c r="A328" s="327" t="n">
        <v>2074</v>
      </c>
      <c r="B328" s="34" t="s">
        <v>584</v>
      </c>
      <c r="C328" s="34" t="s">
        <v>585</v>
      </c>
      <c r="D328" s="34"/>
      <c r="E328" s="25" t="n">
        <v>45043</v>
      </c>
      <c r="F328" s="25" t="n">
        <v>45379</v>
      </c>
      <c r="G328" s="72" t="n">
        <v>240</v>
      </c>
      <c r="H328" s="320" t="n">
        <v>243.588541666667</v>
      </c>
      <c r="I328" s="320" t="n">
        <v>-3.58854166666666</v>
      </c>
      <c r="J328" s="34" t="s">
        <v>985</v>
      </c>
      <c r="K328" s="31" t="n">
        <v>200000</v>
      </c>
      <c r="L328" s="31" t="n">
        <v>460800</v>
      </c>
      <c r="M328" s="29" t="n">
        <v>9600</v>
      </c>
      <c r="N328" s="30" t="n">
        <v>9600</v>
      </c>
      <c r="O328" s="30" t="n">
        <v>467690</v>
      </c>
      <c r="P328" s="36" t="n">
        <v>-6890</v>
      </c>
      <c r="Q328" s="302" t="n">
        <v>45425</v>
      </c>
    </row>
    <row r="329" customFormat="false" ht="26.1" hidden="true" customHeight="false" outlineLevel="0" collapsed="false">
      <c r="A329" s="327" t="n">
        <v>2356</v>
      </c>
      <c r="B329" s="34" t="s">
        <v>336</v>
      </c>
      <c r="C329" s="34" t="s">
        <v>337</v>
      </c>
      <c r="D329" s="34"/>
      <c r="E329" s="25" t="n">
        <v>45261</v>
      </c>
      <c r="F329" s="25" t="n">
        <v>45485</v>
      </c>
      <c r="G329" s="72" t="n">
        <v>160</v>
      </c>
      <c r="H329" s="320" t="n">
        <v>120</v>
      </c>
      <c r="I329" s="320" t="n">
        <v>40</v>
      </c>
      <c r="J329" s="52" t="s">
        <v>986</v>
      </c>
      <c r="K329" s="31" t="n">
        <v>41530</v>
      </c>
      <c r="L329" s="31" t="n">
        <v>109620</v>
      </c>
      <c r="M329" s="37" t="n">
        <v>4567.5</v>
      </c>
      <c r="N329" s="30" t="n">
        <v>18810</v>
      </c>
      <c r="O329" s="30" t="n">
        <v>109620</v>
      </c>
      <c r="P329" s="36" t="n">
        <v>0</v>
      </c>
      <c r="Q329" s="302" t="n">
        <v>45432</v>
      </c>
    </row>
    <row r="330" customFormat="false" ht="26.1" hidden="true" customHeight="false" outlineLevel="0" collapsed="false">
      <c r="A330" s="327" t="n">
        <v>2470</v>
      </c>
      <c r="B330" s="34" t="s">
        <v>336</v>
      </c>
      <c r="C330" s="34" t="s">
        <v>337</v>
      </c>
      <c r="D330" s="34"/>
      <c r="E330" s="25" t="n">
        <v>45335</v>
      </c>
      <c r="F330" s="25" t="n">
        <v>45435</v>
      </c>
      <c r="G330" s="72" t="n">
        <v>72</v>
      </c>
      <c r="H330" s="320" t="n">
        <v>72</v>
      </c>
      <c r="I330" s="320" t="n">
        <v>0</v>
      </c>
      <c r="J330" s="34" t="s">
        <v>749</v>
      </c>
      <c r="K330" s="31" t="n">
        <v>20000</v>
      </c>
      <c r="L330" s="31" t="n">
        <v>43200</v>
      </c>
      <c r="M330" s="37" t="n">
        <v>3000</v>
      </c>
      <c r="N330" s="30" t="n">
        <v>19740</v>
      </c>
      <c r="O330" s="30" t="n">
        <v>43200</v>
      </c>
      <c r="P330" s="36" t="n">
        <v>0</v>
      </c>
      <c r="Q330" s="302" t="n">
        <v>45432</v>
      </c>
    </row>
    <row r="331" customFormat="false" ht="17.9" hidden="true" customHeight="false" outlineLevel="0" collapsed="false">
      <c r="A331" s="329" t="n">
        <v>2153</v>
      </c>
      <c r="B331" s="34" t="s">
        <v>369</v>
      </c>
      <c r="C331" s="34"/>
      <c r="D331" s="34"/>
      <c r="E331" s="25" t="n">
        <v>45117</v>
      </c>
      <c r="F331" s="25" t="n">
        <v>45397</v>
      </c>
      <c r="G331" s="72" t="n">
        <v>200</v>
      </c>
      <c r="H331" s="320" t="n">
        <v>200</v>
      </c>
      <c r="I331" s="320" t="n">
        <v>0</v>
      </c>
      <c r="J331" s="52" t="s">
        <v>987</v>
      </c>
      <c r="K331" s="31" t="n">
        <v>100000</v>
      </c>
      <c r="L331" s="31" t="n">
        <v>270000</v>
      </c>
      <c r="M331" s="37" t="n">
        <v>6750</v>
      </c>
      <c r="N331" s="30" t="n">
        <v>27000</v>
      </c>
      <c r="O331" s="30" t="n">
        <v>270000</v>
      </c>
      <c r="P331" s="36" t="n">
        <v>0</v>
      </c>
      <c r="Q331" s="302" t="n">
        <v>45432</v>
      </c>
    </row>
    <row r="332" customFormat="false" ht="42" hidden="true" customHeight="false" outlineLevel="0" collapsed="false">
      <c r="A332" s="327" t="n">
        <v>2198</v>
      </c>
      <c r="B332" s="34" t="s">
        <v>407</v>
      </c>
      <c r="C332" s="34" t="s">
        <v>397</v>
      </c>
      <c r="D332" s="34"/>
      <c r="E332" s="25" t="n">
        <v>45146</v>
      </c>
      <c r="F332" s="25" t="n">
        <v>45300</v>
      </c>
      <c r="G332" s="72" t="n">
        <v>110</v>
      </c>
      <c r="H332" s="320" t="n">
        <v>119.69696969697</v>
      </c>
      <c r="I332" s="320" t="n">
        <v>-9.6969696969697</v>
      </c>
      <c r="J332" s="68" t="s">
        <v>988</v>
      </c>
      <c r="K332" s="36" t="n">
        <v>30000</v>
      </c>
      <c r="L332" s="36" t="n">
        <v>79200</v>
      </c>
      <c r="M332" s="29" t="n">
        <v>3300</v>
      </c>
      <c r="N332" s="30" t="n">
        <v>32000</v>
      </c>
      <c r="O332" s="30" t="n">
        <v>79000</v>
      </c>
      <c r="P332" s="36" t="n">
        <v>200</v>
      </c>
      <c r="Q332" s="302" t="n">
        <v>45432</v>
      </c>
    </row>
    <row r="333" customFormat="false" ht="42" hidden="true" customHeight="false" outlineLevel="0" collapsed="false">
      <c r="A333" s="327" t="n">
        <v>2322</v>
      </c>
      <c r="B333" s="34" t="s">
        <v>407</v>
      </c>
      <c r="C333" s="34" t="s">
        <v>397</v>
      </c>
      <c r="D333" s="34"/>
      <c r="E333" s="25" t="n">
        <v>45233</v>
      </c>
      <c r="F333" s="25" t="n">
        <v>45387</v>
      </c>
      <c r="G333" s="72" t="n">
        <v>110</v>
      </c>
      <c r="H333" s="320" t="n">
        <v>112.8125</v>
      </c>
      <c r="I333" s="320" t="n">
        <v>-2.8125</v>
      </c>
      <c r="J333" s="68" t="s">
        <v>221</v>
      </c>
      <c r="K333" s="31" t="n">
        <v>200000</v>
      </c>
      <c r="L333" s="31" t="n">
        <v>528000</v>
      </c>
      <c r="M333" s="29" t="n">
        <v>24000</v>
      </c>
      <c r="N333" s="30" t="n">
        <v>20500</v>
      </c>
      <c r="O333" s="30" t="n">
        <v>541500</v>
      </c>
      <c r="P333" s="36" t="n">
        <v>-13500</v>
      </c>
      <c r="Q333" s="302" t="n">
        <v>45432</v>
      </c>
    </row>
    <row r="334" customFormat="false" ht="17.9" hidden="true" customHeight="false" outlineLevel="0" collapsed="false">
      <c r="A334" s="327" t="n">
        <v>2630</v>
      </c>
      <c r="B334" s="34" t="s">
        <v>429</v>
      </c>
      <c r="C334" s="34"/>
      <c r="D334" s="34"/>
      <c r="E334" s="25" t="n">
        <v>45429</v>
      </c>
      <c r="F334" s="25" t="n">
        <v>45436</v>
      </c>
      <c r="G334" s="72" t="n">
        <v>5</v>
      </c>
      <c r="H334" s="320" t="e">
        <f aca="false">#DIV/0!</f>
        <v>#DIV/0!</v>
      </c>
      <c r="I334" s="320" t="e">
        <f aca="false">#DIV/0!</f>
        <v>#DIV/0!</v>
      </c>
      <c r="J334" s="52" t="s">
        <v>751</v>
      </c>
      <c r="K334" s="45" t="n">
        <v>50000</v>
      </c>
      <c r="L334" s="31" t="n">
        <v>65000</v>
      </c>
      <c r="M334" s="37"/>
      <c r="N334" s="30" t="n">
        <v>65000</v>
      </c>
      <c r="O334" s="30" t="n">
        <v>65000</v>
      </c>
      <c r="P334" s="36" t="n">
        <v>0</v>
      </c>
      <c r="Q334" s="302" t="n">
        <v>45432</v>
      </c>
    </row>
    <row r="335" customFormat="false" ht="34.3" hidden="true" customHeight="false" outlineLevel="0" collapsed="false">
      <c r="A335" s="327" t="n">
        <v>2377</v>
      </c>
      <c r="B335" s="34" t="s">
        <v>789</v>
      </c>
      <c r="C335" s="34" t="s">
        <v>495</v>
      </c>
      <c r="D335" s="34"/>
      <c r="E335" s="25" t="n">
        <v>45279</v>
      </c>
      <c r="F335" s="25" t="n">
        <v>45461</v>
      </c>
      <c r="G335" s="72" t="n">
        <v>130</v>
      </c>
      <c r="H335" s="320" t="n">
        <v>130.010834236186</v>
      </c>
      <c r="I335" s="320" t="n">
        <v>-0.0108342361863549</v>
      </c>
      <c r="J335" s="34" t="s">
        <v>989</v>
      </c>
      <c r="K335" s="36" t="n">
        <v>100000</v>
      </c>
      <c r="L335" s="36" t="n">
        <v>264000</v>
      </c>
      <c r="M335" s="29" t="n">
        <v>10153</v>
      </c>
      <c r="N335" s="30" t="n">
        <v>61000</v>
      </c>
      <c r="O335" s="30" t="n">
        <v>264000</v>
      </c>
      <c r="P335" s="36" t="n">
        <v>0</v>
      </c>
      <c r="Q335" s="302" t="n">
        <v>45432</v>
      </c>
    </row>
    <row r="336" customFormat="false" ht="17.9" hidden="true" customHeight="false" outlineLevel="0" collapsed="false">
      <c r="A336" s="327" t="n">
        <v>2501</v>
      </c>
      <c r="B336" s="34" t="s">
        <v>599</v>
      </c>
      <c r="C336" s="34"/>
      <c r="D336" s="34"/>
      <c r="E336" s="25" t="n">
        <v>45350</v>
      </c>
      <c r="F336" s="25" t="n">
        <v>45450</v>
      </c>
      <c r="G336" s="72" t="n">
        <v>72</v>
      </c>
      <c r="H336" s="320" t="n">
        <v>72</v>
      </c>
      <c r="I336" s="320" t="n">
        <v>0</v>
      </c>
      <c r="J336" s="34" t="s">
        <v>774</v>
      </c>
      <c r="K336" s="36" t="n">
        <v>25000</v>
      </c>
      <c r="L336" s="36" t="n">
        <v>54000</v>
      </c>
      <c r="M336" s="29" t="n">
        <v>3750</v>
      </c>
      <c r="N336" s="30" t="n">
        <v>9000</v>
      </c>
      <c r="O336" s="30" t="n">
        <v>54000</v>
      </c>
      <c r="P336" s="36" t="n">
        <v>0</v>
      </c>
      <c r="Q336" s="302" t="n">
        <v>45432</v>
      </c>
    </row>
    <row r="337" customFormat="false" ht="17.9" hidden="true" customHeight="false" outlineLevel="0" collapsed="false">
      <c r="A337" s="327" t="n">
        <v>2637</v>
      </c>
      <c r="B337" s="34" t="s">
        <v>429</v>
      </c>
      <c r="C337" s="34"/>
      <c r="D337" s="34"/>
      <c r="E337" s="25" t="n">
        <v>45437</v>
      </c>
      <c r="F337" s="25" t="n">
        <v>45443</v>
      </c>
      <c r="G337" s="72" t="n">
        <v>5</v>
      </c>
      <c r="H337" s="320" t="e">
        <f aca="false">#DIV/0!</f>
        <v>#DIV/0!</v>
      </c>
      <c r="I337" s="320" t="e">
        <f aca="false">#DIV/0!</f>
        <v>#DIV/0!</v>
      </c>
      <c r="J337" s="52" t="s">
        <v>751</v>
      </c>
      <c r="K337" s="46" t="n">
        <v>50000</v>
      </c>
      <c r="L337" s="36" t="n">
        <v>65000</v>
      </c>
      <c r="M337" s="29"/>
      <c r="N337" s="30" t="n">
        <v>65000</v>
      </c>
      <c r="O337" s="30" t="n">
        <v>65000</v>
      </c>
      <c r="P337" s="36" t="n">
        <v>0</v>
      </c>
      <c r="Q337" s="302" t="n">
        <v>45439</v>
      </c>
    </row>
    <row r="338" customFormat="false" ht="42" hidden="true" customHeight="false" outlineLevel="0" collapsed="false">
      <c r="A338" s="327" t="n">
        <v>2480</v>
      </c>
      <c r="B338" s="34" t="s">
        <v>430</v>
      </c>
      <c r="C338" s="34" t="s">
        <v>431</v>
      </c>
      <c r="D338" s="34"/>
      <c r="E338" s="25" t="n">
        <v>45339</v>
      </c>
      <c r="F338" s="25" t="n">
        <v>45450</v>
      </c>
      <c r="G338" s="72" t="n">
        <v>80</v>
      </c>
      <c r="H338" s="320" t="n">
        <v>80</v>
      </c>
      <c r="I338" s="320" t="n">
        <v>0</v>
      </c>
      <c r="J338" s="330" t="s">
        <v>932</v>
      </c>
      <c r="K338" s="36" t="n">
        <v>30000</v>
      </c>
      <c r="L338" s="36" t="n">
        <v>64800</v>
      </c>
      <c r="M338" s="29" t="n">
        <v>4050</v>
      </c>
      <c r="N338" s="30" t="n">
        <v>16200</v>
      </c>
      <c r="O338" s="30" t="n">
        <v>64800</v>
      </c>
      <c r="P338" s="36" t="n">
        <v>0</v>
      </c>
      <c r="Q338" s="302" t="n">
        <v>45439</v>
      </c>
    </row>
    <row r="339" customFormat="false" ht="42" hidden="true" customHeight="false" outlineLevel="0" collapsed="false">
      <c r="A339" s="327" t="n">
        <v>2495</v>
      </c>
      <c r="B339" s="34" t="s">
        <v>430</v>
      </c>
      <c r="C339" s="34" t="s">
        <v>431</v>
      </c>
      <c r="D339" s="34"/>
      <c r="E339" s="331" t="n">
        <v>45347</v>
      </c>
      <c r="F339" s="25" t="n">
        <v>45454</v>
      </c>
      <c r="G339" s="72" t="n">
        <v>77</v>
      </c>
      <c r="H339" s="320" t="n">
        <v>80</v>
      </c>
      <c r="I339" s="320" t="n">
        <v>-3</v>
      </c>
      <c r="J339" s="330" t="s">
        <v>990</v>
      </c>
      <c r="K339" s="31" t="n">
        <v>20000</v>
      </c>
      <c r="L339" s="31" t="n">
        <v>43200</v>
      </c>
      <c r="M339" s="29" t="n">
        <v>2700</v>
      </c>
      <c r="N339" s="30" t="n">
        <v>10800</v>
      </c>
      <c r="O339" s="30" t="n">
        <v>43200</v>
      </c>
      <c r="P339" s="36" t="n">
        <v>0</v>
      </c>
      <c r="Q339" s="302" t="n">
        <v>45439</v>
      </c>
    </row>
    <row r="340" customFormat="false" ht="34.3" hidden="true" customHeight="false" outlineLevel="0" collapsed="false">
      <c r="A340" s="327" t="n">
        <v>2447</v>
      </c>
      <c r="B340" s="34" t="s">
        <v>450</v>
      </c>
      <c r="C340" s="34" t="s">
        <v>451</v>
      </c>
      <c r="D340" s="34"/>
      <c r="E340" s="25" t="n">
        <v>45320</v>
      </c>
      <c r="F340" s="25" t="n">
        <v>45420</v>
      </c>
      <c r="G340" s="72" t="n">
        <v>72</v>
      </c>
      <c r="H340" s="320" t="n">
        <v>72</v>
      </c>
      <c r="I340" s="320" t="n">
        <v>0</v>
      </c>
      <c r="J340" s="34" t="s">
        <v>769</v>
      </c>
      <c r="K340" s="36" t="n">
        <v>10000</v>
      </c>
      <c r="L340" s="36" t="n">
        <v>21600</v>
      </c>
      <c r="M340" s="29" t="n">
        <v>1500</v>
      </c>
      <c r="N340" s="30" t="n">
        <v>2600</v>
      </c>
      <c r="O340" s="30" t="n">
        <v>21600</v>
      </c>
      <c r="P340" s="36" t="n">
        <v>0</v>
      </c>
      <c r="Q340" s="302" t="n">
        <v>45439</v>
      </c>
    </row>
    <row r="341" customFormat="false" ht="26.1" hidden="true" customHeight="false" outlineLevel="0" collapsed="false">
      <c r="A341" s="327" t="n">
        <v>2471</v>
      </c>
      <c r="B341" s="34" t="s">
        <v>991</v>
      </c>
      <c r="C341" s="34" t="s">
        <v>292</v>
      </c>
      <c r="D341" s="34"/>
      <c r="E341" s="25" t="n">
        <v>45335</v>
      </c>
      <c r="F341" s="25" t="n">
        <v>45435</v>
      </c>
      <c r="G341" s="72" t="n">
        <v>72</v>
      </c>
      <c r="H341" s="320" t="n">
        <v>72</v>
      </c>
      <c r="I341" s="320" t="n">
        <v>0</v>
      </c>
      <c r="J341" s="34" t="s">
        <v>627</v>
      </c>
      <c r="K341" s="36" t="n">
        <v>40000</v>
      </c>
      <c r="L341" s="36" t="n">
        <v>86400</v>
      </c>
      <c r="M341" s="29" t="n">
        <v>6000</v>
      </c>
      <c r="N341" s="30" t="n">
        <v>6000</v>
      </c>
      <c r="O341" s="30" t="n">
        <v>86400</v>
      </c>
      <c r="P341" s="36" t="n">
        <v>0</v>
      </c>
      <c r="Q341" s="302" t="n">
        <v>45439</v>
      </c>
    </row>
    <row r="342" customFormat="false" ht="26.1" hidden="true" customHeight="false" outlineLevel="0" collapsed="false">
      <c r="A342" s="332" t="n">
        <v>2614</v>
      </c>
      <c r="B342" s="34" t="s">
        <v>794</v>
      </c>
      <c r="C342" s="34" t="s">
        <v>880</v>
      </c>
      <c r="D342" s="34"/>
      <c r="E342" s="25" t="n">
        <v>45421</v>
      </c>
      <c r="F342" s="25" t="n">
        <v>45449</v>
      </c>
      <c r="G342" s="50" t="n">
        <v>20</v>
      </c>
      <c r="H342" s="320" t="e">
        <f aca="false">#DIV/0!</f>
        <v>#DIV/0!</v>
      </c>
      <c r="I342" s="320" t="e">
        <f aca="false">#DIV/0!</f>
        <v>#DIV/0!</v>
      </c>
      <c r="J342" s="52" t="s">
        <v>751</v>
      </c>
      <c r="K342" s="31" t="n">
        <v>50000</v>
      </c>
      <c r="L342" s="31" t="n">
        <v>85000</v>
      </c>
      <c r="M342" s="37"/>
      <c r="N342" s="30"/>
      <c r="O342" s="30" t="n">
        <v>85000</v>
      </c>
      <c r="P342" s="36" t="n">
        <v>0</v>
      </c>
      <c r="Q342" s="302" t="n">
        <v>45446</v>
      </c>
    </row>
    <row r="343" customFormat="false" ht="17.9" hidden="true" customHeight="false" outlineLevel="0" collapsed="false">
      <c r="A343" s="332" t="n">
        <v>2257</v>
      </c>
      <c r="B343" s="34" t="s">
        <v>392</v>
      </c>
      <c r="C343" s="34" t="s">
        <v>393</v>
      </c>
      <c r="D343" s="34"/>
      <c r="E343" s="25" t="n">
        <v>45187</v>
      </c>
      <c r="F343" s="25" t="n">
        <v>45411</v>
      </c>
      <c r="G343" s="50" t="n">
        <v>160</v>
      </c>
      <c r="H343" s="320" t="n">
        <v>160</v>
      </c>
      <c r="I343" s="320" t="n">
        <v>0</v>
      </c>
      <c r="J343" s="68" t="s">
        <v>992</v>
      </c>
      <c r="K343" s="31" t="n">
        <v>40000</v>
      </c>
      <c r="L343" s="31" t="n">
        <v>124800</v>
      </c>
      <c r="M343" s="37" t="n">
        <v>3900</v>
      </c>
      <c r="N343" s="30"/>
      <c r="O343" s="30" t="n">
        <v>124800</v>
      </c>
      <c r="P343" s="36" t="n">
        <v>0</v>
      </c>
      <c r="Q343" s="302" t="n">
        <v>45446</v>
      </c>
    </row>
    <row r="344" customFormat="false" ht="17.9" hidden="true" customHeight="false" outlineLevel="0" collapsed="false">
      <c r="A344" s="332" t="n">
        <v>2650</v>
      </c>
      <c r="B344" s="34" t="s">
        <v>429</v>
      </c>
      <c r="C344" s="34"/>
      <c r="D344" s="34"/>
      <c r="E344" s="25" t="n">
        <v>45443</v>
      </c>
      <c r="F344" s="25" t="n">
        <v>45450</v>
      </c>
      <c r="G344" s="50" t="n">
        <v>5</v>
      </c>
      <c r="H344" s="320" t="e">
        <f aca="false">#VALUE!</f>
        <v>#VALUE!</v>
      </c>
      <c r="I344" s="320" t="e">
        <f aca="false">#VALUE!</f>
        <v>#VALUE!</v>
      </c>
      <c r="J344" s="52" t="s">
        <v>993</v>
      </c>
      <c r="K344" s="45" t="n">
        <v>20000</v>
      </c>
      <c r="L344" s="31" t="n">
        <v>26000</v>
      </c>
      <c r="M344" s="37" t="s">
        <v>214</v>
      </c>
      <c r="N344" s="30"/>
      <c r="O344" s="30" t="n">
        <v>26000</v>
      </c>
      <c r="P344" s="36" t="n">
        <v>0</v>
      </c>
      <c r="Q344" s="302" t="n">
        <v>45446</v>
      </c>
    </row>
    <row r="345" customFormat="false" ht="34.3" hidden="true" customHeight="false" outlineLevel="0" collapsed="false">
      <c r="A345" s="332" t="n">
        <v>2367</v>
      </c>
      <c r="B345" s="34" t="s">
        <v>444</v>
      </c>
      <c r="C345" s="34" t="s">
        <v>445</v>
      </c>
      <c r="D345" s="34"/>
      <c r="E345" s="25" t="n">
        <v>45268</v>
      </c>
      <c r="F345" s="25" t="n">
        <v>45429</v>
      </c>
      <c r="G345" s="50" t="n">
        <v>115</v>
      </c>
      <c r="H345" s="320" t="n">
        <v>115</v>
      </c>
      <c r="I345" s="320" t="n">
        <v>0</v>
      </c>
      <c r="J345" s="34" t="s">
        <v>994</v>
      </c>
      <c r="K345" s="36" t="n">
        <v>100000</v>
      </c>
      <c r="L345" s="36" t="n">
        <v>264500</v>
      </c>
      <c r="M345" s="37" t="n">
        <v>11500</v>
      </c>
      <c r="N345" s="30"/>
      <c r="O345" s="30" t="n">
        <v>264500</v>
      </c>
      <c r="P345" s="36" t="n">
        <v>0</v>
      </c>
      <c r="Q345" s="302" t="n">
        <v>45446</v>
      </c>
    </row>
    <row r="346" customFormat="false" ht="42" hidden="true" customHeight="false" outlineLevel="0" collapsed="false">
      <c r="A346" s="332" t="n">
        <v>2378</v>
      </c>
      <c r="B346" s="34" t="s">
        <v>833</v>
      </c>
      <c r="C346" s="34" t="s">
        <v>834</v>
      </c>
      <c r="D346" s="34"/>
      <c r="E346" s="25" t="n">
        <v>45279</v>
      </c>
      <c r="F346" s="25" t="n">
        <v>45461</v>
      </c>
      <c r="G346" s="50" t="n">
        <v>130</v>
      </c>
      <c r="H346" s="320" t="n">
        <v>130.00013000013</v>
      </c>
      <c r="I346" s="320" t="n">
        <v>-0.000130000129985319</v>
      </c>
      <c r="J346" s="52" t="s">
        <v>995</v>
      </c>
      <c r="K346" s="36" t="n">
        <v>40000</v>
      </c>
      <c r="L346" s="36" t="n">
        <v>120000</v>
      </c>
      <c r="M346" s="29" t="n">
        <v>4615.38</v>
      </c>
      <c r="N346" s="30"/>
      <c r="O346" s="30" t="n">
        <v>120000</v>
      </c>
      <c r="P346" s="36" t="n">
        <v>0</v>
      </c>
      <c r="Q346" s="302" t="n">
        <v>45446</v>
      </c>
    </row>
    <row r="347" customFormat="false" ht="26.1" hidden="true" customHeight="false" outlineLevel="0" collapsed="false">
      <c r="A347" s="332" t="n">
        <v>2606</v>
      </c>
      <c r="B347" s="34" t="s">
        <v>754</v>
      </c>
      <c r="C347" s="34" t="s">
        <v>755</v>
      </c>
      <c r="D347" s="34"/>
      <c r="E347" s="25" t="n">
        <v>45415</v>
      </c>
      <c r="F347" s="25" t="n">
        <v>45443</v>
      </c>
      <c r="G347" s="50" t="n">
        <v>20</v>
      </c>
      <c r="H347" s="320" t="e">
        <f aca="false">#DIV/0!</f>
        <v>#DIV/0!</v>
      </c>
      <c r="I347" s="320" t="e">
        <f aca="false">#DIV/0!</f>
        <v>#DIV/0!</v>
      </c>
      <c r="J347" s="52" t="s">
        <v>751</v>
      </c>
      <c r="K347" s="36" t="n">
        <v>40000</v>
      </c>
      <c r="L347" s="36" t="n">
        <v>60000</v>
      </c>
      <c r="M347" s="29"/>
      <c r="N347" s="30"/>
      <c r="O347" s="30" t="n">
        <v>60000</v>
      </c>
      <c r="P347" s="36" t="n">
        <v>0</v>
      </c>
      <c r="Q347" s="302" t="n">
        <v>45446</v>
      </c>
    </row>
    <row r="348" customFormat="false" ht="34.3" hidden="true" customHeight="false" outlineLevel="0" collapsed="false">
      <c r="A348" s="332" t="n">
        <v>2500</v>
      </c>
      <c r="B348" s="34" t="s">
        <v>503</v>
      </c>
      <c r="C348" s="34" t="s">
        <v>241</v>
      </c>
      <c r="D348" s="34"/>
      <c r="E348" s="25" t="n">
        <v>45350</v>
      </c>
      <c r="F348" s="25" t="n">
        <v>45450</v>
      </c>
      <c r="G348" s="50" t="n">
        <v>72</v>
      </c>
      <c r="H348" s="320" t="n">
        <v>72</v>
      </c>
      <c r="I348" s="320" t="n">
        <v>0</v>
      </c>
      <c r="J348" s="34" t="s">
        <v>996</v>
      </c>
      <c r="K348" s="31" t="n">
        <v>70000</v>
      </c>
      <c r="L348" s="31" t="n">
        <v>151200</v>
      </c>
      <c r="M348" s="37" t="n">
        <v>10500</v>
      </c>
      <c r="N348" s="30"/>
      <c r="O348" s="30" t="n">
        <v>151200</v>
      </c>
      <c r="P348" s="36" t="n">
        <v>0</v>
      </c>
      <c r="Q348" s="302" t="n">
        <v>45446</v>
      </c>
    </row>
    <row r="349" customFormat="false" ht="26.1" hidden="true" customHeight="false" outlineLevel="0" collapsed="false">
      <c r="A349" s="332" t="n">
        <v>2347</v>
      </c>
      <c r="B349" s="34" t="s">
        <v>507</v>
      </c>
      <c r="C349" s="34" t="s">
        <v>241</v>
      </c>
      <c r="D349" s="34"/>
      <c r="E349" s="25" t="n">
        <v>45254</v>
      </c>
      <c r="F349" s="25" t="n">
        <v>45450</v>
      </c>
      <c r="G349" s="50" t="n">
        <v>140</v>
      </c>
      <c r="H349" s="320" t="n">
        <v>140</v>
      </c>
      <c r="I349" s="320" t="n">
        <v>0</v>
      </c>
      <c r="J349" s="52" t="s">
        <v>997</v>
      </c>
      <c r="K349" s="36" t="n">
        <v>100000</v>
      </c>
      <c r="L349" s="36" t="n">
        <v>264005</v>
      </c>
      <c r="M349" s="37" t="n">
        <v>9428.75</v>
      </c>
      <c r="N349" s="30"/>
      <c r="O349" s="30" t="n">
        <v>264005</v>
      </c>
      <c r="P349" s="36" t="n">
        <v>0</v>
      </c>
      <c r="Q349" s="302" t="n">
        <v>45446</v>
      </c>
    </row>
    <row r="350" customFormat="false" ht="26.1" hidden="true" customHeight="false" outlineLevel="0" collapsed="false">
      <c r="A350" s="332" t="n">
        <v>2389</v>
      </c>
      <c r="B350" s="34" t="s">
        <v>251</v>
      </c>
      <c r="C350" s="34" t="s">
        <v>252</v>
      </c>
      <c r="D350" s="34" t="s">
        <v>253</v>
      </c>
      <c r="E350" s="25" t="n">
        <v>45288</v>
      </c>
      <c r="F350" s="25" t="n">
        <v>45428</v>
      </c>
      <c r="G350" s="50" t="n">
        <v>100</v>
      </c>
      <c r="H350" s="320" t="n">
        <v>100</v>
      </c>
      <c r="I350" s="320" t="n">
        <v>0</v>
      </c>
      <c r="J350" s="52" t="s">
        <v>998</v>
      </c>
      <c r="K350" s="31" t="n">
        <v>50000</v>
      </c>
      <c r="L350" s="31" t="n">
        <v>110000</v>
      </c>
      <c r="M350" s="37" t="n">
        <v>5500</v>
      </c>
      <c r="N350" s="30" t="n">
        <v>22000</v>
      </c>
      <c r="O350" s="30" t="n">
        <v>110000</v>
      </c>
      <c r="P350" s="36" t="n">
        <v>0</v>
      </c>
      <c r="Q350" s="302" t="n">
        <v>45453</v>
      </c>
    </row>
    <row r="351" customFormat="false" ht="34.3" hidden="true" customHeight="false" outlineLevel="0" collapsed="false">
      <c r="A351" s="332" t="n">
        <v>2369</v>
      </c>
      <c r="B351" s="34" t="s">
        <v>307</v>
      </c>
      <c r="C351" s="34" t="s">
        <v>308</v>
      </c>
      <c r="D351" s="34"/>
      <c r="E351" s="25" t="n">
        <v>45267</v>
      </c>
      <c r="F351" s="25" t="n">
        <v>45407</v>
      </c>
      <c r="G351" s="50" t="n">
        <v>100</v>
      </c>
      <c r="H351" s="320" t="n">
        <v>100</v>
      </c>
      <c r="I351" s="320" t="n">
        <v>0</v>
      </c>
      <c r="J351" s="52" t="s">
        <v>999</v>
      </c>
      <c r="K351" s="31" t="n">
        <v>200000</v>
      </c>
      <c r="L351" s="31" t="n">
        <v>432000</v>
      </c>
      <c r="M351" s="37" t="n">
        <v>21600</v>
      </c>
      <c r="N351" s="30"/>
      <c r="O351" s="30" t="n">
        <v>432000</v>
      </c>
      <c r="P351" s="36" t="n">
        <v>0</v>
      </c>
      <c r="Q351" s="302" t="n">
        <v>45453</v>
      </c>
    </row>
    <row r="352" customFormat="false" ht="17.9" hidden="true" customHeight="false" outlineLevel="0" collapsed="false">
      <c r="A352" s="332" t="n">
        <v>2658</v>
      </c>
      <c r="B352" s="34" t="s">
        <v>429</v>
      </c>
      <c r="C352" s="34"/>
      <c r="D352" s="34"/>
      <c r="E352" s="25" t="n">
        <v>45451</v>
      </c>
      <c r="F352" s="25" t="n">
        <v>45457</v>
      </c>
      <c r="G352" s="50" t="n">
        <v>5</v>
      </c>
      <c r="H352" s="320" t="e">
        <f aca="false">#DIV/0!</f>
        <v>#DIV/0!</v>
      </c>
      <c r="I352" s="320" t="e">
        <f aca="false">#DIV/0!</f>
        <v>#DIV/0!</v>
      </c>
      <c r="J352" s="52" t="s">
        <v>1000</v>
      </c>
      <c r="K352" s="45" t="n">
        <v>30000</v>
      </c>
      <c r="L352" s="31" t="n">
        <v>39000</v>
      </c>
      <c r="M352" s="37"/>
      <c r="N352" s="30" t="n">
        <v>39000</v>
      </c>
      <c r="O352" s="30" t="n">
        <v>39000</v>
      </c>
      <c r="P352" s="36" t="n">
        <v>0</v>
      </c>
      <c r="Q352" s="302" t="n">
        <v>45453</v>
      </c>
    </row>
    <row r="353" customFormat="false" ht="42" hidden="true" customHeight="false" outlineLevel="0" collapsed="false">
      <c r="A353" s="332" t="n">
        <v>2318</v>
      </c>
      <c r="B353" s="34" t="s">
        <v>833</v>
      </c>
      <c r="C353" s="34" t="s">
        <v>834</v>
      </c>
      <c r="D353" s="34"/>
      <c r="E353" s="25" t="n">
        <v>45229</v>
      </c>
      <c r="F353" s="25" t="n">
        <v>45453</v>
      </c>
      <c r="G353" s="50" t="n">
        <v>160</v>
      </c>
      <c r="H353" s="320" t="n">
        <v>160</v>
      </c>
      <c r="I353" s="320" t="n">
        <v>0</v>
      </c>
      <c r="J353" s="52" t="s">
        <v>913</v>
      </c>
      <c r="K353" s="31" t="n">
        <v>50000</v>
      </c>
      <c r="L353" s="31" t="n">
        <v>132000</v>
      </c>
      <c r="M353" s="37" t="n">
        <v>4125</v>
      </c>
      <c r="N353" s="30" t="n">
        <v>16500</v>
      </c>
      <c r="O353" s="30" t="n">
        <v>132000</v>
      </c>
      <c r="P353" s="36" t="n">
        <v>0</v>
      </c>
      <c r="Q353" s="302" t="n">
        <v>45453</v>
      </c>
    </row>
    <row r="354" customFormat="false" ht="42" hidden="true" customHeight="false" outlineLevel="0" collapsed="false">
      <c r="A354" s="332" t="n">
        <v>2436</v>
      </c>
      <c r="B354" s="34" t="s">
        <v>833</v>
      </c>
      <c r="C354" s="34" t="s">
        <v>834</v>
      </c>
      <c r="D354" s="34"/>
      <c r="E354" s="25" t="n">
        <v>45314</v>
      </c>
      <c r="F354" s="25" t="n">
        <v>45426</v>
      </c>
      <c r="G354" s="50" t="n">
        <v>80</v>
      </c>
      <c r="H354" s="320" t="n">
        <v>80</v>
      </c>
      <c r="I354" s="320" t="n">
        <v>0</v>
      </c>
      <c r="J354" s="52" t="s">
        <v>1001</v>
      </c>
      <c r="K354" s="31" t="n">
        <v>50000</v>
      </c>
      <c r="L354" s="31" t="n">
        <v>108000</v>
      </c>
      <c r="M354" s="29" t="n">
        <v>6750</v>
      </c>
      <c r="N354" s="30" t="n">
        <v>14750</v>
      </c>
      <c r="O354" s="30" t="n">
        <v>108000</v>
      </c>
      <c r="P354" s="36" t="n">
        <v>0</v>
      </c>
      <c r="Q354" s="302" t="n">
        <v>45453</v>
      </c>
    </row>
    <row r="355" customFormat="false" ht="14.25" hidden="true" customHeight="false" outlineLevel="0" collapsed="false">
      <c r="A355" s="332" t="n">
        <v>2640</v>
      </c>
      <c r="B355" s="34" t="s">
        <v>861</v>
      </c>
      <c r="C355" s="34"/>
      <c r="D355" s="34"/>
      <c r="E355" s="25" t="n">
        <v>45439</v>
      </c>
      <c r="F355" s="25" t="n">
        <v>45456</v>
      </c>
      <c r="G355" s="50" t="n">
        <v>13</v>
      </c>
      <c r="H355" s="320" t="e">
        <f aca="false">#DIV/0!</f>
        <v>#DIV/0!</v>
      </c>
      <c r="I355" s="320" t="e">
        <f aca="false">#DIV/0!</f>
        <v>#DIV/0!</v>
      </c>
      <c r="J355" s="52" t="s">
        <v>751</v>
      </c>
      <c r="K355" s="36" t="n">
        <v>15000</v>
      </c>
      <c r="L355" s="36" t="n">
        <v>22500</v>
      </c>
      <c r="M355" s="29"/>
      <c r="N355" s="30" t="n">
        <v>22500</v>
      </c>
      <c r="O355" s="30" t="n">
        <v>22500</v>
      </c>
      <c r="P355" s="36" t="n">
        <v>0</v>
      </c>
      <c r="Q355" s="302" t="n">
        <v>45453</v>
      </c>
    </row>
    <row r="356" customFormat="false" ht="14.25" hidden="true" customHeight="false" outlineLevel="0" collapsed="false">
      <c r="A356" s="332" t="n">
        <v>2651</v>
      </c>
      <c r="B356" s="34" t="s">
        <v>861</v>
      </c>
      <c r="C356" s="34"/>
      <c r="D356" s="34"/>
      <c r="E356" s="25" t="n">
        <v>45443</v>
      </c>
      <c r="F356" s="25" t="n">
        <v>45450</v>
      </c>
      <c r="G356" s="50" t="n">
        <v>5</v>
      </c>
      <c r="H356" s="320" t="e">
        <f aca="false">#DIV/0!</f>
        <v>#DIV/0!</v>
      </c>
      <c r="I356" s="320" t="e">
        <f aca="false">#DIV/0!</f>
        <v>#DIV/0!</v>
      </c>
      <c r="J356" s="52" t="s">
        <v>751</v>
      </c>
      <c r="K356" s="31" t="n">
        <v>20000</v>
      </c>
      <c r="L356" s="31" t="n">
        <v>32000</v>
      </c>
      <c r="M356" s="37"/>
      <c r="N356" s="30" t="n">
        <v>32000</v>
      </c>
      <c r="O356" s="30" t="n">
        <v>32000</v>
      </c>
      <c r="P356" s="36" t="n">
        <v>0</v>
      </c>
      <c r="Q356" s="302" t="n">
        <v>45453</v>
      </c>
    </row>
    <row r="357" customFormat="false" ht="17.9" hidden="true" customHeight="false" outlineLevel="0" collapsed="false">
      <c r="A357" s="332" t="n">
        <v>2454</v>
      </c>
      <c r="B357" s="34" t="s">
        <v>510</v>
      </c>
      <c r="C357" s="34"/>
      <c r="D357" s="34"/>
      <c r="E357" s="25" t="n">
        <v>45323</v>
      </c>
      <c r="F357" s="25" t="n">
        <v>45435</v>
      </c>
      <c r="G357" s="50" t="n">
        <v>80</v>
      </c>
      <c r="H357" s="320" t="n">
        <v>80</v>
      </c>
      <c r="I357" s="320" t="n">
        <v>0</v>
      </c>
      <c r="J357" s="52" t="s">
        <v>259</v>
      </c>
      <c r="K357" s="31" t="n">
        <v>100000</v>
      </c>
      <c r="L357" s="31" t="n">
        <v>216000</v>
      </c>
      <c r="M357" s="37" t="n">
        <v>13500</v>
      </c>
      <c r="N357" s="30" t="n">
        <v>54000</v>
      </c>
      <c r="O357" s="30" t="n">
        <v>216000</v>
      </c>
      <c r="P357" s="36" t="n">
        <v>0</v>
      </c>
      <c r="Q357" s="302" t="n">
        <v>45453</v>
      </c>
    </row>
    <row r="358" customFormat="false" ht="42" hidden="true" customHeight="false" outlineLevel="0" collapsed="false">
      <c r="A358" s="332" t="n">
        <v>2508</v>
      </c>
      <c r="B358" s="34" t="s">
        <v>885</v>
      </c>
      <c r="C358" s="34" t="s">
        <v>886</v>
      </c>
      <c r="D358" s="34" t="s">
        <v>526</v>
      </c>
      <c r="E358" s="25" t="n">
        <v>45355</v>
      </c>
      <c r="F358" s="25" t="n">
        <v>45455</v>
      </c>
      <c r="G358" s="50" t="n">
        <v>72</v>
      </c>
      <c r="H358" s="320" t="n">
        <v>72</v>
      </c>
      <c r="I358" s="320" t="n">
        <v>0</v>
      </c>
      <c r="J358" s="34" t="s">
        <v>266</v>
      </c>
      <c r="K358" s="36" t="n">
        <v>100000</v>
      </c>
      <c r="L358" s="36" t="n">
        <v>216000</v>
      </c>
      <c r="M358" s="37" t="n">
        <v>15000</v>
      </c>
      <c r="N358" s="30" t="n">
        <v>21000</v>
      </c>
      <c r="O358" s="30" t="n">
        <v>216000</v>
      </c>
      <c r="P358" s="36" t="n">
        <v>0</v>
      </c>
      <c r="Q358" s="302" t="n">
        <v>45453</v>
      </c>
    </row>
    <row r="359" customFormat="false" ht="42" hidden="true" customHeight="false" outlineLevel="0" collapsed="false">
      <c r="A359" s="332" t="n">
        <v>2577</v>
      </c>
      <c r="B359" s="34" t="s">
        <v>885</v>
      </c>
      <c r="C359" s="34" t="s">
        <v>886</v>
      </c>
      <c r="D359" s="34" t="s">
        <v>526</v>
      </c>
      <c r="E359" s="25" t="n">
        <v>45398</v>
      </c>
      <c r="F359" s="25" t="n">
        <v>45498</v>
      </c>
      <c r="G359" s="50" t="n">
        <v>72</v>
      </c>
      <c r="H359" s="320" t="n">
        <v>72</v>
      </c>
      <c r="I359" s="320" t="n">
        <v>0</v>
      </c>
      <c r="J359" s="34" t="s">
        <v>266</v>
      </c>
      <c r="K359" s="36" t="n">
        <v>100000</v>
      </c>
      <c r="L359" s="36" t="n">
        <v>216000</v>
      </c>
      <c r="M359" s="37" t="n">
        <v>15000</v>
      </c>
      <c r="N359" s="30" t="n">
        <v>111000</v>
      </c>
      <c r="O359" s="30" t="n">
        <v>216000</v>
      </c>
      <c r="P359" s="36" t="n">
        <v>0</v>
      </c>
      <c r="Q359" s="302" t="n">
        <v>45453</v>
      </c>
    </row>
    <row r="360" customFormat="false" ht="26.1" hidden="true" customHeight="false" outlineLevel="0" collapsed="false">
      <c r="A360" s="332" t="n">
        <v>2496</v>
      </c>
      <c r="B360" s="34" t="s">
        <v>781</v>
      </c>
      <c r="C360" s="34" t="s">
        <v>782</v>
      </c>
      <c r="D360" s="34"/>
      <c r="E360" s="323" t="n">
        <v>45348</v>
      </c>
      <c r="F360" s="25" t="n">
        <v>45460</v>
      </c>
      <c r="G360" s="50" t="n">
        <v>80</v>
      </c>
      <c r="H360" s="320" t="n">
        <v>80</v>
      </c>
      <c r="I360" s="320" t="n">
        <v>0</v>
      </c>
      <c r="J360" s="52" t="s">
        <v>978</v>
      </c>
      <c r="K360" s="36" t="n">
        <v>30000</v>
      </c>
      <c r="L360" s="36" t="n">
        <v>64800</v>
      </c>
      <c r="M360" s="29" t="n">
        <v>4050</v>
      </c>
      <c r="N360" s="30" t="n">
        <v>16200</v>
      </c>
      <c r="O360" s="30" t="n">
        <v>64800</v>
      </c>
      <c r="P360" s="36" t="n">
        <v>0</v>
      </c>
      <c r="Q360" s="302" t="n">
        <v>45453</v>
      </c>
    </row>
    <row r="361" customFormat="false" ht="17.9" hidden="true" customHeight="false" outlineLevel="0" collapsed="false">
      <c r="A361" s="332" t="n">
        <v>2643</v>
      </c>
      <c r="B361" s="34" t="s">
        <v>984</v>
      </c>
      <c r="C361" s="34"/>
      <c r="D361" s="34"/>
      <c r="E361" s="25" t="n">
        <v>45439</v>
      </c>
      <c r="F361" s="25" t="n">
        <v>45456</v>
      </c>
      <c r="G361" s="50" t="n">
        <v>13</v>
      </c>
      <c r="H361" s="320" t="e">
        <f aca="false">#DIV/0!</f>
        <v>#DIV/0!</v>
      </c>
      <c r="I361" s="320" t="e">
        <f aca="false">#DIV/0!</f>
        <v>#DIV/0!</v>
      </c>
      <c r="J361" s="52" t="s">
        <v>1002</v>
      </c>
      <c r="K361" s="36" t="n">
        <v>10000</v>
      </c>
      <c r="L361" s="36" t="n">
        <v>15000</v>
      </c>
      <c r="M361" s="37"/>
      <c r="N361" s="30" t="n">
        <v>15000</v>
      </c>
      <c r="O361" s="30" t="n">
        <v>15000</v>
      </c>
      <c r="P361" s="36" t="n">
        <v>0</v>
      </c>
      <c r="Q361" s="302" t="n">
        <v>45453</v>
      </c>
    </row>
    <row r="362" customFormat="false" ht="17.9" hidden="true" customHeight="false" outlineLevel="0" collapsed="false">
      <c r="A362" s="332" t="n">
        <v>2663</v>
      </c>
      <c r="B362" s="34" t="s">
        <v>984</v>
      </c>
      <c r="C362" s="34"/>
      <c r="D362" s="34"/>
      <c r="E362" s="25" t="n">
        <v>45455</v>
      </c>
      <c r="F362" s="25" t="n">
        <v>45457</v>
      </c>
      <c r="G362" s="50" t="n">
        <v>2</v>
      </c>
      <c r="H362" s="320" t="e">
        <f aca="false">#VALUE!</f>
        <v>#VALUE!</v>
      </c>
      <c r="I362" s="320" t="e">
        <f aca="false">#VALUE!</f>
        <v>#VALUE!</v>
      </c>
      <c r="J362" s="52" t="s">
        <v>1002</v>
      </c>
      <c r="K362" s="36" t="n">
        <v>10000</v>
      </c>
      <c r="L362" s="36" t="n">
        <v>15000</v>
      </c>
      <c r="M362" s="37" t="s">
        <v>214</v>
      </c>
      <c r="N362" s="30" t="n">
        <v>15000</v>
      </c>
      <c r="O362" s="30" t="n">
        <v>15000</v>
      </c>
      <c r="P362" s="36" t="n">
        <v>0</v>
      </c>
      <c r="Q362" s="302" t="n">
        <v>45453</v>
      </c>
    </row>
    <row r="363" customFormat="false" ht="17.9" hidden="true" customHeight="false" outlineLevel="0" collapsed="false">
      <c r="A363" s="332" t="n">
        <v>2392</v>
      </c>
      <c r="B363" s="34" t="s">
        <v>634</v>
      </c>
      <c r="C363" s="34" t="s">
        <v>849</v>
      </c>
      <c r="D363" s="34"/>
      <c r="E363" s="25" t="n">
        <v>45289</v>
      </c>
      <c r="F363" s="25" t="n">
        <v>45391</v>
      </c>
      <c r="G363" s="50" t="n">
        <v>72</v>
      </c>
      <c r="H363" s="320" t="n">
        <v>74.6666666666667</v>
      </c>
      <c r="I363" s="320" t="n">
        <v>-2.66666666666667</v>
      </c>
      <c r="J363" s="34" t="s">
        <v>381</v>
      </c>
      <c r="K363" s="31" t="n">
        <v>50000</v>
      </c>
      <c r="L363" s="31" t="n">
        <v>108000</v>
      </c>
      <c r="M363" s="37" t="n">
        <v>7500</v>
      </c>
      <c r="N363" s="30" t="n">
        <v>7500</v>
      </c>
      <c r="O363" s="30" t="n">
        <v>112000</v>
      </c>
      <c r="P363" s="36" t="n">
        <v>-4000</v>
      </c>
      <c r="Q363" s="302" t="n">
        <v>45453</v>
      </c>
    </row>
    <row r="364" customFormat="false" ht="42" hidden="true" customHeight="false" outlineLevel="0" collapsed="false">
      <c r="A364" s="332" t="n">
        <v>2505</v>
      </c>
      <c r="B364" s="34" t="s">
        <v>227</v>
      </c>
      <c r="C364" s="34" t="s">
        <v>228</v>
      </c>
      <c r="D364" s="25" t="n">
        <v>45353</v>
      </c>
      <c r="E364" s="25" t="n">
        <v>45454</v>
      </c>
      <c r="F364" s="333" t="n">
        <f aca="false">WORKDAY(E364,G364)</f>
        <v>45554</v>
      </c>
      <c r="G364" s="50" t="n">
        <v>72</v>
      </c>
      <c r="H364" s="320" t="n">
        <v>75</v>
      </c>
      <c r="I364" s="320" t="n">
        <v>-3</v>
      </c>
      <c r="J364" s="34" t="s">
        <v>792</v>
      </c>
      <c r="K364" s="36" t="n">
        <v>60000</v>
      </c>
      <c r="L364" s="36" t="n">
        <v>129600</v>
      </c>
      <c r="M364" s="29" t="n">
        <v>9000</v>
      </c>
      <c r="N364" s="30" t="n">
        <v>9000</v>
      </c>
      <c r="O364" s="30" t="n">
        <v>135000</v>
      </c>
      <c r="P364" s="36" t="n">
        <v>-5400</v>
      </c>
      <c r="Q364" s="302" t="n">
        <v>45460</v>
      </c>
    </row>
    <row r="365" customFormat="false" ht="26.1" hidden="true" customHeight="false" outlineLevel="0" collapsed="false">
      <c r="A365" s="332" t="n">
        <v>2655</v>
      </c>
      <c r="B365" s="34" t="s">
        <v>794</v>
      </c>
      <c r="C365" s="34" t="s">
        <v>880</v>
      </c>
      <c r="D365" s="25" t="n">
        <v>45450</v>
      </c>
      <c r="E365" s="25" t="n">
        <v>45463</v>
      </c>
      <c r="F365" s="333" t="n">
        <f aca="false">WORKDAY(E365,G365)</f>
        <v>45476</v>
      </c>
      <c r="G365" s="50" t="n">
        <v>9</v>
      </c>
      <c r="H365" s="320" t="e">
        <f aca="false">#DIV/0!</f>
        <v>#DIV/0!</v>
      </c>
      <c r="I365" s="320" t="e">
        <f aca="false">#DIV/0!</f>
        <v>#DIV/0!</v>
      </c>
      <c r="J365" s="52" t="s">
        <v>751</v>
      </c>
      <c r="K365" s="31" t="n">
        <v>50000</v>
      </c>
      <c r="L365" s="31" t="n">
        <v>75000</v>
      </c>
      <c r="M365" s="37"/>
      <c r="N365" s="30" t="n">
        <v>75000</v>
      </c>
      <c r="O365" s="30" t="n">
        <v>75000</v>
      </c>
      <c r="P365" s="36" t="n">
        <v>0</v>
      </c>
      <c r="Q365" s="302" t="n">
        <v>45460</v>
      </c>
    </row>
    <row r="366" customFormat="false" ht="34.3" hidden="true" customHeight="false" outlineLevel="0" collapsed="false">
      <c r="A366" s="332" t="n">
        <v>2488</v>
      </c>
      <c r="B366" s="34" t="s">
        <v>744</v>
      </c>
      <c r="C366" s="34" t="s">
        <v>745</v>
      </c>
      <c r="D366" s="25" t="n">
        <v>45343</v>
      </c>
      <c r="E366" s="25" t="n">
        <v>45443</v>
      </c>
      <c r="F366" s="333" t="n">
        <f aca="false">WORKDAY(E366,G366)</f>
        <v>45545</v>
      </c>
      <c r="G366" s="50" t="n">
        <v>72</v>
      </c>
      <c r="H366" s="320" t="n">
        <v>72</v>
      </c>
      <c r="I366" s="320" t="n">
        <v>0</v>
      </c>
      <c r="J366" s="34" t="s">
        <v>774</v>
      </c>
      <c r="K366" s="36" t="n">
        <v>25000</v>
      </c>
      <c r="L366" s="36" t="n">
        <v>54000</v>
      </c>
      <c r="M366" s="37" t="n">
        <v>3750</v>
      </c>
      <c r="N366" s="30" t="n">
        <v>1450</v>
      </c>
      <c r="O366" s="30" t="n">
        <v>54000</v>
      </c>
      <c r="P366" s="36" t="n">
        <v>0</v>
      </c>
      <c r="Q366" s="302" t="n">
        <v>45460</v>
      </c>
    </row>
    <row r="367" customFormat="false" ht="26.1" hidden="true" customHeight="false" outlineLevel="0" collapsed="false">
      <c r="A367" s="332" t="n">
        <v>2547</v>
      </c>
      <c r="B367" s="34" t="s">
        <v>285</v>
      </c>
      <c r="C367" s="34" t="s">
        <v>286</v>
      </c>
      <c r="D367" s="25" t="n">
        <v>45379</v>
      </c>
      <c r="E367" s="25" t="n">
        <v>45463</v>
      </c>
      <c r="F367" s="333" t="n">
        <f aca="false">WORKDAY(E367,G367)</f>
        <v>45547</v>
      </c>
      <c r="G367" s="50" t="n">
        <v>60</v>
      </c>
      <c r="H367" s="320" t="n">
        <v>60</v>
      </c>
      <c r="I367" s="320" t="n">
        <v>0</v>
      </c>
      <c r="J367" s="52" t="s">
        <v>1003</v>
      </c>
      <c r="K367" s="36" t="n">
        <v>30000</v>
      </c>
      <c r="L367" s="36" t="n">
        <v>64800</v>
      </c>
      <c r="M367" s="29" t="n">
        <v>5400</v>
      </c>
      <c r="N367" s="30"/>
      <c r="O367" s="30" t="n">
        <v>64800</v>
      </c>
      <c r="P367" s="36" t="n">
        <v>0</v>
      </c>
      <c r="Q367" s="302" t="n">
        <v>45460</v>
      </c>
    </row>
    <row r="368" customFormat="false" ht="83.55" hidden="true" customHeight="false" outlineLevel="0" collapsed="false">
      <c r="A368" s="332" t="n">
        <v>2474</v>
      </c>
      <c r="B368" s="34" t="s">
        <v>1004</v>
      </c>
      <c r="C368" s="34" t="s">
        <v>305</v>
      </c>
      <c r="D368" s="25" t="n">
        <v>45337</v>
      </c>
      <c r="E368" s="25" t="n">
        <v>45439</v>
      </c>
      <c r="F368" s="333" t="n">
        <f aca="false">WORKDAY(E368,G368)</f>
        <v>45539</v>
      </c>
      <c r="G368" s="50" t="n">
        <v>72</v>
      </c>
      <c r="H368" s="320" t="n">
        <v>72.3317972350231</v>
      </c>
      <c r="I368" s="320" t="n">
        <v>-0.331797235023046</v>
      </c>
      <c r="J368" s="34" t="s">
        <v>412</v>
      </c>
      <c r="K368" s="36" t="n">
        <v>500000</v>
      </c>
      <c r="L368" s="36" t="n">
        <v>1085000</v>
      </c>
      <c r="M368" s="29" t="n">
        <v>75347.2222222222</v>
      </c>
      <c r="N368" s="30" t="n">
        <v>30000</v>
      </c>
      <c r="O368" s="30" t="n">
        <v>1090000</v>
      </c>
      <c r="P368" s="36" t="n">
        <v>-5000</v>
      </c>
      <c r="Q368" s="302" t="n">
        <v>45460</v>
      </c>
    </row>
    <row r="369" customFormat="false" ht="17.9" hidden="true" customHeight="false" outlineLevel="0" collapsed="false">
      <c r="A369" s="332" t="n">
        <v>2461</v>
      </c>
      <c r="B369" s="34" t="s">
        <v>461</v>
      </c>
      <c r="C369" s="34"/>
      <c r="D369" s="25" t="n">
        <v>45328</v>
      </c>
      <c r="E369" s="25" t="n">
        <v>45428</v>
      </c>
      <c r="F369" s="333" t="n">
        <f aca="false">WORKDAY(E369,G369)</f>
        <v>45530</v>
      </c>
      <c r="G369" s="50" t="n">
        <v>72</v>
      </c>
      <c r="H369" s="320" t="n">
        <v>72</v>
      </c>
      <c r="I369" s="320" t="n">
        <v>0</v>
      </c>
      <c r="J369" s="34" t="s">
        <v>774</v>
      </c>
      <c r="K369" s="36" t="n">
        <v>25000</v>
      </c>
      <c r="L369" s="36" t="n">
        <v>54000</v>
      </c>
      <c r="M369" s="37" t="n">
        <v>3750</v>
      </c>
      <c r="N369" s="30" t="n">
        <v>700</v>
      </c>
      <c r="O369" s="30" t="n">
        <v>54000</v>
      </c>
      <c r="P369" s="36" t="n">
        <v>0</v>
      </c>
      <c r="Q369" s="302" t="n">
        <v>45460</v>
      </c>
    </row>
    <row r="370" customFormat="false" ht="67.15" hidden="true" customHeight="false" outlineLevel="0" collapsed="false">
      <c r="A370" s="332" t="n">
        <v>2503</v>
      </c>
      <c r="B370" s="34" t="s">
        <v>466</v>
      </c>
      <c r="C370" s="34" t="s">
        <v>467</v>
      </c>
      <c r="D370" s="25" t="n">
        <v>45351</v>
      </c>
      <c r="E370" s="25" t="n">
        <v>45453</v>
      </c>
      <c r="F370" s="333" t="n">
        <f aca="false">WORKDAY(E370,G370)</f>
        <v>45553</v>
      </c>
      <c r="G370" s="50" t="n">
        <v>72</v>
      </c>
      <c r="H370" s="320" t="n">
        <v>72.3888888888889</v>
      </c>
      <c r="I370" s="320" t="n">
        <v>-0.388888888888886</v>
      </c>
      <c r="J370" s="34" t="s">
        <v>452</v>
      </c>
      <c r="K370" s="36" t="n">
        <v>30000</v>
      </c>
      <c r="L370" s="36" t="n">
        <v>64800</v>
      </c>
      <c r="M370" s="37" t="n">
        <v>4500</v>
      </c>
      <c r="N370" s="30" t="n">
        <v>24500</v>
      </c>
      <c r="O370" s="30" t="n">
        <v>65150</v>
      </c>
      <c r="P370" s="36" t="n">
        <v>-350</v>
      </c>
      <c r="Q370" s="302" t="n">
        <v>45460</v>
      </c>
    </row>
    <row r="371" customFormat="false" ht="26.1" hidden="true" customHeight="false" outlineLevel="0" collapsed="false">
      <c r="A371" s="332" t="n">
        <v>2631</v>
      </c>
      <c r="B371" s="34" t="s">
        <v>758</v>
      </c>
      <c r="C371" s="34"/>
      <c r="D371" s="25" t="n">
        <v>45430</v>
      </c>
      <c r="E371" s="25" t="n">
        <v>45457</v>
      </c>
      <c r="F371" s="333" t="n">
        <f aca="false">WORKDAY(E371,G371)</f>
        <v>45485</v>
      </c>
      <c r="G371" s="50" t="n">
        <v>20</v>
      </c>
      <c r="H371" s="320" t="e">
        <f aca="false">#DIV/0!</f>
        <v>#DIV/0!</v>
      </c>
      <c r="I371" s="320" t="e">
        <f aca="false">#DIV/0!</f>
        <v>#DIV/0!</v>
      </c>
      <c r="J371" s="34" t="s">
        <v>751</v>
      </c>
      <c r="K371" s="36" t="n">
        <v>20000</v>
      </c>
      <c r="L371" s="36" t="n">
        <v>32000</v>
      </c>
      <c r="M371" s="37"/>
      <c r="N371" s="30" t="n">
        <v>32000</v>
      </c>
      <c r="O371" s="30" t="n">
        <v>32000</v>
      </c>
      <c r="P371" s="36" t="n">
        <v>0</v>
      </c>
      <c r="Q371" s="302" t="n">
        <v>45460</v>
      </c>
    </row>
    <row r="372" customFormat="false" ht="26.1" hidden="true" customHeight="false" outlineLevel="0" collapsed="false">
      <c r="A372" s="332" t="n">
        <v>2639</v>
      </c>
      <c r="B372" s="34" t="s">
        <v>758</v>
      </c>
      <c r="C372" s="34"/>
      <c r="D372" s="25" t="n">
        <v>45439</v>
      </c>
      <c r="E372" s="25" t="n">
        <v>45456</v>
      </c>
      <c r="F372" s="333" t="n">
        <f aca="false">WORKDAY(E372,G372)</f>
        <v>45475</v>
      </c>
      <c r="G372" s="50" t="n">
        <v>13</v>
      </c>
      <c r="H372" s="320" t="e">
        <f aca="false">#DIV/0!</f>
        <v>#DIV/0!</v>
      </c>
      <c r="I372" s="320" t="e">
        <f aca="false">#DIV/0!</f>
        <v>#DIV/0!</v>
      </c>
      <c r="J372" s="52" t="s">
        <v>751</v>
      </c>
      <c r="K372" s="36" t="n">
        <v>15000</v>
      </c>
      <c r="L372" s="36" t="n">
        <v>22500</v>
      </c>
      <c r="M372" s="37"/>
      <c r="N372" s="30" t="n">
        <v>22500</v>
      </c>
      <c r="O372" s="30" t="n">
        <v>22500</v>
      </c>
      <c r="P372" s="36" t="n">
        <v>0</v>
      </c>
      <c r="Q372" s="302" t="n">
        <v>45460</v>
      </c>
    </row>
    <row r="373" customFormat="false" ht="26.1" hidden="true" customHeight="false" outlineLevel="0" collapsed="false">
      <c r="A373" s="332" t="n">
        <v>2652</v>
      </c>
      <c r="B373" s="34" t="s">
        <v>758</v>
      </c>
      <c r="C373" s="34"/>
      <c r="D373" s="25" t="n">
        <v>45446</v>
      </c>
      <c r="E373" s="25" t="n">
        <v>45460</v>
      </c>
      <c r="F373" s="333" t="n">
        <f aca="false">WORKDAY(E373,G373)</f>
        <v>45474</v>
      </c>
      <c r="G373" s="50" t="n">
        <v>10</v>
      </c>
      <c r="H373" s="320" t="e">
        <f aca="false">#DIV/0!</f>
        <v>#DIV/0!</v>
      </c>
      <c r="I373" s="334" t="e">
        <f aca="false">#DIV/0!</f>
        <v>#DIV/0!</v>
      </c>
      <c r="J373" s="52" t="s">
        <v>751</v>
      </c>
      <c r="K373" s="58" t="n">
        <v>15000</v>
      </c>
      <c r="L373" s="36" t="n">
        <v>22500</v>
      </c>
      <c r="M373" s="37"/>
      <c r="N373" s="30" t="n">
        <v>10500</v>
      </c>
      <c r="O373" s="30" t="n">
        <v>22500</v>
      </c>
      <c r="P373" s="36" t="n">
        <v>0</v>
      </c>
      <c r="Q373" s="302" t="n">
        <v>45460</v>
      </c>
    </row>
    <row r="374" customFormat="false" ht="26.1" hidden="true" customHeight="false" outlineLevel="0" collapsed="false">
      <c r="A374" s="332" t="n">
        <v>2484</v>
      </c>
      <c r="B374" s="34" t="s">
        <v>560</v>
      </c>
      <c r="C374" s="34" t="s">
        <v>933</v>
      </c>
      <c r="D374" s="25" t="n">
        <v>45342</v>
      </c>
      <c r="E374" s="25" t="n">
        <v>45442</v>
      </c>
      <c r="F374" s="50" t="n">
        <v>72</v>
      </c>
      <c r="G374" s="320" t="n">
        <v>74.8152948801037</v>
      </c>
      <c r="H374" s="320" t="n">
        <v>-2.81529488010369</v>
      </c>
      <c r="I374" s="335"/>
      <c r="J374" s="34" t="s">
        <v>934</v>
      </c>
      <c r="K374" s="36" t="n">
        <v>50000</v>
      </c>
      <c r="L374" s="36" t="n">
        <v>111096</v>
      </c>
      <c r="M374" s="37" t="n">
        <v>7715</v>
      </c>
      <c r="N374" s="30" t="n">
        <v>30860</v>
      </c>
      <c r="O374" s="30" t="n">
        <v>115440</v>
      </c>
      <c r="P374" s="36" t="n">
        <v>-4344</v>
      </c>
      <c r="Q374" s="302" t="n">
        <v>45460</v>
      </c>
    </row>
    <row r="375" customFormat="false" ht="26.1" hidden="true" customHeight="false" outlineLevel="0" collapsed="false">
      <c r="A375" s="332" t="n">
        <v>2425</v>
      </c>
      <c r="B375" s="34" t="s">
        <v>950</v>
      </c>
      <c r="C375" s="34" t="s">
        <v>951</v>
      </c>
      <c r="D375" s="25" t="n">
        <v>45307</v>
      </c>
      <c r="E375" s="25" t="n">
        <v>45475</v>
      </c>
      <c r="F375" s="50" t="n">
        <v>120</v>
      </c>
      <c r="G375" s="320" t="n">
        <v>120</v>
      </c>
      <c r="H375" s="320" t="n">
        <v>0</v>
      </c>
      <c r="I375" s="23"/>
      <c r="J375" s="52" t="s">
        <v>953</v>
      </c>
      <c r="K375" s="36" t="n">
        <v>50000</v>
      </c>
      <c r="L375" s="36" t="n">
        <v>132000</v>
      </c>
      <c r="M375" s="37" t="n">
        <v>5500</v>
      </c>
      <c r="N375" s="30" t="n">
        <v>66000</v>
      </c>
      <c r="O375" s="30" t="n">
        <v>132000</v>
      </c>
      <c r="P375" s="36" t="n">
        <v>0</v>
      </c>
      <c r="Q375" s="302" t="n">
        <v>45460</v>
      </c>
    </row>
    <row r="376" customFormat="false" ht="26.1" hidden="true" customHeight="false" outlineLevel="0" collapsed="false">
      <c r="A376" s="332" t="n">
        <v>2450</v>
      </c>
      <c r="B376" s="34" t="s">
        <v>236</v>
      </c>
      <c r="C376" s="34" t="s">
        <v>237</v>
      </c>
      <c r="D376" s="25" t="n">
        <v>45320</v>
      </c>
      <c r="E376" s="25" t="n">
        <v>45432</v>
      </c>
      <c r="F376" s="25" t="n">
        <v>45432</v>
      </c>
      <c r="G376" s="50" t="n">
        <v>80</v>
      </c>
      <c r="H376" s="320" t="n">
        <v>80.026455026455</v>
      </c>
      <c r="I376" s="320" t="n">
        <v>-0.0264550264550252</v>
      </c>
      <c r="J376" s="68" t="s">
        <v>1005</v>
      </c>
      <c r="K376" s="36" t="n">
        <v>70000</v>
      </c>
      <c r="L376" s="36" t="n">
        <v>151200</v>
      </c>
      <c r="M376" s="29" t="n">
        <v>9450</v>
      </c>
      <c r="N376" s="30" t="n">
        <v>24000</v>
      </c>
      <c r="O376" s="30" t="n">
        <v>151250</v>
      </c>
      <c r="P376" s="36" t="n">
        <v>-50</v>
      </c>
      <c r="Q376" s="302" t="n">
        <v>45467</v>
      </c>
    </row>
    <row r="377" customFormat="false" ht="17.9" hidden="true" customHeight="false" outlineLevel="0" collapsed="false">
      <c r="A377" s="332" t="n">
        <v>2462</v>
      </c>
      <c r="B377" s="34" t="s">
        <v>1006</v>
      </c>
      <c r="C377" s="34" t="s">
        <v>1007</v>
      </c>
      <c r="D377" s="25" t="n">
        <v>45329</v>
      </c>
      <c r="E377" s="25" t="n">
        <v>45429</v>
      </c>
      <c r="F377" s="25" t="n">
        <v>45429</v>
      </c>
      <c r="G377" s="50" t="n">
        <v>72</v>
      </c>
      <c r="H377" s="320" t="n">
        <v>72</v>
      </c>
      <c r="I377" s="320" t="n">
        <v>0</v>
      </c>
      <c r="J377" s="34" t="s">
        <v>266</v>
      </c>
      <c r="K377" s="31" t="n">
        <v>100000</v>
      </c>
      <c r="L377" s="31" t="n">
        <v>216000</v>
      </c>
      <c r="M377" s="37" t="n">
        <v>15000</v>
      </c>
      <c r="N377" s="30" t="n">
        <v>26000</v>
      </c>
      <c r="O377" s="30" t="n">
        <v>216000</v>
      </c>
      <c r="P377" s="36" t="n">
        <v>0</v>
      </c>
      <c r="Q377" s="302" t="n">
        <v>45467</v>
      </c>
    </row>
    <row r="378" customFormat="false" ht="58.95" hidden="true" customHeight="false" outlineLevel="0" collapsed="false">
      <c r="A378" s="332" t="n">
        <v>2537</v>
      </c>
      <c r="B378" s="34" t="s">
        <v>272</v>
      </c>
      <c r="C378" s="34" t="s">
        <v>917</v>
      </c>
      <c r="D378" s="25" t="n">
        <v>45372</v>
      </c>
      <c r="E378" s="25" t="n">
        <v>45474</v>
      </c>
      <c r="F378" s="25" t="n">
        <v>45474</v>
      </c>
      <c r="G378" s="50" t="n">
        <v>72</v>
      </c>
      <c r="H378" s="320" t="n">
        <v>72</v>
      </c>
      <c r="I378" s="320" t="n">
        <v>0</v>
      </c>
      <c r="J378" s="31" t="s">
        <v>996</v>
      </c>
      <c r="K378" s="29" t="n">
        <v>70000</v>
      </c>
      <c r="L378" s="36" t="n">
        <v>151200</v>
      </c>
      <c r="M378" s="29" t="n">
        <v>10500</v>
      </c>
      <c r="N378" s="30" t="n">
        <v>25200</v>
      </c>
      <c r="O378" s="30" t="n">
        <v>151200</v>
      </c>
      <c r="P378" s="36" t="n">
        <v>0</v>
      </c>
      <c r="Q378" s="302" t="n">
        <v>45467</v>
      </c>
    </row>
    <row r="379" customFormat="false" ht="42.5" hidden="true" customHeight="false" outlineLevel="0" collapsed="false">
      <c r="A379" s="332" t="n">
        <v>2360</v>
      </c>
      <c r="B379" s="34" t="s">
        <v>313</v>
      </c>
      <c r="C379" s="26" t="s">
        <v>314</v>
      </c>
      <c r="D379" s="25" t="n">
        <v>45264</v>
      </c>
      <c r="E379" s="25" t="n">
        <v>45488</v>
      </c>
      <c r="F379" s="25" t="n">
        <v>45488</v>
      </c>
      <c r="G379" s="50" t="n">
        <v>160</v>
      </c>
      <c r="H379" s="320" t="n">
        <v>160</v>
      </c>
      <c r="I379" s="320" t="n">
        <v>0</v>
      </c>
      <c r="J379" s="52" t="s">
        <v>1008</v>
      </c>
      <c r="K379" s="36" t="n">
        <v>120000</v>
      </c>
      <c r="L379" s="36" t="n">
        <v>321600</v>
      </c>
      <c r="M379" s="37" t="n">
        <v>10050</v>
      </c>
      <c r="N379" s="30" t="n">
        <v>80400</v>
      </c>
      <c r="O379" s="30" t="n">
        <v>321600</v>
      </c>
      <c r="P379" s="36" t="n">
        <v>0</v>
      </c>
      <c r="Q379" s="302" t="n">
        <v>45467</v>
      </c>
    </row>
    <row r="380" customFormat="false" ht="26.1" hidden="true" customHeight="false" outlineLevel="0" collapsed="false">
      <c r="A380" s="332" t="n">
        <v>2486</v>
      </c>
      <c r="B380" s="34" t="s">
        <v>356</v>
      </c>
      <c r="C380" s="34" t="s">
        <v>357</v>
      </c>
      <c r="D380" s="25" t="n">
        <v>45342</v>
      </c>
      <c r="E380" s="25" t="n">
        <v>45426</v>
      </c>
      <c r="F380" s="25" t="n">
        <v>45426</v>
      </c>
      <c r="G380" s="50" t="n">
        <v>60</v>
      </c>
      <c r="H380" s="320" t="n">
        <v>60</v>
      </c>
      <c r="I380" s="320" t="n">
        <v>0</v>
      </c>
      <c r="J380" s="52" t="s">
        <v>1009</v>
      </c>
      <c r="K380" s="36" t="n">
        <v>50000</v>
      </c>
      <c r="L380" s="36" t="n">
        <v>100050</v>
      </c>
      <c r="M380" s="37" t="n">
        <v>8337.5</v>
      </c>
      <c r="N380" s="30" t="n">
        <v>33250</v>
      </c>
      <c r="O380" s="30" t="n">
        <v>100050</v>
      </c>
      <c r="P380" s="36" t="n">
        <v>0</v>
      </c>
      <c r="Q380" s="302" t="n">
        <v>45467</v>
      </c>
    </row>
    <row r="381" customFormat="false" ht="26.1" hidden="true" customHeight="false" outlineLevel="0" collapsed="false">
      <c r="A381" s="332" t="n">
        <v>2463</v>
      </c>
      <c r="B381" s="34" t="s">
        <v>360</v>
      </c>
      <c r="C381" s="34" t="s">
        <v>361</v>
      </c>
      <c r="D381" s="25" t="n">
        <v>45329</v>
      </c>
      <c r="E381" s="25" t="n">
        <v>45429</v>
      </c>
      <c r="F381" s="25" t="n">
        <v>45429</v>
      </c>
      <c r="G381" s="50" t="n">
        <v>72</v>
      </c>
      <c r="H381" s="320" t="n">
        <v>72</v>
      </c>
      <c r="I381" s="320" t="n">
        <v>0</v>
      </c>
      <c r="J381" s="34" t="s">
        <v>381</v>
      </c>
      <c r="K381" s="36" t="n">
        <v>50000</v>
      </c>
      <c r="L381" s="36" t="n">
        <v>108000</v>
      </c>
      <c r="M381" s="37" t="n">
        <v>7500</v>
      </c>
      <c r="N381" s="30" t="n">
        <v>3000</v>
      </c>
      <c r="O381" s="30" t="n">
        <v>108000</v>
      </c>
      <c r="P381" s="36" t="n">
        <v>0</v>
      </c>
      <c r="Q381" s="302" t="n">
        <v>45467</v>
      </c>
    </row>
    <row r="382" customFormat="false" ht="26.1" hidden="true" customHeight="false" outlineLevel="0" collapsed="false">
      <c r="A382" s="332" t="n">
        <v>2292</v>
      </c>
      <c r="B382" s="34" t="s">
        <v>416</v>
      </c>
      <c r="C382" s="34" t="s">
        <v>417</v>
      </c>
      <c r="D382" s="25" t="n">
        <v>45211</v>
      </c>
      <c r="E382" s="25" t="n">
        <v>45491</v>
      </c>
      <c r="F382" s="25" t="n">
        <v>45491</v>
      </c>
      <c r="G382" s="50" t="n">
        <v>200</v>
      </c>
      <c r="H382" s="320" t="n">
        <v>200</v>
      </c>
      <c r="I382" s="320" t="n">
        <v>0</v>
      </c>
      <c r="J382" s="52" t="s">
        <v>1010</v>
      </c>
      <c r="K382" s="36" t="n">
        <v>100000</v>
      </c>
      <c r="L382" s="36" t="n">
        <v>305000</v>
      </c>
      <c r="M382" s="29" t="n">
        <v>7625</v>
      </c>
      <c r="N382" s="30" t="n">
        <v>61000</v>
      </c>
      <c r="O382" s="30" t="n">
        <v>305000</v>
      </c>
      <c r="P382" s="36" t="n">
        <v>0</v>
      </c>
      <c r="Q382" s="302" t="n">
        <v>45467</v>
      </c>
    </row>
    <row r="383" customFormat="false" ht="17.9" hidden="true" customHeight="false" outlineLevel="0" collapsed="false">
      <c r="A383" s="332" t="n">
        <v>2675</v>
      </c>
      <c r="B383" s="34" t="s">
        <v>429</v>
      </c>
      <c r="C383" s="34"/>
      <c r="D383" s="25" t="n">
        <v>45462</v>
      </c>
      <c r="E383" s="25" t="n">
        <v>45469</v>
      </c>
      <c r="F383" s="25" t="n">
        <v>45469</v>
      </c>
      <c r="G383" s="50" t="n">
        <v>5</v>
      </c>
      <c r="H383" s="320" t="e">
        <f aca="false">#VALUE!</f>
        <v>#VALUE!</v>
      </c>
      <c r="I383" s="320" t="e">
        <f aca="false">#VALUE!</f>
        <v>#VALUE!</v>
      </c>
      <c r="J383" s="52" t="s">
        <v>751</v>
      </c>
      <c r="K383" s="46" t="n">
        <v>40000</v>
      </c>
      <c r="L383" s="36" t="n">
        <v>52000</v>
      </c>
      <c r="M383" s="37" t="s">
        <v>214</v>
      </c>
      <c r="N383" s="30" t="n">
        <v>52000</v>
      </c>
      <c r="O383" s="30" t="n">
        <v>52000</v>
      </c>
      <c r="P383" s="36" t="n">
        <v>0</v>
      </c>
      <c r="Q383" s="302" t="n">
        <v>45467</v>
      </c>
    </row>
    <row r="384" customFormat="false" ht="34.3" hidden="true" customHeight="false" outlineLevel="0" collapsed="false">
      <c r="A384" s="332" t="n">
        <v>2477</v>
      </c>
      <c r="B384" s="34" t="s">
        <v>483</v>
      </c>
      <c r="C384" s="34" t="s">
        <v>484</v>
      </c>
      <c r="D384" s="25" t="s">
        <v>1011</v>
      </c>
      <c r="E384" s="25" t="e">
        <f aca="false">#VALUE!</f>
        <v>#VALUE!</v>
      </c>
      <c r="F384" s="25" t="e">
        <f aca="false">#VALUE!</f>
        <v>#VALUE!</v>
      </c>
      <c r="G384" s="50" t="n">
        <v>70</v>
      </c>
      <c r="H384" s="320" t="n">
        <v>70</v>
      </c>
      <c r="I384" s="320" t="n">
        <v>0</v>
      </c>
      <c r="J384" s="68" t="s">
        <v>1012</v>
      </c>
      <c r="K384" s="36" t="n">
        <v>30000</v>
      </c>
      <c r="L384" s="36" t="n">
        <v>65100</v>
      </c>
      <c r="M384" s="37" t="n">
        <v>4650</v>
      </c>
      <c r="N384" s="30" t="n">
        <v>900</v>
      </c>
      <c r="O384" s="30" t="n">
        <v>65100</v>
      </c>
      <c r="P384" s="36" t="n">
        <v>0</v>
      </c>
      <c r="Q384" s="302" t="n">
        <v>45467</v>
      </c>
    </row>
    <row r="385" customFormat="false" ht="17.9" hidden="true" customHeight="false" outlineLevel="0" collapsed="false">
      <c r="A385" s="332" t="n">
        <v>2519</v>
      </c>
      <c r="B385" s="34" t="s">
        <v>581</v>
      </c>
      <c r="C385" s="34" t="s">
        <v>582</v>
      </c>
      <c r="D385" s="25" t="n">
        <v>45363</v>
      </c>
      <c r="E385" s="25" t="n">
        <v>45463</v>
      </c>
      <c r="F385" s="25" t="n">
        <v>45463</v>
      </c>
      <c r="G385" s="50" t="n">
        <v>72</v>
      </c>
      <c r="H385" s="320" t="n">
        <v>72</v>
      </c>
      <c r="I385" s="320" t="n">
        <v>0</v>
      </c>
      <c r="J385" s="34" t="s">
        <v>627</v>
      </c>
      <c r="K385" s="36" t="n">
        <v>40000</v>
      </c>
      <c r="L385" s="36" t="n">
        <v>86400</v>
      </c>
      <c r="M385" s="37" t="n">
        <v>6000</v>
      </c>
      <c r="N385" s="30" t="n">
        <v>2400</v>
      </c>
      <c r="O385" s="30" t="n">
        <v>86400</v>
      </c>
      <c r="P385" s="36" t="n">
        <v>0</v>
      </c>
      <c r="Q385" s="302" t="n">
        <v>45467</v>
      </c>
    </row>
    <row r="386" customFormat="false" ht="34.3" hidden="true" customHeight="false" outlineLevel="0" collapsed="false">
      <c r="A386" s="332" t="n">
        <v>2456</v>
      </c>
      <c r="B386" s="34" t="s">
        <v>607</v>
      </c>
      <c r="C386" s="34" t="s">
        <v>608</v>
      </c>
      <c r="D386" s="25" t="n">
        <v>45325</v>
      </c>
      <c r="E386" s="25" t="n">
        <v>45426</v>
      </c>
      <c r="F386" s="25" t="n">
        <v>45426</v>
      </c>
      <c r="G386" s="50" t="n">
        <v>72</v>
      </c>
      <c r="H386" s="320" t="n">
        <v>75</v>
      </c>
      <c r="I386" s="320" t="n">
        <v>-3</v>
      </c>
      <c r="J386" s="34" t="s">
        <v>996</v>
      </c>
      <c r="K386" s="31" t="n">
        <v>70000</v>
      </c>
      <c r="L386" s="31" t="n">
        <v>151200</v>
      </c>
      <c r="M386" s="37" t="n">
        <v>10500</v>
      </c>
      <c r="N386" s="129" t="n">
        <v>21000</v>
      </c>
      <c r="O386" s="30" t="n">
        <v>157500</v>
      </c>
      <c r="P386" s="36" t="n">
        <v>-6300</v>
      </c>
      <c r="Q386" s="302" t="n">
        <v>45467</v>
      </c>
    </row>
    <row r="387" customFormat="false" ht="17.9" hidden="true" customHeight="false" outlineLevel="0" collapsed="false">
      <c r="A387" s="332" t="n">
        <v>2408</v>
      </c>
      <c r="B387" s="34" t="s">
        <v>224</v>
      </c>
      <c r="C387" s="34"/>
      <c r="D387" s="23"/>
      <c r="E387" s="25" t="n">
        <v>45300</v>
      </c>
      <c r="F387" s="25" t="n">
        <v>45468</v>
      </c>
      <c r="G387" s="50" t="n">
        <v>120</v>
      </c>
      <c r="H387" s="320" t="n">
        <v>120.345572354212</v>
      </c>
      <c r="I387" s="320" t="n">
        <v>-0.345572354211669</v>
      </c>
      <c r="J387" s="52" t="s">
        <v>1013</v>
      </c>
      <c r="K387" s="31" t="n">
        <v>50000</v>
      </c>
      <c r="L387" s="31" t="n">
        <v>138900</v>
      </c>
      <c r="M387" s="29" t="n">
        <v>5787.5</v>
      </c>
      <c r="N387" s="129" t="n">
        <v>23150</v>
      </c>
      <c r="O387" s="30" t="n">
        <v>139300</v>
      </c>
      <c r="P387" s="36" t="n">
        <v>-400</v>
      </c>
      <c r="Q387" s="302" t="n">
        <v>45474</v>
      </c>
    </row>
    <row r="388" customFormat="false" ht="42" hidden="true" customHeight="false" outlineLevel="0" collapsed="false">
      <c r="A388" s="332" t="n">
        <v>2550</v>
      </c>
      <c r="B388" s="34" t="s">
        <v>227</v>
      </c>
      <c r="C388" s="34" t="s">
        <v>228</v>
      </c>
      <c r="D388" s="23"/>
      <c r="E388" s="25" t="n">
        <v>45382</v>
      </c>
      <c r="F388" s="25" t="n">
        <v>45482</v>
      </c>
      <c r="G388" s="50" t="n">
        <v>72</v>
      </c>
      <c r="H388" s="320" t="n">
        <v>72</v>
      </c>
      <c r="I388" s="320" t="n">
        <v>0</v>
      </c>
      <c r="J388" s="34" t="s">
        <v>381</v>
      </c>
      <c r="K388" s="36" t="n">
        <v>10000</v>
      </c>
      <c r="L388" s="36" t="n">
        <v>21600</v>
      </c>
      <c r="M388" s="37" t="n">
        <v>1500</v>
      </c>
      <c r="N388" s="30" t="n">
        <v>5600</v>
      </c>
      <c r="O388" s="30" t="n">
        <v>21600</v>
      </c>
      <c r="P388" s="36" t="n">
        <v>0</v>
      </c>
      <c r="Q388" s="302" t="n">
        <v>45474</v>
      </c>
    </row>
    <row r="389" customFormat="false" ht="26.1" hidden="true" customHeight="false" outlineLevel="0" collapsed="false">
      <c r="A389" s="332" t="n">
        <v>2677</v>
      </c>
      <c r="B389" s="34" t="s">
        <v>794</v>
      </c>
      <c r="C389" s="34" t="s">
        <v>880</v>
      </c>
      <c r="D389" s="23"/>
      <c r="E389" s="25" t="n">
        <v>45463</v>
      </c>
      <c r="F389" s="25" t="n">
        <v>45478</v>
      </c>
      <c r="G389" s="50" t="n">
        <v>11</v>
      </c>
      <c r="H389" s="320" t="e">
        <f aca="false">#DIV/0!</f>
        <v>#DIV/0!</v>
      </c>
      <c r="I389" s="320" t="e">
        <f aca="false">#DIV/0!</f>
        <v>#DIV/0!</v>
      </c>
      <c r="J389" s="52" t="s">
        <v>751</v>
      </c>
      <c r="K389" s="36" t="n">
        <v>25000</v>
      </c>
      <c r="L389" s="36" t="n">
        <v>38000</v>
      </c>
      <c r="M389" s="37"/>
      <c r="N389" s="30" t="n">
        <v>38000</v>
      </c>
      <c r="O389" s="30" t="n">
        <v>38000</v>
      </c>
      <c r="P389" s="36" t="n">
        <v>0</v>
      </c>
      <c r="Q389" s="302" t="n">
        <v>45474</v>
      </c>
    </row>
    <row r="390" customFormat="false" ht="83.55" hidden="true" customHeight="false" outlineLevel="0" collapsed="false">
      <c r="A390" s="332" t="n">
        <v>2535</v>
      </c>
      <c r="B390" s="34" t="s">
        <v>1014</v>
      </c>
      <c r="C390" s="34" t="s">
        <v>305</v>
      </c>
      <c r="D390" s="34"/>
      <c r="E390" s="25" t="n">
        <v>45372</v>
      </c>
      <c r="F390" s="25" t="n">
        <f aca="false">WORKDAY(E390,G390)</f>
        <v>45474</v>
      </c>
      <c r="G390" s="50" t="n">
        <v>72</v>
      </c>
      <c r="H390" s="320" t="n">
        <f aca="false">(CX390* 5)/M390</f>
        <v>0</v>
      </c>
      <c r="I390" s="320" t="n">
        <f aca="false">G390-H390</f>
        <v>72</v>
      </c>
      <c r="J390" s="34" t="s">
        <v>412</v>
      </c>
      <c r="K390" s="36" t="n">
        <v>500000</v>
      </c>
      <c r="L390" s="36" t="n">
        <v>1080000</v>
      </c>
      <c r="M390" s="37" t="n">
        <f aca="false">(L390/G390)*5</f>
        <v>75000</v>
      </c>
      <c r="N390" s="336" t="s">
        <v>1015</v>
      </c>
      <c r="O390" s="30" t="n">
        <v>405000</v>
      </c>
      <c r="P390" s="36" t="n">
        <v>675000</v>
      </c>
      <c r="Q390" s="302" t="n">
        <v>45474</v>
      </c>
    </row>
    <row r="391" customFormat="false" ht="83.55" hidden="true" customHeight="false" outlineLevel="0" collapsed="false">
      <c r="A391" s="332" t="n">
        <v>2566</v>
      </c>
      <c r="B391" s="34" t="s">
        <v>1016</v>
      </c>
      <c r="C391" s="34" t="s">
        <v>305</v>
      </c>
      <c r="D391" s="34"/>
      <c r="E391" s="25" t="n">
        <v>45392</v>
      </c>
      <c r="F391" s="25" t="n">
        <f aca="false">WORKDAY(E391,G391)</f>
        <v>45492</v>
      </c>
      <c r="G391" s="50" t="n">
        <v>72</v>
      </c>
      <c r="H391" s="320" t="n">
        <f aca="false">(CX391* 5)/M391</f>
        <v>0</v>
      </c>
      <c r="I391" s="320" t="n">
        <f aca="false">G391-H391</f>
        <v>72</v>
      </c>
      <c r="J391" s="34" t="s">
        <v>1017</v>
      </c>
      <c r="K391" s="31" t="n">
        <v>700000</v>
      </c>
      <c r="L391" s="31" t="n">
        <v>1512000</v>
      </c>
      <c r="M391" s="37" t="n">
        <f aca="false">(L391/G391)*5</f>
        <v>105000</v>
      </c>
      <c r="N391" s="336" t="s">
        <v>1015</v>
      </c>
      <c r="O391" s="30" t="n">
        <v>105000</v>
      </c>
      <c r="P391" s="36" t="n">
        <v>1407000</v>
      </c>
      <c r="Q391" s="302" t="n">
        <v>45474</v>
      </c>
    </row>
    <row r="392" customFormat="false" ht="17.9" hidden="true" customHeight="false" outlineLevel="0" collapsed="false">
      <c r="A392" s="332" t="n">
        <v>2438</v>
      </c>
      <c r="B392" s="34" t="s">
        <v>333</v>
      </c>
      <c r="C392" s="34" t="s">
        <v>907</v>
      </c>
      <c r="D392" s="23"/>
      <c r="E392" s="25" t="n">
        <v>45314</v>
      </c>
      <c r="F392" s="25" t="n">
        <v>45468</v>
      </c>
      <c r="G392" s="50" t="n">
        <v>110</v>
      </c>
      <c r="H392" s="320" t="n">
        <v>110</v>
      </c>
      <c r="I392" s="320" t="n">
        <v>0</v>
      </c>
      <c r="J392" s="34" t="s">
        <v>362</v>
      </c>
      <c r="K392" s="31" t="n">
        <v>100000</v>
      </c>
      <c r="L392" s="31" t="n">
        <v>264000</v>
      </c>
      <c r="M392" s="37" t="n">
        <v>12000</v>
      </c>
      <c r="N392" s="30" t="n">
        <v>12000</v>
      </c>
      <c r="O392" s="30" t="n">
        <v>264000</v>
      </c>
      <c r="P392" s="36" t="n">
        <v>0</v>
      </c>
      <c r="Q392" s="302" t="n">
        <v>45474</v>
      </c>
    </row>
    <row r="393" customFormat="false" ht="42.5" hidden="true" customHeight="false" outlineLevel="0" collapsed="false">
      <c r="A393" s="332" t="n">
        <v>2487</v>
      </c>
      <c r="B393" s="34" t="s">
        <v>881</v>
      </c>
      <c r="C393" s="34" t="s">
        <v>882</v>
      </c>
      <c r="D393" s="23"/>
      <c r="E393" s="25" t="n">
        <v>45343</v>
      </c>
      <c r="F393" s="25" t="n">
        <v>45441</v>
      </c>
      <c r="G393" s="50" t="n">
        <v>70</v>
      </c>
      <c r="H393" s="320" t="n">
        <v>70</v>
      </c>
      <c r="I393" s="320" t="n">
        <v>0</v>
      </c>
      <c r="J393" s="34" t="s">
        <v>966</v>
      </c>
      <c r="K393" s="36" t="n">
        <v>50000</v>
      </c>
      <c r="L393" s="36" t="n">
        <v>122500</v>
      </c>
      <c r="M393" s="37" t="n">
        <v>8750</v>
      </c>
      <c r="N393" s="30" t="n">
        <v>33000</v>
      </c>
      <c r="O393" s="30" t="n">
        <v>122500</v>
      </c>
      <c r="P393" s="36" t="n">
        <v>0</v>
      </c>
      <c r="Q393" s="302" t="n">
        <v>45474</v>
      </c>
    </row>
    <row r="394" customFormat="false" ht="26.1" hidden="true" customHeight="false" outlineLevel="0" collapsed="false">
      <c r="A394" s="332" t="n">
        <v>2428</v>
      </c>
      <c r="B394" s="34" t="s">
        <v>752</v>
      </c>
      <c r="C394" s="34" t="s">
        <v>753</v>
      </c>
      <c r="D394" s="23"/>
      <c r="E394" s="25" t="n">
        <v>45308</v>
      </c>
      <c r="F394" s="25" t="n">
        <v>45408</v>
      </c>
      <c r="G394" s="50" t="n">
        <v>72</v>
      </c>
      <c r="H394" s="320" t="n">
        <v>72</v>
      </c>
      <c r="I394" s="320" t="n">
        <v>0</v>
      </c>
      <c r="J394" s="34" t="s">
        <v>452</v>
      </c>
      <c r="K394" s="31" t="n">
        <v>30000</v>
      </c>
      <c r="L394" s="31" t="n">
        <v>64800</v>
      </c>
      <c r="M394" s="37" t="n">
        <v>4500</v>
      </c>
      <c r="N394" s="30" t="n">
        <v>300</v>
      </c>
      <c r="O394" s="30" t="n">
        <v>64800</v>
      </c>
      <c r="P394" s="36" t="n">
        <v>0</v>
      </c>
      <c r="Q394" s="302" t="n">
        <v>45474</v>
      </c>
    </row>
    <row r="395" customFormat="false" ht="26.1" hidden="true" customHeight="false" outlineLevel="0" collapsed="false">
      <c r="A395" s="332" t="n">
        <v>2625</v>
      </c>
      <c r="B395" s="34" t="s">
        <v>754</v>
      </c>
      <c r="C395" s="34" t="s">
        <v>755</v>
      </c>
      <c r="D395" s="23"/>
      <c r="E395" s="25" t="n">
        <v>45427</v>
      </c>
      <c r="F395" s="25" t="n">
        <v>45455</v>
      </c>
      <c r="G395" s="50" t="n">
        <v>20</v>
      </c>
      <c r="H395" s="320" t="e">
        <f aca="false">#DIV/0!</f>
        <v>#DIV/0!</v>
      </c>
      <c r="I395" s="320" t="e">
        <f aca="false">#DIV/0!</f>
        <v>#DIV/0!</v>
      </c>
      <c r="J395" s="52" t="s">
        <v>751</v>
      </c>
      <c r="K395" s="36" t="n">
        <v>40000</v>
      </c>
      <c r="L395" s="36" t="n">
        <v>60000</v>
      </c>
      <c r="M395" s="37"/>
      <c r="N395" s="30" t="n">
        <v>60000</v>
      </c>
      <c r="O395" s="30" t="n">
        <v>60000</v>
      </c>
      <c r="P395" s="36" t="n">
        <v>0</v>
      </c>
      <c r="Q395" s="302" t="n">
        <v>45474</v>
      </c>
    </row>
    <row r="396" customFormat="false" ht="34.3" hidden="true" customHeight="false" outlineLevel="0" collapsed="false">
      <c r="A396" s="332" t="n">
        <v>2402</v>
      </c>
      <c r="B396" s="34" t="s">
        <v>779</v>
      </c>
      <c r="C396" s="34"/>
      <c r="D396" s="23"/>
      <c r="E396" s="25" t="n">
        <v>45263</v>
      </c>
      <c r="F396" s="25" t="n">
        <v>45457</v>
      </c>
      <c r="G396" s="50" t="n">
        <v>140</v>
      </c>
      <c r="H396" s="320" t="n">
        <v>140</v>
      </c>
      <c r="I396" s="320" t="n">
        <v>0</v>
      </c>
      <c r="J396" s="52" t="s">
        <v>1018</v>
      </c>
      <c r="K396" s="36" t="n">
        <v>30000</v>
      </c>
      <c r="L396" s="36" t="n">
        <v>79240</v>
      </c>
      <c r="M396" s="37" t="n">
        <v>2830</v>
      </c>
      <c r="N396" s="30" t="n">
        <v>11320</v>
      </c>
      <c r="O396" s="30" t="n">
        <v>79240</v>
      </c>
      <c r="P396" s="36" t="n">
        <v>0</v>
      </c>
      <c r="Q396" s="302" t="n">
        <v>45474</v>
      </c>
    </row>
    <row r="397" customFormat="false" ht="34.3" hidden="true" customHeight="false" outlineLevel="0" collapsed="false">
      <c r="A397" s="332" t="n">
        <v>2676</v>
      </c>
      <c r="B397" s="34" t="s">
        <v>779</v>
      </c>
      <c r="C397" s="34"/>
      <c r="D397" s="23"/>
      <c r="E397" s="25" t="n">
        <v>45462</v>
      </c>
      <c r="F397" s="25" t="n">
        <v>45483</v>
      </c>
      <c r="G397" s="50" t="n">
        <v>15</v>
      </c>
      <c r="H397" s="320" t="e">
        <f aca="false">#DIV/0!</f>
        <v>#DIV/0!</v>
      </c>
      <c r="I397" s="320" t="e">
        <f aca="false">#DIV/0!</f>
        <v>#DIV/0!</v>
      </c>
      <c r="J397" s="52" t="s">
        <v>751</v>
      </c>
      <c r="K397" s="36" t="n">
        <v>20000</v>
      </c>
      <c r="L397" s="36" t="n">
        <v>30000</v>
      </c>
      <c r="M397" s="37"/>
      <c r="N397" s="30" t="n">
        <v>30000</v>
      </c>
      <c r="O397" s="30" t="n">
        <v>30000</v>
      </c>
      <c r="P397" s="36" t="n">
        <v>0</v>
      </c>
      <c r="Q397" s="302" t="n">
        <v>45474</v>
      </c>
    </row>
    <row r="398" customFormat="false" ht="26.1" hidden="true" customHeight="false" outlineLevel="0" collapsed="false">
      <c r="A398" s="332" t="n">
        <v>2518</v>
      </c>
      <c r="B398" s="34" t="s">
        <v>519</v>
      </c>
      <c r="C398" s="34" t="s">
        <v>520</v>
      </c>
      <c r="D398" s="23"/>
      <c r="E398" s="25" t="n">
        <v>45363</v>
      </c>
      <c r="F398" s="25" t="n">
        <v>45463</v>
      </c>
      <c r="G398" s="50" t="n">
        <v>72</v>
      </c>
      <c r="H398" s="320" t="n">
        <v>72</v>
      </c>
      <c r="I398" s="320" t="n">
        <v>0</v>
      </c>
      <c r="J398" s="34" t="s">
        <v>381</v>
      </c>
      <c r="K398" s="31" t="n">
        <v>50000</v>
      </c>
      <c r="L398" s="31" t="n">
        <v>108000</v>
      </c>
      <c r="M398" s="37" t="n">
        <v>7500</v>
      </c>
      <c r="N398" s="30" t="n">
        <v>13000</v>
      </c>
      <c r="O398" s="30" t="n">
        <v>108000</v>
      </c>
      <c r="P398" s="31" t="n">
        <v>0</v>
      </c>
      <c r="Q398" s="302" t="n">
        <v>45474</v>
      </c>
    </row>
    <row r="399" customFormat="false" ht="50.7" hidden="true" customHeight="false" outlineLevel="0" collapsed="false">
      <c r="A399" s="332" t="n">
        <v>2515</v>
      </c>
      <c r="B399" s="34" t="s">
        <v>218</v>
      </c>
      <c r="C399" s="34" t="s">
        <v>219</v>
      </c>
      <c r="D399" s="34"/>
      <c r="E399" s="323" t="n">
        <v>45362</v>
      </c>
      <c r="F399" s="25" t="n">
        <v>45474</v>
      </c>
      <c r="G399" s="72" t="n">
        <v>80</v>
      </c>
      <c r="H399" s="320" t="n">
        <v>80</v>
      </c>
      <c r="I399" s="320" t="n">
        <v>0</v>
      </c>
      <c r="J399" s="52" t="s">
        <v>944</v>
      </c>
      <c r="K399" s="31" t="n">
        <v>50000</v>
      </c>
      <c r="L399" s="31" t="n">
        <v>108000</v>
      </c>
      <c r="M399" s="37" t="n">
        <v>6750</v>
      </c>
      <c r="N399" s="30" t="n">
        <v>27000</v>
      </c>
      <c r="O399" s="30" t="n">
        <v>108000</v>
      </c>
      <c r="P399" s="36" t="n">
        <v>0</v>
      </c>
      <c r="Q399" s="302" t="n">
        <v>45481</v>
      </c>
    </row>
    <row r="400" customFormat="false" ht="26.1" hidden="true" customHeight="false" outlineLevel="0" collapsed="false">
      <c r="A400" s="332" t="n">
        <v>2146</v>
      </c>
      <c r="B400" s="34" t="s">
        <v>251</v>
      </c>
      <c r="C400" s="34" t="s">
        <v>252</v>
      </c>
      <c r="D400" s="34" t="s">
        <v>253</v>
      </c>
      <c r="E400" s="25" t="n">
        <v>45112</v>
      </c>
      <c r="F400" s="25" t="n">
        <v>45448</v>
      </c>
      <c r="G400" s="72" t="n">
        <v>240</v>
      </c>
      <c r="H400" s="320" t="n">
        <v>240.25</v>
      </c>
      <c r="I400" s="320" t="n">
        <v>-0.25</v>
      </c>
      <c r="J400" s="52" t="s">
        <v>1019</v>
      </c>
      <c r="K400" s="31" t="n">
        <v>100000</v>
      </c>
      <c r="L400" s="31" t="n">
        <v>240000</v>
      </c>
      <c r="M400" s="37" t="n">
        <v>5000</v>
      </c>
      <c r="N400" s="30" t="n">
        <v>20000</v>
      </c>
      <c r="O400" s="30" t="n">
        <v>240250</v>
      </c>
      <c r="P400" s="36" t="n">
        <v>-250</v>
      </c>
      <c r="Q400" s="302" t="n">
        <v>45481</v>
      </c>
    </row>
    <row r="401" customFormat="false" ht="26.1" hidden="true" customHeight="false" outlineLevel="0" collapsed="false">
      <c r="A401" s="332" t="n">
        <v>2393</v>
      </c>
      <c r="B401" s="34" t="s">
        <v>829</v>
      </c>
      <c r="C401" s="34" t="s">
        <v>830</v>
      </c>
      <c r="D401" s="34"/>
      <c r="E401" s="25" t="n">
        <v>45289</v>
      </c>
      <c r="F401" s="25" t="n">
        <v>45468</v>
      </c>
      <c r="G401" s="72" t="n">
        <v>127</v>
      </c>
      <c r="H401" s="320" t="n">
        <v>140</v>
      </c>
      <c r="I401" s="320" t="n">
        <v>-13</v>
      </c>
      <c r="J401" s="52" t="s">
        <v>1020</v>
      </c>
      <c r="K401" s="36" t="n">
        <v>40000</v>
      </c>
      <c r="L401" s="36" t="n">
        <v>105700</v>
      </c>
      <c r="M401" s="37" t="n">
        <v>3775</v>
      </c>
      <c r="N401" s="30" t="n">
        <v>15100</v>
      </c>
      <c r="O401" s="30" t="n">
        <v>105700</v>
      </c>
      <c r="P401" s="36" t="n">
        <v>0</v>
      </c>
      <c r="Q401" s="302" t="n">
        <v>45481</v>
      </c>
    </row>
    <row r="402" customFormat="false" ht="28.35" hidden="true" customHeight="false" outlineLevel="0" collapsed="false">
      <c r="A402" s="332" t="n">
        <v>2489</v>
      </c>
      <c r="B402" s="22" t="s">
        <v>425</v>
      </c>
      <c r="C402" s="22" t="s">
        <v>426</v>
      </c>
      <c r="D402" s="22"/>
      <c r="E402" s="25" t="n">
        <v>45344</v>
      </c>
      <c r="F402" s="25" t="n">
        <v>45484</v>
      </c>
      <c r="G402" s="72" t="n">
        <v>100</v>
      </c>
      <c r="H402" s="320" t="n">
        <v>80</v>
      </c>
      <c r="I402" s="320" t="n">
        <v>20</v>
      </c>
      <c r="J402" s="52" t="s">
        <v>924</v>
      </c>
      <c r="K402" s="34" t="n">
        <v>30000</v>
      </c>
      <c r="L402" s="31" t="n">
        <v>64800</v>
      </c>
      <c r="M402" s="37" t="n">
        <v>4050</v>
      </c>
      <c r="N402" s="30" t="n">
        <v>16200</v>
      </c>
      <c r="O402" s="30" t="n">
        <v>64800</v>
      </c>
      <c r="P402" s="36" t="n">
        <v>0</v>
      </c>
      <c r="Q402" s="302" t="n">
        <v>45481</v>
      </c>
    </row>
    <row r="403" customFormat="false" ht="14.25" hidden="true" customHeight="false" outlineLevel="0" collapsed="false">
      <c r="A403" s="332" t="n">
        <v>2690</v>
      </c>
      <c r="B403" s="34" t="s">
        <v>861</v>
      </c>
      <c r="C403" s="34"/>
      <c r="D403" s="34"/>
      <c r="E403" s="25" t="n">
        <v>45474</v>
      </c>
      <c r="F403" s="25" t="n">
        <v>45484</v>
      </c>
      <c r="G403" s="72" t="n">
        <v>8</v>
      </c>
      <c r="H403" s="320" t="e">
        <f aca="false">#VALUE!</f>
        <v>#VALUE!</v>
      </c>
      <c r="I403" s="320" t="e">
        <f aca="false">#VALUE!</f>
        <v>#VALUE!</v>
      </c>
      <c r="J403" s="52" t="s">
        <v>751</v>
      </c>
      <c r="K403" s="328" t="n">
        <v>25000</v>
      </c>
      <c r="L403" s="36" t="n">
        <v>32500</v>
      </c>
      <c r="M403" s="37" t="s">
        <v>214</v>
      </c>
      <c r="N403" s="30" t="n">
        <v>32500</v>
      </c>
      <c r="O403" s="30" t="n">
        <v>32500</v>
      </c>
      <c r="P403" s="36" t="n">
        <v>0</v>
      </c>
      <c r="Q403" s="302" t="n">
        <v>45481</v>
      </c>
    </row>
    <row r="404" customFormat="false" ht="14.25" hidden="true" customHeight="false" outlineLevel="0" collapsed="false">
      <c r="A404" s="337" t="n">
        <v>2704</v>
      </c>
      <c r="B404" s="34" t="s">
        <v>861</v>
      </c>
      <c r="C404" s="34"/>
      <c r="D404" s="34"/>
      <c r="E404" s="25" t="n">
        <v>45482</v>
      </c>
      <c r="F404" s="25" t="n">
        <v>45489</v>
      </c>
      <c r="G404" s="72" t="n">
        <v>5</v>
      </c>
      <c r="H404" s="320" t="e">
        <f aca="false">#VALUE!</f>
        <v>#VALUE!</v>
      </c>
      <c r="I404" s="320" t="e">
        <f aca="false">#VALUE!</f>
        <v>#VALUE!</v>
      </c>
      <c r="J404" s="52" t="s">
        <v>751</v>
      </c>
      <c r="K404" s="46" t="n">
        <v>10000</v>
      </c>
      <c r="L404" s="36" t="n">
        <v>16000</v>
      </c>
      <c r="M404" s="37" t="s">
        <v>214</v>
      </c>
      <c r="N404" s="30" t="n">
        <v>16000</v>
      </c>
      <c r="O404" s="30" t="n">
        <v>16000</v>
      </c>
      <c r="P404" s="36" t="n">
        <v>0</v>
      </c>
      <c r="Q404" s="302" t="n">
        <v>45481</v>
      </c>
    </row>
    <row r="405" customFormat="false" ht="26.1" hidden="true" customHeight="false" outlineLevel="0" collapsed="false">
      <c r="A405" s="332" t="n">
        <v>2391</v>
      </c>
      <c r="B405" s="34" t="s">
        <v>781</v>
      </c>
      <c r="C405" s="34" t="s">
        <v>782</v>
      </c>
      <c r="D405" s="34"/>
      <c r="E405" s="25" t="n">
        <v>45289</v>
      </c>
      <c r="F405" s="25" t="n">
        <v>45457</v>
      </c>
      <c r="G405" s="72" t="n">
        <v>120</v>
      </c>
      <c r="H405" s="320" t="n">
        <v>120</v>
      </c>
      <c r="I405" s="320" t="n">
        <v>0</v>
      </c>
      <c r="J405" s="52" t="s">
        <v>1021</v>
      </c>
      <c r="K405" s="31" t="n">
        <v>40000</v>
      </c>
      <c r="L405" s="31" t="n">
        <v>105600</v>
      </c>
      <c r="M405" s="37" t="n">
        <v>4400</v>
      </c>
      <c r="N405" s="30" t="n">
        <v>17600</v>
      </c>
      <c r="O405" s="30" t="n">
        <v>105600</v>
      </c>
      <c r="P405" s="36" t="n">
        <v>0</v>
      </c>
      <c r="Q405" s="302" t="n">
        <v>45481</v>
      </c>
    </row>
    <row r="406" customFormat="false" ht="14.25" hidden="true" customHeight="false" outlineLevel="0" collapsed="false">
      <c r="A406" s="332" t="n">
        <v>2669</v>
      </c>
      <c r="B406" s="34" t="s">
        <v>1022</v>
      </c>
      <c r="C406" s="34"/>
      <c r="D406" s="34"/>
      <c r="E406" s="25" t="n">
        <v>45461</v>
      </c>
      <c r="F406" s="25" t="n">
        <v>45489</v>
      </c>
      <c r="G406" s="72" t="n">
        <v>20</v>
      </c>
      <c r="H406" s="320" t="e">
        <f aca="false">#VALUE!</f>
        <v>#VALUE!</v>
      </c>
      <c r="I406" s="320" t="e">
        <f aca="false">#VALUE!</f>
        <v>#VALUE!</v>
      </c>
      <c r="J406" s="34" t="s">
        <v>751</v>
      </c>
      <c r="K406" s="36" t="n">
        <v>30000</v>
      </c>
      <c r="L406" s="36" t="n">
        <v>45000</v>
      </c>
      <c r="M406" s="29" t="s">
        <v>214</v>
      </c>
      <c r="N406" s="30" t="n">
        <v>45000</v>
      </c>
      <c r="O406" s="30" t="n">
        <v>45000</v>
      </c>
      <c r="P406" s="36" t="n">
        <v>0</v>
      </c>
      <c r="Q406" s="302" t="n">
        <v>45481</v>
      </c>
    </row>
    <row r="407" customFormat="false" ht="26.1" hidden="true" customHeight="false" outlineLevel="0" collapsed="false">
      <c r="A407" s="332" t="n">
        <v>2440</v>
      </c>
      <c r="B407" s="34" t="s">
        <v>628</v>
      </c>
      <c r="C407" s="34" t="s">
        <v>629</v>
      </c>
      <c r="D407" s="34"/>
      <c r="E407" s="25" t="n">
        <v>45316</v>
      </c>
      <c r="F407" s="25" t="n">
        <v>45470</v>
      </c>
      <c r="G407" s="72" t="n">
        <v>110</v>
      </c>
      <c r="H407" s="320" t="n">
        <v>118.75</v>
      </c>
      <c r="I407" s="320" t="n">
        <v>-8.75</v>
      </c>
      <c r="J407" s="34" t="s">
        <v>362</v>
      </c>
      <c r="K407" s="36" t="n">
        <v>100000</v>
      </c>
      <c r="L407" s="36" t="n">
        <v>264000</v>
      </c>
      <c r="M407" s="29" t="n">
        <v>12000</v>
      </c>
      <c r="N407" s="30" t="n">
        <v>12000</v>
      </c>
      <c r="O407" s="30" t="n">
        <v>285000</v>
      </c>
      <c r="P407" s="36" t="n">
        <v>-21000</v>
      </c>
      <c r="Q407" s="302" t="n">
        <v>45481</v>
      </c>
    </row>
    <row r="408" customFormat="false" ht="26.1" hidden="true" customHeight="false" outlineLevel="0" collapsed="false">
      <c r="A408" s="332" t="n">
        <v>2544</v>
      </c>
      <c r="B408" s="34" t="s">
        <v>628</v>
      </c>
      <c r="C408" s="34" t="s">
        <v>629</v>
      </c>
      <c r="D408" s="34"/>
      <c r="E408" s="25" t="n">
        <v>45377</v>
      </c>
      <c r="F408" s="25" t="n">
        <v>45475</v>
      </c>
      <c r="G408" s="72" t="n">
        <v>70</v>
      </c>
      <c r="H408" s="320" t="n">
        <v>70.0064808813999</v>
      </c>
      <c r="I408" s="320" t="n">
        <v>-0.00648088139986669</v>
      </c>
      <c r="J408" s="68" t="s">
        <v>1023</v>
      </c>
      <c r="K408" s="31" t="n">
        <v>100000</v>
      </c>
      <c r="L408" s="31" t="n">
        <v>216020</v>
      </c>
      <c r="M408" s="37" t="n">
        <v>15430</v>
      </c>
      <c r="N408" s="30" t="n">
        <v>12600</v>
      </c>
      <c r="O408" s="30" t="n">
        <v>216040</v>
      </c>
      <c r="P408" s="36" t="n">
        <v>-20</v>
      </c>
      <c r="Q408" s="302" t="n">
        <v>45481</v>
      </c>
    </row>
    <row r="409" customFormat="false" ht="26.1" hidden="true" customHeight="false" outlineLevel="0" collapsed="false">
      <c r="A409" s="337" t="n">
        <v>2699</v>
      </c>
      <c r="B409" s="34" t="s">
        <v>249</v>
      </c>
      <c r="C409" s="34"/>
      <c r="D409" s="34" t="n">
        <v>27252034574</v>
      </c>
      <c r="E409" s="25" t="n">
        <v>45481</v>
      </c>
      <c r="F409" s="25" t="n">
        <v>45495</v>
      </c>
      <c r="G409" s="72" t="n">
        <v>10</v>
      </c>
      <c r="H409" s="320" t="e">
        <f aca="false">#VALUE!</f>
        <v>#VALUE!</v>
      </c>
      <c r="I409" s="320" t="e">
        <f aca="false">#VALUE!</f>
        <v>#VALUE!</v>
      </c>
      <c r="J409" s="52" t="s">
        <v>751</v>
      </c>
      <c r="K409" s="325" t="n">
        <v>50000</v>
      </c>
      <c r="L409" s="31" t="n">
        <v>70000</v>
      </c>
      <c r="M409" s="37" t="s">
        <v>214</v>
      </c>
      <c r="N409" s="30" t="n">
        <v>70000</v>
      </c>
      <c r="O409" s="30" t="n">
        <v>70000</v>
      </c>
      <c r="P409" s="36" t="n">
        <v>0</v>
      </c>
      <c r="Q409" s="302" t="n">
        <v>45488</v>
      </c>
    </row>
    <row r="410" customFormat="false" ht="17.9" hidden="true" customHeight="false" outlineLevel="0" collapsed="false">
      <c r="A410" s="332" t="n">
        <v>2362</v>
      </c>
      <c r="B410" s="34" t="s">
        <v>276</v>
      </c>
      <c r="C410" s="34" t="s">
        <v>277</v>
      </c>
      <c r="D410" s="34"/>
      <c r="E410" s="25" t="n">
        <v>45265</v>
      </c>
      <c r="F410" s="25" t="n">
        <v>45461</v>
      </c>
      <c r="G410" s="72" t="n">
        <v>140</v>
      </c>
      <c r="H410" s="320" t="n">
        <v>280</v>
      </c>
      <c r="I410" s="320" t="n">
        <v>-140</v>
      </c>
      <c r="J410" s="68" t="s">
        <v>1024</v>
      </c>
      <c r="K410" s="36" t="n">
        <v>150000</v>
      </c>
      <c r="L410" s="36" t="n">
        <v>360220</v>
      </c>
      <c r="M410" s="37" t="n">
        <v>6432.5</v>
      </c>
      <c r="N410" s="30" t="n">
        <v>51460</v>
      </c>
      <c r="O410" s="30" t="n">
        <v>360220</v>
      </c>
      <c r="P410" s="36" t="n">
        <v>0</v>
      </c>
      <c r="Q410" s="302" t="n">
        <v>45488</v>
      </c>
    </row>
    <row r="411" customFormat="false" ht="34.3" hidden="true" customHeight="false" outlineLevel="0" collapsed="false">
      <c r="A411" s="332" t="n">
        <v>2592</v>
      </c>
      <c r="B411" s="34" t="s">
        <v>956</v>
      </c>
      <c r="C411" s="34" t="s">
        <v>308</v>
      </c>
      <c r="D411" s="34"/>
      <c r="E411" s="25" t="n">
        <v>45405</v>
      </c>
      <c r="F411" s="25" t="n">
        <v>45489</v>
      </c>
      <c r="G411" s="72" t="n">
        <v>60</v>
      </c>
      <c r="H411" s="320" t="n">
        <v>60</v>
      </c>
      <c r="I411" s="320" t="n">
        <v>0</v>
      </c>
      <c r="J411" s="52" t="s">
        <v>1025</v>
      </c>
      <c r="K411" s="31" t="n">
        <v>80000</v>
      </c>
      <c r="L411" s="31" t="n">
        <v>163500</v>
      </c>
      <c r="M411" s="29" t="n">
        <v>13625</v>
      </c>
      <c r="N411" s="30" t="n">
        <v>54500</v>
      </c>
      <c r="O411" s="30" t="n">
        <v>163500</v>
      </c>
      <c r="P411" s="36" t="n">
        <v>0</v>
      </c>
      <c r="Q411" s="302" t="n">
        <v>45488</v>
      </c>
    </row>
    <row r="412" customFormat="false" ht="42" hidden="true" customHeight="false" outlineLevel="0" collapsed="false">
      <c r="A412" s="332" t="n">
        <v>2416</v>
      </c>
      <c r="B412" s="34" t="s">
        <v>396</v>
      </c>
      <c r="C412" s="34" t="s">
        <v>397</v>
      </c>
      <c r="D412" s="34"/>
      <c r="E412" s="25" t="n">
        <v>45302</v>
      </c>
      <c r="F412" s="25" t="n">
        <v>45484</v>
      </c>
      <c r="G412" s="72" t="n">
        <v>130</v>
      </c>
      <c r="H412" s="320" t="n">
        <v>120</v>
      </c>
      <c r="I412" s="320" t="n">
        <v>10</v>
      </c>
      <c r="J412" s="52" t="s">
        <v>1026</v>
      </c>
      <c r="K412" s="36" t="n">
        <v>30000</v>
      </c>
      <c r="L412" s="36" t="n">
        <v>79200</v>
      </c>
      <c r="M412" s="29" t="n">
        <v>3300</v>
      </c>
      <c r="N412" s="30" t="n">
        <v>13600</v>
      </c>
      <c r="O412" s="30" t="n">
        <v>79200</v>
      </c>
      <c r="P412" s="36" t="n">
        <v>0</v>
      </c>
      <c r="Q412" s="302" t="n">
        <v>45488</v>
      </c>
    </row>
    <row r="413" customFormat="false" ht="42" hidden="true" customHeight="false" outlineLevel="0" collapsed="false">
      <c r="A413" s="332" t="n">
        <v>2490</v>
      </c>
      <c r="B413" s="34" t="s">
        <v>833</v>
      </c>
      <c r="C413" s="34" t="s">
        <v>834</v>
      </c>
      <c r="D413" s="34"/>
      <c r="E413" s="25" t="n">
        <v>45345</v>
      </c>
      <c r="F413" s="25" t="n">
        <v>45513</v>
      </c>
      <c r="G413" s="72" t="n">
        <v>120</v>
      </c>
      <c r="H413" s="320" t="n">
        <v>110</v>
      </c>
      <c r="I413" s="320" t="n">
        <v>10</v>
      </c>
      <c r="J413" s="52" t="s">
        <v>1027</v>
      </c>
      <c r="K413" s="36" t="n">
        <v>120000</v>
      </c>
      <c r="L413" s="36" t="n">
        <v>316800</v>
      </c>
      <c r="M413" s="29" t="n">
        <v>14400</v>
      </c>
      <c r="N413" s="30" t="n">
        <v>22620</v>
      </c>
      <c r="O413" s="30" t="n">
        <v>316800</v>
      </c>
      <c r="P413" s="36" t="n">
        <v>0</v>
      </c>
      <c r="Q413" s="302" t="n">
        <v>45488</v>
      </c>
    </row>
    <row r="414" customFormat="false" ht="26.1" hidden="true" customHeight="false" outlineLevel="0" collapsed="false">
      <c r="A414" s="332" t="n">
        <v>2267</v>
      </c>
      <c r="B414" s="34" t="s">
        <v>946</v>
      </c>
      <c r="C414" s="34" t="s">
        <v>877</v>
      </c>
      <c r="D414" s="34"/>
      <c r="E414" s="25" t="n">
        <v>45195</v>
      </c>
      <c r="F414" s="25" t="n">
        <v>45295</v>
      </c>
      <c r="G414" s="72" t="n">
        <v>72</v>
      </c>
      <c r="H414" s="320" t="n">
        <v>72</v>
      </c>
      <c r="I414" s="320" t="n">
        <v>0</v>
      </c>
      <c r="J414" s="34" t="s">
        <v>774</v>
      </c>
      <c r="K414" s="36" t="n">
        <v>25000</v>
      </c>
      <c r="L414" s="36" t="n">
        <v>54000</v>
      </c>
      <c r="M414" s="37" t="n">
        <v>3750</v>
      </c>
      <c r="N414" s="30" t="n">
        <v>3220</v>
      </c>
      <c r="O414" s="30" t="n">
        <v>54000</v>
      </c>
      <c r="P414" s="36" t="n">
        <v>0</v>
      </c>
      <c r="Q414" s="302" t="n">
        <v>45488</v>
      </c>
    </row>
    <row r="415" customFormat="false" ht="26.1" hidden="true" customHeight="false" outlineLevel="0" collapsed="false">
      <c r="A415" s="332" t="n">
        <v>2576</v>
      </c>
      <c r="B415" s="34" t="s">
        <v>519</v>
      </c>
      <c r="C415" s="34" t="s">
        <v>520</v>
      </c>
      <c r="D415" s="34"/>
      <c r="E415" s="25" t="n">
        <v>45397</v>
      </c>
      <c r="F415" s="25" t="n">
        <v>45497</v>
      </c>
      <c r="G415" s="72" t="n">
        <v>72</v>
      </c>
      <c r="H415" s="320" t="n">
        <v>72</v>
      </c>
      <c r="I415" s="320" t="n">
        <v>0</v>
      </c>
      <c r="J415" s="34" t="s">
        <v>381</v>
      </c>
      <c r="K415" s="36" t="n">
        <v>50000</v>
      </c>
      <c r="L415" s="36" t="n">
        <v>108000</v>
      </c>
      <c r="M415" s="37" t="n">
        <v>7500</v>
      </c>
      <c r="N415" s="30" t="n">
        <v>19500</v>
      </c>
      <c r="O415" s="30" t="n">
        <v>108000</v>
      </c>
      <c r="P415" s="36" t="n">
        <v>0</v>
      </c>
      <c r="Q415" s="302" t="n">
        <v>45488</v>
      </c>
    </row>
    <row r="416" customFormat="false" ht="26.1" hidden="true" customHeight="false" outlineLevel="0" collapsed="false">
      <c r="A416" s="332" t="n">
        <v>2673</v>
      </c>
      <c r="B416" s="34" t="s">
        <v>758</v>
      </c>
      <c r="C416" s="34"/>
      <c r="D416" s="34"/>
      <c r="E416" s="25" t="n">
        <v>45462</v>
      </c>
      <c r="F416" s="25" t="n">
        <v>45490</v>
      </c>
      <c r="G416" s="72" t="n">
        <v>20</v>
      </c>
      <c r="H416" s="320" t="e">
        <f aca="false">#DIV/0!</f>
        <v>#DIV/0!</v>
      </c>
      <c r="I416" s="320" t="e">
        <f aca="false">#DIV/0!</f>
        <v>#DIV/0!</v>
      </c>
      <c r="J416" s="52" t="s">
        <v>751</v>
      </c>
      <c r="K416" s="36" t="n">
        <v>20000</v>
      </c>
      <c r="L416" s="36" t="n">
        <v>30000</v>
      </c>
      <c r="M416" s="29"/>
      <c r="N416" s="30" t="n">
        <v>30000</v>
      </c>
      <c r="O416" s="30" t="n">
        <v>30000</v>
      </c>
      <c r="P416" s="36" t="n">
        <v>0</v>
      </c>
      <c r="Q416" s="302" t="n">
        <v>45488</v>
      </c>
    </row>
    <row r="417" customFormat="false" ht="26.1" hidden="true" customHeight="false" outlineLevel="0" collapsed="false">
      <c r="A417" s="332" t="n">
        <v>2684</v>
      </c>
      <c r="B417" s="34" t="s">
        <v>758</v>
      </c>
      <c r="C417" s="34"/>
      <c r="D417" s="34"/>
      <c r="E417" s="25" t="n">
        <v>45469</v>
      </c>
      <c r="F417" s="25" t="n">
        <v>45490</v>
      </c>
      <c r="G417" s="72" t="n">
        <v>15</v>
      </c>
      <c r="H417" s="320" t="e">
        <f aca="false">#DIV/0!</f>
        <v>#DIV/0!</v>
      </c>
      <c r="I417" s="320" t="e">
        <f aca="false">#DIV/0!</f>
        <v>#DIV/0!</v>
      </c>
      <c r="J417" s="52" t="s">
        <v>751</v>
      </c>
      <c r="K417" s="36" t="n">
        <v>20000</v>
      </c>
      <c r="L417" s="36" t="n">
        <v>32000</v>
      </c>
      <c r="M417" s="29"/>
      <c r="N417" s="30" t="n">
        <v>32000</v>
      </c>
      <c r="O417" s="30" t="n">
        <v>32000</v>
      </c>
      <c r="P417" s="36" t="n">
        <v>0</v>
      </c>
      <c r="Q417" s="302" t="n">
        <v>45488</v>
      </c>
    </row>
    <row r="418" customFormat="false" ht="26.1" hidden="true" customHeight="false" outlineLevel="0" collapsed="false">
      <c r="A418" s="332" t="n">
        <v>2686</v>
      </c>
      <c r="B418" s="34" t="s">
        <v>758</v>
      </c>
      <c r="C418" s="34"/>
      <c r="D418" s="34"/>
      <c r="E418" s="25" t="n">
        <v>45472</v>
      </c>
      <c r="F418" s="25" t="n">
        <v>45489</v>
      </c>
      <c r="G418" s="72" t="n">
        <v>12</v>
      </c>
      <c r="H418" s="320" t="e">
        <f aca="false">#DIV/0!</f>
        <v>#DIV/0!</v>
      </c>
      <c r="I418" s="320" t="e">
        <f aca="false">#DIV/0!</f>
        <v>#DIV/0!</v>
      </c>
      <c r="J418" s="52" t="s">
        <v>751</v>
      </c>
      <c r="K418" s="36" t="n">
        <v>10000</v>
      </c>
      <c r="L418" s="36" t="n">
        <v>16000</v>
      </c>
      <c r="M418" s="29"/>
      <c r="N418" s="30" t="n">
        <v>16000</v>
      </c>
      <c r="O418" s="30" t="n">
        <v>16000</v>
      </c>
      <c r="P418" s="36" t="n">
        <v>0</v>
      </c>
      <c r="Q418" s="302" t="n">
        <v>45488</v>
      </c>
    </row>
    <row r="419" customFormat="false" ht="26.1" hidden="true" customHeight="false" outlineLevel="0" collapsed="false">
      <c r="A419" s="332" t="n">
        <v>2705</v>
      </c>
      <c r="B419" s="34" t="s">
        <v>758</v>
      </c>
      <c r="C419" s="34"/>
      <c r="D419" s="34"/>
      <c r="E419" s="25" t="n">
        <v>45482</v>
      </c>
      <c r="F419" s="25" t="n">
        <v>45489</v>
      </c>
      <c r="G419" s="72" t="n">
        <v>5</v>
      </c>
      <c r="H419" s="320" t="e">
        <f aca="false">#DIV/0!</f>
        <v>#DIV/0!</v>
      </c>
      <c r="I419" s="320" t="e">
        <f aca="false">#DIV/0!</f>
        <v>#DIV/0!</v>
      </c>
      <c r="J419" s="52" t="s">
        <v>751</v>
      </c>
      <c r="K419" s="36" t="n">
        <v>10000</v>
      </c>
      <c r="L419" s="36" t="n">
        <v>16000</v>
      </c>
      <c r="M419" s="37"/>
      <c r="N419" s="30" t="n">
        <v>16000</v>
      </c>
      <c r="O419" s="30" t="n">
        <v>16000</v>
      </c>
      <c r="P419" s="36" t="n">
        <v>0</v>
      </c>
      <c r="Q419" s="302" t="n">
        <v>45488</v>
      </c>
    </row>
    <row r="420" customFormat="false" ht="26.1" hidden="false" customHeight="false" outlineLevel="0" collapsed="false">
      <c r="A420" s="332" t="n">
        <v>2449</v>
      </c>
      <c r="B420" s="34" t="s">
        <v>568</v>
      </c>
      <c r="C420" s="34" t="s">
        <v>569</v>
      </c>
      <c r="D420" s="34"/>
      <c r="E420" s="25" t="n">
        <v>45320</v>
      </c>
      <c r="F420" s="25" t="n">
        <v>45488</v>
      </c>
      <c r="G420" s="72" t="n">
        <v>120</v>
      </c>
      <c r="H420" s="320" t="n">
        <v>120</v>
      </c>
      <c r="I420" s="320" t="n">
        <v>0</v>
      </c>
      <c r="J420" s="52" t="s">
        <v>1028</v>
      </c>
      <c r="K420" s="36" t="n">
        <v>70000</v>
      </c>
      <c r="L420" s="36" t="n">
        <v>184800</v>
      </c>
      <c r="M420" s="37" t="n">
        <v>7700</v>
      </c>
      <c r="N420" s="30" t="n">
        <v>30800</v>
      </c>
      <c r="O420" s="30" t="n">
        <v>184800</v>
      </c>
      <c r="P420" s="36" t="n">
        <v>0</v>
      </c>
      <c r="Q420" s="302" t="n">
        <v>45488</v>
      </c>
    </row>
    <row r="421" customFormat="false" ht="42.5" hidden="true" customHeight="false" outlineLevel="0" collapsed="false">
      <c r="A421" s="332" t="n">
        <v>2538</v>
      </c>
      <c r="B421" s="34" t="s">
        <v>1029</v>
      </c>
      <c r="C421" s="34" t="s">
        <v>1030</v>
      </c>
      <c r="D421" s="34" t="s">
        <v>1031</v>
      </c>
      <c r="E421" s="25" t="n">
        <v>45372</v>
      </c>
      <c r="F421" s="25" t="n">
        <v>45474</v>
      </c>
      <c r="G421" s="72" t="n">
        <v>72</v>
      </c>
      <c r="H421" s="320" t="n">
        <v>72</v>
      </c>
      <c r="I421" s="320" t="n">
        <v>0</v>
      </c>
      <c r="J421" s="34" t="s">
        <v>749</v>
      </c>
      <c r="K421" s="36" t="n">
        <v>20000</v>
      </c>
      <c r="L421" s="36" t="n">
        <v>43200</v>
      </c>
      <c r="M421" s="37" t="n">
        <v>3000</v>
      </c>
      <c r="N421" s="30" t="n">
        <v>1200</v>
      </c>
      <c r="O421" s="30" t="n">
        <v>43200</v>
      </c>
      <c r="P421" s="36" t="n">
        <v>0</v>
      </c>
      <c r="Q421" s="302" t="n">
        <v>45495</v>
      </c>
    </row>
    <row r="422" customFormat="false" ht="42.5" hidden="true" customHeight="false" outlineLevel="0" collapsed="false">
      <c r="A422" s="332" t="n">
        <v>2562</v>
      </c>
      <c r="B422" s="34" t="s">
        <v>1029</v>
      </c>
      <c r="C422" s="34" t="s">
        <v>1030</v>
      </c>
      <c r="D422" s="34" t="s">
        <v>1031</v>
      </c>
      <c r="E422" s="25" t="n">
        <v>45381</v>
      </c>
      <c r="F422" s="25" t="n">
        <v>45482</v>
      </c>
      <c r="G422" s="72" t="n">
        <v>72</v>
      </c>
      <c r="H422" s="320" t="n">
        <v>72</v>
      </c>
      <c r="I422" s="320" t="n">
        <v>0</v>
      </c>
      <c r="J422" s="34" t="s">
        <v>749</v>
      </c>
      <c r="K422" s="31" t="n">
        <v>10000</v>
      </c>
      <c r="L422" s="31" t="n">
        <v>21600</v>
      </c>
      <c r="M422" s="37" t="n">
        <v>1500</v>
      </c>
      <c r="N422" s="30" t="n">
        <v>3200</v>
      </c>
      <c r="O422" s="30" t="n">
        <v>21600</v>
      </c>
      <c r="P422" s="36" t="n">
        <v>0</v>
      </c>
      <c r="Q422" s="302" t="n">
        <v>45495</v>
      </c>
    </row>
    <row r="423" customFormat="false" ht="26.1" hidden="true" customHeight="false" outlineLevel="0" collapsed="false">
      <c r="A423" s="332" t="n">
        <v>2708</v>
      </c>
      <c r="B423" s="34" t="s">
        <v>249</v>
      </c>
      <c r="C423" s="34"/>
      <c r="D423" s="34" t="n">
        <v>27252034574</v>
      </c>
      <c r="E423" s="25" t="n">
        <v>45485</v>
      </c>
      <c r="F423" s="25" t="n">
        <v>45492</v>
      </c>
      <c r="G423" s="72" t="n">
        <v>5</v>
      </c>
      <c r="H423" s="320" t="e">
        <f aca="false">#DIV/0!</f>
        <v>#DIV/0!</v>
      </c>
      <c r="I423" s="320" t="e">
        <f aca="false">#DIV/0!</f>
        <v>#DIV/0!</v>
      </c>
      <c r="J423" s="52" t="s">
        <v>751</v>
      </c>
      <c r="K423" s="36" t="n">
        <v>20000</v>
      </c>
      <c r="L423" s="36" t="n">
        <v>26000</v>
      </c>
      <c r="M423" s="37"/>
      <c r="N423" s="30" t="n">
        <v>26000</v>
      </c>
      <c r="O423" s="30" t="n">
        <v>26000</v>
      </c>
      <c r="P423" s="36" t="n">
        <v>0</v>
      </c>
      <c r="Q423" s="302" t="n">
        <v>45495</v>
      </c>
    </row>
    <row r="424" customFormat="false" ht="26.1" hidden="true" customHeight="false" outlineLevel="0" collapsed="false">
      <c r="A424" s="332" t="n">
        <v>2553</v>
      </c>
      <c r="B424" s="34" t="s">
        <v>385</v>
      </c>
      <c r="C424" s="34" t="s">
        <v>796</v>
      </c>
      <c r="D424" s="34"/>
      <c r="E424" s="25" t="n">
        <v>45384</v>
      </c>
      <c r="F424" s="25" t="n">
        <v>45496</v>
      </c>
      <c r="G424" s="72" t="n">
        <v>80</v>
      </c>
      <c r="H424" s="320" t="n">
        <v>80</v>
      </c>
      <c r="I424" s="320" t="n">
        <v>0</v>
      </c>
      <c r="J424" s="52" t="s">
        <v>1032</v>
      </c>
      <c r="K424" s="31" t="n">
        <v>20000</v>
      </c>
      <c r="L424" s="31" t="n">
        <v>43200</v>
      </c>
      <c r="M424" s="37" t="n">
        <v>2700</v>
      </c>
      <c r="N424" s="30" t="n">
        <v>10800</v>
      </c>
      <c r="O424" s="30" t="n">
        <v>43200</v>
      </c>
      <c r="P424" s="36" t="n">
        <v>0</v>
      </c>
      <c r="Q424" s="302" t="n">
        <v>45502</v>
      </c>
    </row>
    <row r="425" customFormat="false" ht="17.9" hidden="true" customHeight="false" outlineLevel="0" collapsed="false">
      <c r="A425" s="332" t="n">
        <v>2731</v>
      </c>
      <c r="B425" s="34" t="s">
        <v>429</v>
      </c>
      <c r="C425" s="34"/>
      <c r="D425" s="34"/>
      <c r="E425" s="25" t="n">
        <v>45499</v>
      </c>
      <c r="F425" s="25" t="n">
        <v>45601</v>
      </c>
      <c r="G425" s="72" t="n">
        <v>72</v>
      </c>
      <c r="H425" s="320" t="e">
        <f aca="false">#VALUE!</f>
        <v>#VALUE!</v>
      </c>
      <c r="I425" s="320" t="e">
        <f aca="false">#VALUE!</f>
        <v>#VALUE!</v>
      </c>
      <c r="J425" s="34" t="s">
        <v>580</v>
      </c>
      <c r="K425" s="45" t="n">
        <v>30000</v>
      </c>
      <c r="L425" s="31" t="n">
        <v>39000</v>
      </c>
      <c r="M425" s="37" t="s">
        <v>214</v>
      </c>
      <c r="N425" s="30" t="n">
        <v>39000</v>
      </c>
      <c r="O425" s="30" t="n">
        <v>39000</v>
      </c>
      <c r="P425" s="36" t="n">
        <v>0</v>
      </c>
      <c r="Q425" s="302" t="n">
        <v>45502</v>
      </c>
    </row>
    <row r="426" customFormat="false" ht="26.1" hidden="true" customHeight="false" outlineLevel="0" collapsed="false">
      <c r="A426" s="332" t="n">
        <v>2514</v>
      </c>
      <c r="B426" s="34" t="s">
        <v>438</v>
      </c>
      <c r="C426" s="34" t="s">
        <v>439</v>
      </c>
      <c r="D426" s="34"/>
      <c r="E426" s="25" t="n">
        <v>45360</v>
      </c>
      <c r="F426" s="25" t="n">
        <v>45461</v>
      </c>
      <c r="G426" s="72" t="n">
        <v>72</v>
      </c>
      <c r="H426" s="320" t="n">
        <v>72</v>
      </c>
      <c r="I426" s="320" t="n">
        <v>0</v>
      </c>
      <c r="J426" s="34" t="s">
        <v>452</v>
      </c>
      <c r="K426" s="36" t="n">
        <v>30000</v>
      </c>
      <c r="L426" s="36" t="n">
        <v>64800</v>
      </c>
      <c r="M426" s="37" t="n">
        <v>4500</v>
      </c>
      <c r="N426" s="30" t="n">
        <v>6200</v>
      </c>
      <c r="O426" s="30" t="n">
        <v>64800</v>
      </c>
      <c r="P426" s="36" t="n">
        <v>0</v>
      </c>
      <c r="Q426" s="302" t="n">
        <v>45502</v>
      </c>
    </row>
    <row r="427" customFormat="false" ht="26.1" hidden="true" customHeight="false" outlineLevel="0" collapsed="false">
      <c r="A427" s="332" t="n">
        <v>2665</v>
      </c>
      <c r="B427" s="34" t="s">
        <v>754</v>
      </c>
      <c r="C427" s="34" t="s">
        <v>755</v>
      </c>
      <c r="D427" s="34"/>
      <c r="E427" s="25" t="n">
        <v>45456</v>
      </c>
      <c r="F427" s="25" t="n">
        <v>45474</v>
      </c>
      <c r="G427" s="72" t="n">
        <v>12</v>
      </c>
      <c r="H427" s="320" t="e">
        <f aca="false">#DIV/0!</f>
        <v>#DIV/0!</v>
      </c>
      <c r="I427" s="320" t="e">
        <f aca="false">#DIV/0!</f>
        <v>#DIV/0!</v>
      </c>
      <c r="J427" s="52" t="s">
        <v>751</v>
      </c>
      <c r="K427" s="36" t="n">
        <v>40000</v>
      </c>
      <c r="L427" s="36" t="n">
        <v>60000</v>
      </c>
      <c r="M427" s="29"/>
      <c r="N427" s="30" t="n">
        <v>60000</v>
      </c>
      <c r="O427" s="30" t="n">
        <v>80000</v>
      </c>
      <c r="P427" s="36" t="n">
        <v>-20000</v>
      </c>
      <c r="Q427" s="302" t="n">
        <v>45502</v>
      </c>
    </row>
    <row r="428" customFormat="false" ht="42.5" hidden="true" customHeight="false" outlineLevel="0" collapsed="false">
      <c r="A428" s="332" t="n">
        <v>2546</v>
      </c>
      <c r="B428" s="34" t="s">
        <v>887</v>
      </c>
      <c r="C428" s="34" t="s">
        <v>888</v>
      </c>
      <c r="D428" s="34" t="n">
        <v>24172612</v>
      </c>
      <c r="E428" s="25" t="n">
        <v>45379</v>
      </c>
      <c r="F428" s="25" t="n">
        <v>45481</v>
      </c>
      <c r="G428" s="72" t="n">
        <v>72</v>
      </c>
      <c r="H428" s="320" t="n">
        <v>72.037037037037</v>
      </c>
      <c r="I428" s="320" t="n">
        <v>-0.0370370370370381</v>
      </c>
      <c r="J428" s="34" t="s">
        <v>1033</v>
      </c>
      <c r="K428" s="36" t="n">
        <v>45000</v>
      </c>
      <c r="L428" s="36" t="n">
        <v>97200</v>
      </c>
      <c r="M428" s="37" t="n">
        <v>6750</v>
      </c>
      <c r="N428" s="30" t="n">
        <v>3500</v>
      </c>
      <c r="O428" s="30" t="n">
        <v>97250</v>
      </c>
      <c r="P428" s="36" t="n">
        <v>-50</v>
      </c>
      <c r="Q428" s="302" t="n">
        <v>45502</v>
      </c>
    </row>
    <row r="429" customFormat="false" ht="17.9" hidden="true" customHeight="false" outlineLevel="0" collapsed="false">
      <c r="A429" s="332" t="n">
        <v>2604</v>
      </c>
      <c r="B429" s="34" t="s">
        <v>599</v>
      </c>
      <c r="C429" s="34"/>
      <c r="D429" s="34"/>
      <c r="E429" s="25" t="n">
        <v>45412</v>
      </c>
      <c r="F429" s="25" t="n">
        <v>45512</v>
      </c>
      <c r="G429" s="72" t="n">
        <v>72</v>
      </c>
      <c r="H429" s="320" t="n">
        <v>72.084</v>
      </c>
      <c r="I429" s="320" t="n">
        <v>-0.0840000000000032</v>
      </c>
      <c r="J429" s="34" t="s">
        <v>774</v>
      </c>
      <c r="K429" s="36" t="n">
        <v>25000</v>
      </c>
      <c r="L429" s="36" t="n">
        <v>54000</v>
      </c>
      <c r="M429" s="37" t="n">
        <v>3750</v>
      </c>
      <c r="N429" s="30" t="n">
        <v>16563</v>
      </c>
      <c r="O429" s="30" t="n">
        <v>54063</v>
      </c>
      <c r="P429" s="31" t="n">
        <v>-63</v>
      </c>
      <c r="Q429" s="302" t="n">
        <v>45502</v>
      </c>
    </row>
    <row r="430" customFormat="false" ht="42" hidden="true" customHeight="false" outlineLevel="0" collapsed="false">
      <c r="A430" s="332" t="n">
        <v>2738</v>
      </c>
      <c r="B430" s="34" t="s">
        <v>1029</v>
      </c>
      <c r="C430" s="34" t="s">
        <v>228</v>
      </c>
      <c r="D430" s="34"/>
      <c r="E430" s="25" t="n">
        <v>45504</v>
      </c>
      <c r="F430" s="25" t="n">
        <v>45511</v>
      </c>
      <c r="G430" s="72" t="n">
        <v>5</v>
      </c>
      <c r="H430" s="320" t="e">
        <f aca="false">#DIV/0!</f>
        <v>#DIV/0!</v>
      </c>
      <c r="I430" s="320" t="e">
        <f aca="false">#DIV/0!</f>
        <v>#DIV/0!</v>
      </c>
      <c r="J430" s="52" t="s">
        <v>1034</v>
      </c>
      <c r="K430" s="36" t="n">
        <v>20000</v>
      </c>
      <c r="L430" s="36" t="n">
        <v>26000</v>
      </c>
      <c r="M430" s="37"/>
      <c r="N430" s="30" t="n">
        <v>26000</v>
      </c>
      <c r="O430" s="30" t="n">
        <v>26000</v>
      </c>
      <c r="P430" s="31" t="n">
        <v>0</v>
      </c>
      <c r="Q430" s="302" t="n">
        <v>45509</v>
      </c>
    </row>
    <row r="431" customFormat="false" ht="17.9" hidden="true" customHeight="false" outlineLevel="0" collapsed="false">
      <c r="A431" s="332" t="n">
        <v>2687</v>
      </c>
      <c r="B431" s="34" t="s">
        <v>811</v>
      </c>
      <c r="C431" s="34"/>
      <c r="D431" s="34"/>
      <c r="E431" s="25" t="n">
        <v>45472</v>
      </c>
      <c r="F431" s="25" t="n">
        <v>45489</v>
      </c>
      <c r="G431" s="72" t="n">
        <v>12</v>
      </c>
      <c r="H431" s="320" t="e">
        <f aca="false">#VALUE!</f>
        <v>#VALUE!</v>
      </c>
      <c r="I431" s="320" t="e">
        <f aca="false">#VALUE!</f>
        <v>#VALUE!</v>
      </c>
      <c r="J431" s="52" t="s">
        <v>1035</v>
      </c>
      <c r="K431" s="36" t="n">
        <v>10000</v>
      </c>
      <c r="L431" s="36" t="n">
        <v>15000</v>
      </c>
      <c r="M431" s="37" t="s">
        <v>214</v>
      </c>
      <c r="N431" s="30" t="n">
        <v>11500</v>
      </c>
      <c r="O431" s="30" t="n">
        <v>21500</v>
      </c>
      <c r="P431" s="31" t="n">
        <v>-6500</v>
      </c>
      <c r="Q431" s="302" t="n">
        <v>45509</v>
      </c>
    </row>
    <row r="432" customFormat="false" ht="26.1" hidden="true" customHeight="false" outlineLevel="0" collapsed="false">
      <c r="A432" s="332" t="n">
        <v>2732</v>
      </c>
      <c r="B432" s="34" t="s">
        <v>249</v>
      </c>
      <c r="C432" s="34"/>
      <c r="D432" s="34" t="n">
        <v>27252034574</v>
      </c>
      <c r="E432" s="25" t="n">
        <v>45499</v>
      </c>
      <c r="F432" s="25" t="n">
        <v>45506</v>
      </c>
      <c r="G432" s="72" t="n">
        <v>5</v>
      </c>
      <c r="H432" s="320" t="e">
        <f aca="false">#DIV/0!</f>
        <v>#DIV/0!</v>
      </c>
      <c r="I432" s="320" t="e">
        <f aca="false">#DIV/0!</f>
        <v>#DIV/0!</v>
      </c>
      <c r="J432" s="52" t="s">
        <v>751</v>
      </c>
      <c r="K432" s="31" t="n">
        <v>30000</v>
      </c>
      <c r="L432" s="31" t="n">
        <v>50700</v>
      </c>
      <c r="M432" s="37"/>
      <c r="N432" s="30" t="n">
        <v>50700</v>
      </c>
      <c r="O432" s="30" t="n">
        <v>50700</v>
      </c>
      <c r="P432" s="31" t="n">
        <v>0</v>
      </c>
      <c r="Q432" s="302" t="n">
        <v>45509</v>
      </c>
    </row>
    <row r="433" customFormat="false" ht="26.1" hidden="true" customHeight="false" outlineLevel="0" collapsed="false">
      <c r="A433" s="332" t="n">
        <v>2475</v>
      </c>
      <c r="B433" s="34" t="s">
        <v>251</v>
      </c>
      <c r="C433" s="34" t="s">
        <v>252</v>
      </c>
      <c r="D433" s="34" t="s">
        <v>253</v>
      </c>
      <c r="E433" s="25" t="n">
        <v>45337</v>
      </c>
      <c r="F433" s="25" t="n">
        <v>45477</v>
      </c>
      <c r="G433" s="72" t="n">
        <v>100</v>
      </c>
      <c r="H433" s="320" t="n">
        <v>100</v>
      </c>
      <c r="I433" s="320" t="n">
        <v>0</v>
      </c>
      <c r="J433" s="52" t="s">
        <v>1036</v>
      </c>
      <c r="K433" s="36" t="n">
        <v>150000</v>
      </c>
      <c r="L433" s="36" t="n">
        <v>324000</v>
      </c>
      <c r="M433" s="29" t="n">
        <v>16200</v>
      </c>
      <c r="N433" s="30" t="n">
        <v>4000</v>
      </c>
      <c r="O433" s="30" t="n">
        <v>324000</v>
      </c>
      <c r="P433" s="31" t="n">
        <v>0</v>
      </c>
      <c r="Q433" s="302" t="n">
        <v>45509</v>
      </c>
    </row>
    <row r="434" customFormat="false" ht="50.7" hidden="true" customHeight="false" outlineLevel="0" collapsed="false">
      <c r="A434" s="332" t="n">
        <v>1950</v>
      </c>
      <c r="B434" s="34" t="s">
        <v>1037</v>
      </c>
      <c r="C434" s="34" t="s">
        <v>1038</v>
      </c>
      <c r="D434" s="34"/>
      <c r="E434" s="25" t="n">
        <v>44939</v>
      </c>
      <c r="F434" s="25" t="n">
        <v>45112</v>
      </c>
      <c r="G434" s="72" t="n">
        <v>123</v>
      </c>
      <c r="H434" s="320" t="n">
        <v>120</v>
      </c>
      <c r="I434" s="320" t="n">
        <v>3</v>
      </c>
      <c r="J434" s="52" t="s">
        <v>1039</v>
      </c>
      <c r="K434" s="31" t="n">
        <v>100000</v>
      </c>
      <c r="L434" s="31" t="n">
        <v>264000</v>
      </c>
      <c r="M434" s="29" t="n">
        <v>11000</v>
      </c>
      <c r="N434" s="30" t="n">
        <v>15000</v>
      </c>
      <c r="O434" s="30" t="n">
        <v>264000</v>
      </c>
      <c r="P434" s="31" t="n">
        <v>0</v>
      </c>
      <c r="Q434" s="302" t="n">
        <v>45509</v>
      </c>
    </row>
    <row r="435" customFormat="false" ht="17.9" hidden="true" customHeight="false" outlineLevel="0" collapsed="false">
      <c r="A435" s="332" t="n">
        <v>2590</v>
      </c>
      <c r="B435" s="34" t="s">
        <v>323</v>
      </c>
      <c r="C435" s="34" t="s">
        <v>324</v>
      </c>
      <c r="D435" s="34" t="n">
        <v>14154231</v>
      </c>
      <c r="E435" s="25" t="n">
        <v>45404</v>
      </c>
      <c r="F435" s="25" t="n">
        <v>45504</v>
      </c>
      <c r="G435" s="72" t="n">
        <v>72</v>
      </c>
      <c r="H435" s="320" t="n">
        <v>71.7777777777778</v>
      </c>
      <c r="I435" s="320" t="n">
        <v>0.222222222222229</v>
      </c>
      <c r="J435" s="34" t="s">
        <v>1040</v>
      </c>
      <c r="K435" s="36" t="n">
        <v>15000</v>
      </c>
      <c r="L435" s="36" t="n">
        <v>32400</v>
      </c>
      <c r="M435" s="37" t="n">
        <v>2250</v>
      </c>
      <c r="N435" s="30" t="n">
        <v>8000</v>
      </c>
      <c r="O435" s="30" t="n">
        <v>32300</v>
      </c>
      <c r="P435" s="31" t="n">
        <v>100</v>
      </c>
      <c r="Q435" s="302" t="n">
        <v>45509</v>
      </c>
    </row>
    <row r="436" customFormat="false" ht="26.1" hidden="true" customHeight="false" outlineLevel="0" collapsed="false">
      <c r="A436" s="332" t="n">
        <v>2192</v>
      </c>
      <c r="B436" s="34" t="s">
        <v>345</v>
      </c>
      <c r="C436" s="34" t="s">
        <v>346</v>
      </c>
      <c r="D436" s="34" t="n">
        <v>27212523</v>
      </c>
      <c r="E436" s="25" t="n">
        <v>45143</v>
      </c>
      <c r="F436" s="25" t="n">
        <v>45296</v>
      </c>
      <c r="G436" s="72" t="n">
        <v>110</v>
      </c>
      <c r="H436" s="320" t="n">
        <v>110</v>
      </c>
      <c r="I436" s="320" t="n">
        <v>0</v>
      </c>
      <c r="J436" s="34" t="s">
        <v>931</v>
      </c>
      <c r="K436" s="36" t="n">
        <v>50000</v>
      </c>
      <c r="L436" s="36" t="n">
        <v>132000</v>
      </c>
      <c r="M436" s="37" t="n">
        <v>6000</v>
      </c>
      <c r="N436" s="30" t="n">
        <v>6750</v>
      </c>
      <c r="O436" s="30" t="n">
        <v>132000</v>
      </c>
      <c r="P436" s="31" t="n">
        <v>0</v>
      </c>
      <c r="Q436" s="302" t="n">
        <v>45509</v>
      </c>
    </row>
    <row r="437" customFormat="false" ht="17.9" hidden="true" customHeight="false" outlineLevel="0" collapsed="false">
      <c r="A437" s="332" t="n">
        <v>2429</v>
      </c>
      <c r="B437" s="34" t="s">
        <v>392</v>
      </c>
      <c r="C437" s="34" t="s">
        <v>393</v>
      </c>
      <c r="D437" s="34"/>
      <c r="E437" s="25" t="n">
        <v>45308</v>
      </c>
      <c r="F437" s="25" t="n">
        <v>45490</v>
      </c>
      <c r="G437" s="72" t="n">
        <v>130</v>
      </c>
      <c r="H437" s="320" t="n">
        <v>120</v>
      </c>
      <c r="I437" s="320" t="n">
        <v>10</v>
      </c>
      <c r="J437" s="68" t="s">
        <v>1041</v>
      </c>
      <c r="K437" s="31" t="n">
        <v>40000</v>
      </c>
      <c r="L437" s="31" t="n">
        <v>108000</v>
      </c>
      <c r="M437" s="37" t="n">
        <v>4500</v>
      </c>
      <c r="N437" s="30" t="n">
        <v>12650</v>
      </c>
      <c r="O437" s="30" t="n">
        <v>108000</v>
      </c>
      <c r="P437" s="31" t="n">
        <v>0</v>
      </c>
      <c r="Q437" s="302" t="n">
        <v>45509</v>
      </c>
    </row>
    <row r="438" customFormat="false" ht="17.9" hidden="true" customHeight="false" outlineLevel="0" collapsed="false">
      <c r="A438" s="337" t="n">
        <v>2743</v>
      </c>
      <c r="B438" s="34" t="s">
        <v>429</v>
      </c>
      <c r="C438" s="34"/>
      <c r="D438" s="34"/>
      <c r="E438" s="25" t="n">
        <v>45507</v>
      </c>
      <c r="F438" s="25" t="n">
        <v>45513</v>
      </c>
      <c r="G438" s="72" t="n">
        <v>5</v>
      </c>
      <c r="H438" s="320" t="e">
        <f aca="false">#DIV/0!</f>
        <v>#DIV/0!</v>
      </c>
      <c r="I438" s="320" t="e">
        <f aca="false">#DIV/0!</f>
        <v>#DIV/0!</v>
      </c>
      <c r="J438" s="34" t="s">
        <v>580</v>
      </c>
      <c r="K438" s="46" t="n">
        <v>30000</v>
      </c>
      <c r="L438" s="36" t="n">
        <v>39000</v>
      </c>
      <c r="M438" s="37"/>
      <c r="N438" s="30" t="n">
        <v>39000</v>
      </c>
      <c r="O438" s="30" t="n">
        <v>39000</v>
      </c>
      <c r="P438" s="31" t="n">
        <v>0</v>
      </c>
      <c r="Q438" s="302" t="n">
        <v>45509</v>
      </c>
    </row>
    <row r="439" customFormat="false" ht="34.3" hidden="true" customHeight="false" outlineLevel="0" collapsed="false">
      <c r="A439" s="332" t="n">
        <v>2603</v>
      </c>
      <c r="B439" s="34" t="s">
        <v>450</v>
      </c>
      <c r="C439" s="34" t="s">
        <v>451</v>
      </c>
      <c r="D439" s="44"/>
      <c r="E439" s="25" t="n">
        <v>45411</v>
      </c>
      <c r="F439" s="25" t="n">
        <v>45511</v>
      </c>
      <c r="G439" s="72" t="n">
        <v>72</v>
      </c>
      <c r="H439" s="320" t="n">
        <v>72</v>
      </c>
      <c r="I439" s="320" t="n">
        <v>0</v>
      </c>
      <c r="J439" s="34" t="s">
        <v>788</v>
      </c>
      <c r="K439" s="31" t="n">
        <v>15000</v>
      </c>
      <c r="L439" s="31" t="n">
        <v>32400</v>
      </c>
      <c r="M439" s="37" t="n">
        <v>2250</v>
      </c>
      <c r="N439" s="30" t="n">
        <v>3150</v>
      </c>
      <c r="O439" s="30" t="n">
        <v>32400</v>
      </c>
      <c r="P439" s="31" t="n">
        <v>0</v>
      </c>
      <c r="Q439" s="302" t="n">
        <v>45509</v>
      </c>
    </row>
    <row r="440" customFormat="false" ht="34.3" hidden="true" customHeight="false" outlineLevel="0" collapsed="false">
      <c r="A440" s="332" t="n">
        <v>2557</v>
      </c>
      <c r="B440" s="34" t="s">
        <v>1042</v>
      </c>
      <c r="C440" s="34" t="s">
        <v>451</v>
      </c>
      <c r="D440" s="34"/>
      <c r="E440" s="25" t="n">
        <v>45386</v>
      </c>
      <c r="F440" s="25" t="n">
        <v>45488</v>
      </c>
      <c r="G440" s="72" t="n">
        <v>72</v>
      </c>
      <c r="H440" s="320" t="n">
        <v>72</v>
      </c>
      <c r="I440" s="320" t="n">
        <v>0</v>
      </c>
      <c r="J440" s="34" t="s">
        <v>769</v>
      </c>
      <c r="K440" s="36" t="n">
        <v>10000</v>
      </c>
      <c r="L440" s="36" t="n">
        <v>21600</v>
      </c>
      <c r="M440" s="37" t="n">
        <v>1500</v>
      </c>
      <c r="N440" s="30" t="n">
        <v>600</v>
      </c>
      <c r="O440" s="30" t="n">
        <v>21600</v>
      </c>
      <c r="P440" s="31" t="n">
        <v>0</v>
      </c>
      <c r="Q440" s="302" t="n">
        <v>45509</v>
      </c>
    </row>
    <row r="441" customFormat="false" ht="34.3" hidden="true" customHeight="false" outlineLevel="0" collapsed="false">
      <c r="A441" s="332" t="n">
        <v>2568</v>
      </c>
      <c r="B441" s="34" t="s">
        <v>805</v>
      </c>
      <c r="C441" s="34" t="s">
        <v>451</v>
      </c>
      <c r="D441" s="34"/>
      <c r="E441" s="25" t="n">
        <v>45392</v>
      </c>
      <c r="F441" s="25" t="n">
        <v>45492</v>
      </c>
      <c r="G441" s="72" t="n">
        <v>72</v>
      </c>
      <c r="H441" s="320" t="n">
        <v>72</v>
      </c>
      <c r="I441" s="320" t="n">
        <v>0</v>
      </c>
      <c r="J441" s="34" t="s">
        <v>769</v>
      </c>
      <c r="K441" s="36" t="n">
        <v>10000</v>
      </c>
      <c r="L441" s="36" t="n">
        <v>21600</v>
      </c>
      <c r="M441" s="37" t="n">
        <v>1500</v>
      </c>
      <c r="N441" s="30" t="n">
        <v>3000</v>
      </c>
      <c r="O441" s="30" t="n">
        <v>21600</v>
      </c>
      <c r="P441" s="31" t="n">
        <v>0</v>
      </c>
      <c r="Q441" s="302" t="n">
        <v>45509</v>
      </c>
    </row>
    <row r="442" customFormat="false" ht="26.1" hidden="true" customHeight="false" outlineLevel="0" collapsed="false">
      <c r="A442" s="332" t="n">
        <v>2320</v>
      </c>
      <c r="B442" s="34" t="s">
        <v>946</v>
      </c>
      <c r="C442" s="34" t="s">
        <v>877</v>
      </c>
      <c r="D442" s="34"/>
      <c r="E442" s="25" t="n">
        <v>45147</v>
      </c>
      <c r="F442" s="25" t="n">
        <v>45247</v>
      </c>
      <c r="G442" s="72" t="n">
        <v>72</v>
      </c>
      <c r="H442" s="320" t="n">
        <v>80.6222222222222</v>
      </c>
      <c r="I442" s="320" t="n">
        <v>-8.62222222222222</v>
      </c>
      <c r="J442" s="34" t="s">
        <v>788</v>
      </c>
      <c r="K442" s="36" t="n">
        <v>15000</v>
      </c>
      <c r="L442" s="36" t="n">
        <v>32400</v>
      </c>
      <c r="M442" s="37" t="n">
        <v>2250</v>
      </c>
      <c r="N442" s="30" t="n">
        <v>10000</v>
      </c>
      <c r="O442" s="30" t="n">
        <v>36280</v>
      </c>
      <c r="P442" s="31" t="n">
        <v>-3880</v>
      </c>
      <c r="Q442" s="302" t="n">
        <v>45509</v>
      </c>
    </row>
    <row r="443" customFormat="false" ht="17.9" hidden="true" customHeight="false" outlineLevel="0" collapsed="false">
      <c r="A443" s="332" t="n">
        <v>2516</v>
      </c>
      <c r="B443" s="34" t="s">
        <v>461</v>
      </c>
      <c r="C443" s="34"/>
      <c r="D443" s="34"/>
      <c r="E443" s="25" t="n">
        <v>45362</v>
      </c>
      <c r="F443" s="25" t="n">
        <v>45462</v>
      </c>
      <c r="G443" s="72" t="n">
        <v>72</v>
      </c>
      <c r="H443" s="320" t="n">
        <v>72</v>
      </c>
      <c r="I443" s="320" t="n">
        <v>0</v>
      </c>
      <c r="J443" s="34" t="s">
        <v>381</v>
      </c>
      <c r="K443" s="36" t="n">
        <v>50000</v>
      </c>
      <c r="L443" s="36" t="n">
        <v>108000</v>
      </c>
      <c r="M443" s="37" t="n">
        <v>7500</v>
      </c>
      <c r="N443" s="30" t="n">
        <v>10500</v>
      </c>
      <c r="O443" s="30" t="n">
        <v>108000</v>
      </c>
      <c r="P443" s="31" t="n">
        <v>0</v>
      </c>
      <c r="Q443" s="302" t="n">
        <v>45509</v>
      </c>
    </row>
    <row r="444" customFormat="false" ht="17.9" hidden="true" customHeight="false" outlineLevel="0" collapsed="false">
      <c r="A444" s="332" t="n">
        <v>2228</v>
      </c>
      <c r="B444" s="34" t="s">
        <v>1043</v>
      </c>
      <c r="C444" s="34"/>
      <c r="D444" s="34"/>
      <c r="E444" s="25" t="n">
        <v>45163</v>
      </c>
      <c r="F444" s="25" t="n">
        <v>45499</v>
      </c>
      <c r="G444" s="72" t="n">
        <v>240</v>
      </c>
      <c r="H444" s="320" t="n">
        <v>240</v>
      </c>
      <c r="I444" s="320" t="n">
        <v>0</v>
      </c>
      <c r="J444" s="52" t="s">
        <v>1044</v>
      </c>
      <c r="K444" s="31" t="n">
        <v>100000</v>
      </c>
      <c r="L444" s="31" t="n">
        <v>289200</v>
      </c>
      <c r="M444" s="37" t="n">
        <v>6025</v>
      </c>
      <c r="N444" s="30" t="n">
        <v>24100</v>
      </c>
      <c r="O444" s="30" t="n">
        <v>289200</v>
      </c>
      <c r="P444" s="31" t="n">
        <v>0</v>
      </c>
      <c r="Q444" s="302" t="n">
        <v>45509</v>
      </c>
    </row>
    <row r="445" customFormat="false" ht="42.5" hidden="true" customHeight="false" outlineLevel="0" collapsed="false">
      <c r="A445" s="332" t="n">
        <v>2554</v>
      </c>
      <c r="B445" s="34" t="s">
        <v>485</v>
      </c>
      <c r="C445" s="34" t="s">
        <v>486</v>
      </c>
      <c r="D445" s="34"/>
      <c r="E445" s="25" t="n">
        <v>45385</v>
      </c>
      <c r="F445" s="25" t="n">
        <v>45485</v>
      </c>
      <c r="G445" s="72" t="n">
        <v>72</v>
      </c>
      <c r="H445" s="320" t="n">
        <v>75</v>
      </c>
      <c r="I445" s="320" t="n">
        <v>-3</v>
      </c>
      <c r="J445" s="34" t="s">
        <v>774</v>
      </c>
      <c r="K445" s="31" t="n">
        <v>25000</v>
      </c>
      <c r="L445" s="31" t="n">
        <v>54000</v>
      </c>
      <c r="M445" s="37" t="n">
        <v>3750</v>
      </c>
      <c r="N445" s="30" t="n">
        <v>3750</v>
      </c>
      <c r="O445" s="30" t="n">
        <v>56250</v>
      </c>
      <c r="P445" s="31" t="n">
        <v>-2250</v>
      </c>
      <c r="Q445" s="302" t="n">
        <v>45509</v>
      </c>
    </row>
    <row r="446" customFormat="false" ht="17.9" hidden="true" customHeight="false" outlineLevel="0" collapsed="false">
      <c r="A446" s="332" t="n">
        <v>2573</v>
      </c>
      <c r="B446" s="34" t="s">
        <v>491</v>
      </c>
      <c r="C446" s="34" t="s">
        <v>492</v>
      </c>
      <c r="D446" s="34" t="n">
        <v>27329256826</v>
      </c>
      <c r="E446" s="25" t="n">
        <v>45395</v>
      </c>
      <c r="F446" s="25" t="n">
        <v>45506</v>
      </c>
      <c r="G446" s="72" t="n">
        <v>80</v>
      </c>
      <c r="H446" s="320" t="n">
        <v>80</v>
      </c>
      <c r="I446" s="320" t="n">
        <v>0</v>
      </c>
      <c r="J446" s="52" t="s">
        <v>1045</v>
      </c>
      <c r="K446" s="36" t="n">
        <v>40000</v>
      </c>
      <c r="L446" s="36" t="n">
        <v>86400</v>
      </c>
      <c r="M446" s="37" t="n">
        <v>5400</v>
      </c>
      <c r="N446" s="30" t="n">
        <v>21600</v>
      </c>
      <c r="O446" s="30" t="n">
        <v>86400</v>
      </c>
      <c r="P446" s="31" t="n">
        <v>0</v>
      </c>
      <c r="Q446" s="302" t="n">
        <v>45509</v>
      </c>
    </row>
    <row r="447" customFormat="false" ht="34.3" hidden="true" customHeight="false" outlineLevel="0" collapsed="false">
      <c r="A447" s="332" t="n">
        <v>2414</v>
      </c>
      <c r="B447" s="34" t="s">
        <v>779</v>
      </c>
      <c r="C447" s="34"/>
      <c r="D447" s="34"/>
      <c r="E447" s="25" t="n">
        <v>45302</v>
      </c>
      <c r="F447" s="25" t="n">
        <v>45498</v>
      </c>
      <c r="G447" s="72" t="n">
        <v>140</v>
      </c>
      <c r="H447" s="320" t="n">
        <v>140</v>
      </c>
      <c r="I447" s="320" t="n">
        <v>0</v>
      </c>
      <c r="J447" s="52" t="s">
        <v>1018</v>
      </c>
      <c r="K447" s="36" t="n">
        <v>30000</v>
      </c>
      <c r="L447" s="36" t="n">
        <v>79240</v>
      </c>
      <c r="M447" s="37" t="n">
        <v>2830</v>
      </c>
      <c r="N447" s="30" t="n">
        <v>11320</v>
      </c>
      <c r="O447" s="30" t="n">
        <v>79240</v>
      </c>
      <c r="P447" s="31" t="n">
        <v>0</v>
      </c>
      <c r="Q447" s="302" t="n">
        <v>45509</v>
      </c>
    </row>
    <row r="448" customFormat="false" ht="34.3" hidden="true" customHeight="false" outlineLevel="0" collapsed="false">
      <c r="A448" s="332" t="n">
        <v>2485</v>
      </c>
      <c r="B448" s="34" t="s">
        <v>779</v>
      </c>
      <c r="C448" s="34"/>
      <c r="D448" s="34"/>
      <c r="E448" s="25" t="n">
        <v>45342</v>
      </c>
      <c r="F448" s="25" t="n">
        <v>45510</v>
      </c>
      <c r="G448" s="72" t="n">
        <v>120</v>
      </c>
      <c r="H448" s="320" t="n">
        <v>120</v>
      </c>
      <c r="I448" s="320" t="n">
        <v>0</v>
      </c>
      <c r="J448" s="52" t="s">
        <v>1046</v>
      </c>
      <c r="K448" s="36" t="n">
        <v>40000</v>
      </c>
      <c r="L448" s="36" t="n">
        <v>105600</v>
      </c>
      <c r="M448" s="29" t="n">
        <v>4400</v>
      </c>
      <c r="N448" s="30" t="n">
        <v>17600</v>
      </c>
      <c r="O448" s="30" t="n">
        <v>105600</v>
      </c>
      <c r="P448" s="31" t="n">
        <v>0</v>
      </c>
      <c r="Q448" s="302" t="n">
        <v>45509</v>
      </c>
    </row>
    <row r="449" customFormat="false" ht="17.9" hidden="true" customHeight="false" outlineLevel="0" collapsed="false">
      <c r="A449" s="332" t="n">
        <v>2478</v>
      </c>
      <c r="B449" s="34" t="s">
        <v>510</v>
      </c>
      <c r="C449" s="34"/>
      <c r="D449" s="34"/>
      <c r="E449" s="25" t="n">
        <v>45338</v>
      </c>
      <c r="F449" s="25" t="n">
        <v>45506</v>
      </c>
      <c r="G449" s="72" t="n">
        <v>120</v>
      </c>
      <c r="H449" s="320" t="n">
        <v>120</v>
      </c>
      <c r="I449" s="320" t="n">
        <v>0</v>
      </c>
      <c r="J449" s="52" t="s">
        <v>1047</v>
      </c>
      <c r="K449" s="36" t="n">
        <v>50000</v>
      </c>
      <c r="L449" s="36" t="n">
        <v>120000</v>
      </c>
      <c r="M449" s="29" t="n">
        <v>5000</v>
      </c>
      <c r="N449" s="30" t="n">
        <v>20000</v>
      </c>
      <c r="O449" s="30" t="n">
        <v>120000</v>
      </c>
      <c r="P449" s="31" t="n">
        <v>0</v>
      </c>
      <c r="Q449" s="302" t="n">
        <v>45509</v>
      </c>
    </row>
    <row r="450" customFormat="false" ht="58.95" hidden="true" customHeight="false" outlineLevel="0" collapsed="false">
      <c r="A450" s="332" t="n">
        <v>2459</v>
      </c>
      <c r="B450" s="34" t="s">
        <v>584</v>
      </c>
      <c r="C450" s="34" t="s">
        <v>585</v>
      </c>
      <c r="D450" s="34"/>
      <c r="E450" s="25" t="n">
        <v>45328</v>
      </c>
      <c r="F450" s="25" t="n">
        <v>45482</v>
      </c>
      <c r="G450" s="72" t="n">
        <v>110</v>
      </c>
      <c r="H450" s="320" t="n">
        <v>110</v>
      </c>
      <c r="I450" s="320" t="n">
        <v>0</v>
      </c>
      <c r="J450" s="34" t="s">
        <v>221</v>
      </c>
      <c r="K450" s="36" t="n">
        <v>200000</v>
      </c>
      <c r="L450" s="36" t="n">
        <v>528000</v>
      </c>
      <c r="M450" s="29" t="n">
        <v>24000</v>
      </c>
      <c r="N450" s="30" t="n">
        <v>9500</v>
      </c>
      <c r="O450" s="30" t="n">
        <v>528000</v>
      </c>
      <c r="P450" s="31" t="n">
        <v>0</v>
      </c>
      <c r="Q450" s="302" t="n">
        <v>45509</v>
      </c>
    </row>
    <row r="451" customFormat="false" ht="42.5" hidden="true" customHeight="false" outlineLevel="0" collapsed="false">
      <c r="A451" s="332" t="n">
        <v>2611</v>
      </c>
      <c r="B451" s="34" t="s">
        <v>793</v>
      </c>
      <c r="C451" s="34" t="s">
        <v>623</v>
      </c>
      <c r="D451" s="34"/>
      <c r="E451" s="25" t="n">
        <v>45418</v>
      </c>
      <c r="F451" s="25" t="n">
        <v>45518</v>
      </c>
      <c r="G451" s="72" t="n">
        <v>72</v>
      </c>
      <c r="H451" s="320" t="n">
        <v>72</v>
      </c>
      <c r="I451" s="320" t="n">
        <v>0</v>
      </c>
      <c r="J451" s="34" t="s">
        <v>769</v>
      </c>
      <c r="K451" s="31" t="n">
        <v>10000</v>
      </c>
      <c r="L451" s="31" t="n">
        <v>21600</v>
      </c>
      <c r="M451" s="37" t="n">
        <v>1500</v>
      </c>
      <c r="N451" s="30" t="n">
        <v>2100</v>
      </c>
      <c r="O451" s="30" t="n">
        <v>21600</v>
      </c>
      <c r="P451" s="31" t="n">
        <v>0</v>
      </c>
      <c r="Q451" s="302" t="n">
        <v>45509</v>
      </c>
    </row>
    <row r="452" customFormat="false" ht="17.9" hidden="true" customHeight="false" outlineLevel="0" collapsed="false">
      <c r="A452" s="332" t="n">
        <v>2420</v>
      </c>
      <c r="B452" s="34" t="s">
        <v>634</v>
      </c>
      <c r="C452" s="34" t="s">
        <v>849</v>
      </c>
      <c r="D452" s="34"/>
      <c r="E452" s="25" t="n">
        <v>45305</v>
      </c>
      <c r="F452" s="25" t="n">
        <v>45405</v>
      </c>
      <c r="G452" s="72" t="n">
        <v>72</v>
      </c>
      <c r="H452" s="320" t="n">
        <v>72</v>
      </c>
      <c r="I452" s="320" t="n">
        <v>0</v>
      </c>
      <c r="J452" s="34" t="s">
        <v>381</v>
      </c>
      <c r="K452" s="31" t="n">
        <v>50000</v>
      </c>
      <c r="L452" s="31" t="n">
        <v>123000</v>
      </c>
      <c r="M452" s="37" t="n">
        <v>8541.66666666667</v>
      </c>
      <c r="N452" s="30" t="n">
        <v>10000</v>
      </c>
      <c r="O452" s="30" t="n">
        <v>123000</v>
      </c>
      <c r="P452" s="31" t="n">
        <v>0</v>
      </c>
      <c r="Q452" s="302" t="n">
        <v>45509</v>
      </c>
    </row>
    <row r="453" customFormat="false" ht="26.1" hidden="true" customHeight="false" outlineLevel="0" collapsed="false">
      <c r="A453" s="332" t="n">
        <v>2442</v>
      </c>
      <c r="B453" s="34" t="s">
        <v>930</v>
      </c>
      <c r="C453" s="34" t="s">
        <v>216</v>
      </c>
      <c r="D453" s="44"/>
      <c r="E453" s="25" t="n">
        <v>45317</v>
      </c>
      <c r="F453" s="25" t="n">
        <v>45513</v>
      </c>
      <c r="G453" s="72" t="n">
        <v>140</v>
      </c>
      <c r="H453" s="320" t="n">
        <v>140</v>
      </c>
      <c r="I453" s="320" t="n">
        <v>0</v>
      </c>
      <c r="J453" s="52" t="s">
        <v>1048</v>
      </c>
      <c r="K453" s="36" t="n">
        <v>100000</v>
      </c>
      <c r="L453" s="36" t="n">
        <v>264600</v>
      </c>
      <c r="M453" s="29" t="n">
        <v>9450</v>
      </c>
      <c r="N453" s="30" t="n">
        <v>37800</v>
      </c>
      <c r="O453" s="30" t="n">
        <v>264600</v>
      </c>
      <c r="P453" s="31" t="n">
        <v>0</v>
      </c>
      <c r="Q453" s="302" t="n">
        <v>45516</v>
      </c>
    </row>
    <row r="454" customFormat="false" ht="26.1" hidden="true" customHeight="false" outlineLevel="0" collapsed="false">
      <c r="A454" s="332" t="n">
        <v>2539</v>
      </c>
      <c r="B454" s="34" t="s">
        <v>1049</v>
      </c>
      <c r="C454" s="34" t="s">
        <v>216</v>
      </c>
      <c r="D454" s="44"/>
      <c r="E454" s="25" t="n">
        <v>45373</v>
      </c>
      <c r="F454" s="25" t="n">
        <v>45541</v>
      </c>
      <c r="G454" s="72" t="n">
        <v>120</v>
      </c>
      <c r="H454" s="320" t="n">
        <v>120</v>
      </c>
      <c r="I454" s="320" t="n">
        <v>0</v>
      </c>
      <c r="J454" s="52" t="s">
        <v>1050</v>
      </c>
      <c r="K454" s="36" t="n">
        <v>100000</v>
      </c>
      <c r="L454" s="36" t="n">
        <v>264000</v>
      </c>
      <c r="M454" s="37" t="n">
        <v>11000</v>
      </c>
      <c r="N454" s="30" t="n">
        <v>88000</v>
      </c>
      <c r="O454" s="30" t="n">
        <v>264000</v>
      </c>
      <c r="P454" s="31" t="n">
        <v>0</v>
      </c>
      <c r="Q454" s="302" t="n">
        <v>45516</v>
      </c>
    </row>
    <row r="455" customFormat="false" ht="42.5" hidden="true" customHeight="false" outlineLevel="0" collapsed="false">
      <c r="A455" s="332" t="n">
        <v>2492</v>
      </c>
      <c r="B455" s="34" t="s">
        <v>326</v>
      </c>
      <c r="C455" s="34" t="s">
        <v>327</v>
      </c>
      <c r="D455" s="44" t="s">
        <v>328</v>
      </c>
      <c r="E455" s="25" t="n">
        <v>45346</v>
      </c>
      <c r="F455" s="25" t="n">
        <v>45513</v>
      </c>
      <c r="G455" s="72" t="n">
        <v>120</v>
      </c>
      <c r="H455" s="320" t="n">
        <v>120</v>
      </c>
      <c r="I455" s="320" t="n">
        <v>0</v>
      </c>
      <c r="J455" s="52" t="s">
        <v>1051</v>
      </c>
      <c r="K455" s="36" t="n">
        <v>100000</v>
      </c>
      <c r="L455" s="36" t="n">
        <v>264000</v>
      </c>
      <c r="M455" s="37" t="n">
        <v>11000</v>
      </c>
      <c r="N455" s="30" t="n">
        <v>44000</v>
      </c>
      <c r="O455" s="30" t="n">
        <v>264000</v>
      </c>
      <c r="P455" s="31" t="n">
        <v>0</v>
      </c>
      <c r="Q455" s="302" t="n">
        <v>45516</v>
      </c>
    </row>
    <row r="456" customFormat="false" ht="42.5" hidden="true" customHeight="false" outlineLevel="0" collapsed="false">
      <c r="A456" s="332" t="n">
        <v>2564</v>
      </c>
      <c r="B456" s="34" t="s">
        <v>1052</v>
      </c>
      <c r="C456" s="34" t="s">
        <v>796</v>
      </c>
      <c r="D456" s="44"/>
      <c r="E456" s="25" t="n">
        <v>45389</v>
      </c>
      <c r="F456" s="25" t="n">
        <v>45499</v>
      </c>
      <c r="G456" s="72" t="n">
        <v>80</v>
      </c>
      <c r="H456" s="320" t="n">
        <v>80</v>
      </c>
      <c r="I456" s="320" t="n">
        <v>0</v>
      </c>
      <c r="J456" s="52" t="s">
        <v>1032</v>
      </c>
      <c r="K456" s="31" t="n">
        <v>20000</v>
      </c>
      <c r="L456" s="31" t="n">
        <v>43200</v>
      </c>
      <c r="M456" s="37" t="n">
        <v>2700</v>
      </c>
      <c r="N456" s="30" t="n">
        <v>10800</v>
      </c>
      <c r="O456" s="30" t="n">
        <v>43200</v>
      </c>
      <c r="P456" s="31" t="n">
        <v>0</v>
      </c>
      <c r="Q456" s="302" t="n">
        <v>45516</v>
      </c>
    </row>
    <row r="457" customFormat="false" ht="42.5" hidden="true" customHeight="false" outlineLevel="0" collapsed="false">
      <c r="A457" s="332" t="n">
        <v>2188</v>
      </c>
      <c r="B457" s="34" t="s">
        <v>396</v>
      </c>
      <c r="C457" s="34" t="s">
        <v>397</v>
      </c>
      <c r="D457" s="44"/>
      <c r="E457" s="25" t="n">
        <v>45141</v>
      </c>
      <c r="F457" s="25" t="n">
        <v>45477</v>
      </c>
      <c r="G457" s="72" t="n">
        <v>240</v>
      </c>
      <c r="H457" s="320" t="n">
        <v>240.47619047619</v>
      </c>
      <c r="I457" s="320" t="n">
        <v>-0.476190476190482</v>
      </c>
      <c r="J457" s="52" t="s">
        <v>1053</v>
      </c>
      <c r="K457" s="36" t="n">
        <v>100000</v>
      </c>
      <c r="L457" s="36" t="n">
        <v>252000</v>
      </c>
      <c r="M457" s="37" t="n">
        <v>5250</v>
      </c>
      <c r="N457" s="30" t="n">
        <v>21000</v>
      </c>
      <c r="O457" s="30" t="n">
        <v>252500</v>
      </c>
      <c r="P457" s="31" t="n">
        <v>-500</v>
      </c>
      <c r="Q457" s="302" t="n">
        <v>45516</v>
      </c>
    </row>
    <row r="458" customFormat="false" ht="42.5" hidden="true" customHeight="false" outlineLevel="0" collapsed="false">
      <c r="A458" s="332" t="n">
        <v>2270</v>
      </c>
      <c r="B458" s="34" t="s">
        <v>396</v>
      </c>
      <c r="C458" s="34" t="s">
        <v>397</v>
      </c>
      <c r="D458" s="44"/>
      <c r="E458" s="25" t="n">
        <v>45198</v>
      </c>
      <c r="F458" s="25" t="n">
        <v>45506</v>
      </c>
      <c r="G458" s="72" t="n">
        <v>220</v>
      </c>
      <c r="H458" s="320" t="n">
        <v>223.666666666667</v>
      </c>
      <c r="I458" s="320" t="n">
        <v>-3.66666666666666</v>
      </c>
      <c r="J458" s="52" t="s">
        <v>1054</v>
      </c>
      <c r="K458" s="36" t="n">
        <v>150000</v>
      </c>
      <c r="L458" s="36" t="n">
        <v>390000</v>
      </c>
      <c r="M458" s="37" t="n">
        <v>8863.63636363636</v>
      </c>
      <c r="N458" s="30" t="n">
        <v>36000</v>
      </c>
      <c r="O458" s="30" t="n">
        <v>396500</v>
      </c>
      <c r="P458" s="31" t="n">
        <v>-6500</v>
      </c>
      <c r="Q458" s="302" t="n">
        <v>45516</v>
      </c>
    </row>
    <row r="459" customFormat="false" ht="17.9" hidden="true" customHeight="false" outlineLevel="0" collapsed="false">
      <c r="A459" s="332" t="n">
        <v>2753</v>
      </c>
      <c r="B459" s="34" t="s">
        <v>429</v>
      </c>
      <c r="C459" s="34"/>
      <c r="D459" s="44"/>
      <c r="E459" s="25" t="n">
        <v>45514</v>
      </c>
      <c r="F459" s="25" t="n">
        <v>45520</v>
      </c>
      <c r="G459" s="72" t="n">
        <v>5</v>
      </c>
      <c r="H459" s="320" t="e">
        <f aca="false">#DIV/0!</f>
        <v>#DIV/0!</v>
      </c>
      <c r="I459" s="320" t="e">
        <f aca="false">#DIV/0!</f>
        <v>#DIV/0!</v>
      </c>
      <c r="J459" s="52" t="s">
        <v>580</v>
      </c>
      <c r="K459" s="45" t="n">
        <v>30000</v>
      </c>
      <c r="L459" s="31" t="n">
        <v>39000</v>
      </c>
      <c r="M459" s="37"/>
      <c r="N459" s="30" t="n">
        <v>39000</v>
      </c>
      <c r="O459" s="30" t="n">
        <v>39000</v>
      </c>
      <c r="P459" s="31" t="n">
        <v>0</v>
      </c>
      <c r="Q459" s="302" t="n">
        <v>45516</v>
      </c>
    </row>
    <row r="460" customFormat="false" ht="58.95" hidden="true" customHeight="false" outlineLevel="0" collapsed="false">
      <c r="A460" s="332" t="n">
        <v>2479</v>
      </c>
      <c r="B460" s="34" t="s">
        <v>1055</v>
      </c>
      <c r="C460" s="34" t="s">
        <v>464</v>
      </c>
      <c r="D460" s="44"/>
      <c r="E460" s="25" t="n">
        <v>45338</v>
      </c>
      <c r="F460" s="25" t="n">
        <v>45506</v>
      </c>
      <c r="G460" s="72" t="n">
        <v>120</v>
      </c>
      <c r="H460" s="320" t="n">
        <v>120</v>
      </c>
      <c r="I460" s="320" t="n">
        <v>0</v>
      </c>
      <c r="J460" s="68" t="s">
        <v>1056</v>
      </c>
      <c r="K460" s="36" t="n">
        <v>100000</v>
      </c>
      <c r="L460" s="36" t="n">
        <v>264000</v>
      </c>
      <c r="M460" s="37" t="n">
        <v>11000</v>
      </c>
      <c r="N460" s="30" t="n">
        <v>22000</v>
      </c>
      <c r="O460" s="30" t="n">
        <v>264000</v>
      </c>
      <c r="P460" s="31" t="n">
        <v>0</v>
      </c>
      <c r="Q460" s="302" t="n">
        <v>45516</v>
      </c>
    </row>
    <row r="461" customFormat="false" ht="34.3" hidden="true" customHeight="false" outlineLevel="0" collapsed="false">
      <c r="A461" s="332" t="n">
        <v>2467</v>
      </c>
      <c r="B461" s="34" t="s">
        <v>476</v>
      </c>
      <c r="C461" s="34" t="s">
        <v>477</v>
      </c>
      <c r="D461" s="44"/>
      <c r="E461" s="25" t="n">
        <v>45331</v>
      </c>
      <c r="F461" s="25" t="n">
        <v>45499</v>
      </c>
      <c r="G461" s="72" t="n">
        <v>120</v>
      </c>
      <c r="H461" s="320" t="n">
        <v>120</v>
      </c>
      <c r="I461" s="320" t="n">
        <v>0</v>
      </c>
      <c r="J461" s="68" t="s">
        <v>1057</v>
      </c>
      <c r="K461" s="36" t="n">
        <v>200000</v>
      </c>
      <c r="L461" s="36" t="n">
        <v>528000</v>
      </c>
      <c r="M461" s="29" t="n">
        <v>22000</v>
      </c>
      <c r="N461" s="30" t="n">
        <v>44000</v>
      </c>
      <c r="O461" s="30" t="n">
        <v>528000</v>
      </c>
      <c r="P461" s="31" t="n">
        <v>0</v>
      </c>
      <c r="Q461" s="302" t="n">
        <v>45516</v>
      </c>
    </row>
    <row r="462" customFormat="false" ht="26.1" hidden="true" customHeight="false" outlineLevel="0" collapsed="false">
      <c r="A462" s="332" t="n">
        <v>2595</v>
      </c>
      <c r="B462" s="34" t="s">
        <v>480</v>
      </c>
      <c r="C462" s="34" t="s">
        <v>958</v>
      </c>
      <c r="D462" s="44"/>
      <c r="E462" s="25" t="n">
        <v>45408</v>
      </c>
      <c r="F462" s="25" t="n">
        <v>45510</v>
      </c>
      <c r="G462" s="72" t="n">
        <v>72</v>
      </c>
      <c r="H462" s="320" t="n">
        <v>72</v>
      </c>
      <c r="I462" s="320" t="n">
        <v>0</v>
      </c>
      <c r="J462" s="34" t="s">
        <v>266</v>
      </c>
      <c r="K462" s="36" t="n">
        <v>100000</v>
      </c>
      <c r="L462" s="36" t="n">
        <v>216000</v>
      </c>
      <c r="M462" s="29" t="n">
        <v>15000</v>
      </c>
      <c r="N462" s="30" t="n">
        <v>21000</v>
      </c>
      <c r="O462" s="30" t="n">
        <v>216000</v>
      </c>
      <c r="P462" s="31" t="n">
        <v>0</v>
      </c>
      <c r="Q462" s="302" t="n">
        <v>45516</v>
      </c>
    </row>
    <row r="463" customFormat="false" ht="50.7" hidden="true" customHeight="false" outlineLevel="0" collapsed="false">
      <c r="A463" s="332" t="n">
        <v>2623</v>
      </c>
      <c r="B463" s="34" t="s">
        <v>973</v>
      </c>
      <c r="C463" s="34" t="s">
        <v>974</v>
      </c>
      <c r="D463" s="44" t="n">
        <v>27242809519</v>
      </c>
      <c r="E463" s="25" t="n">
        <v>45426</v>
      </c>
      <c r="F463" s="25" t="n">
        <v>45538</v>
      </c>
      <c r="G463" s="72" t="n">
        <v>80</v>
      </c>
      <c r="H463" s="320" t="n">
        <v>80</v>
      </c>
      <c r="I463" s="320" t="n">
        <v>0</v>
      </c>
      <c r="J463" s="52" t="s">
        <v>1045</v>
      </c>
      <c r="K463" s="36" t="n">
        <v>40000</v>
      </c>
      <c r="L463" s="36" t="n">
        <v>86400</v>
      </c>
      <c r="M463" s="29" t="n">
        <v>5400</v>
      </c>
      <c r="N463" s="30" t="n">
        <v>21600</v>
      </c>
      <c r="O463" s="30" t="n">
        <v>86400</v>
      </c>
      <c r="P463" s="31" t="n">
        <v>0</v>
      </c>
      <c r="Q463" s="302" t="n">
        <v>45516</v>
      </c>
    </row>
    <row r="464" customFormat="false" ht="14.25" hidden="true" customHeight="false" outlineLevel="0" collapsed="false">
      <c r="A464" s="332" t="n">
        <v>2724</v>
      </c>
      <c r="B464" s="34" t="s">
        <v>861</v>
      </c>
      <c r="C464" s="34"/>
      <c r="D464" s="44"/>
      <c r="E464" s="25" t="n">
        <v>45497</v>
      </c>
      <c r="F464" s="25" t="n">
        <v>45516</v>
      </c>
      <c r="G464" s="50" t="n">
        <v>13</v>
      </c>
      <c r="H464" s="320" t="e">
        <f aca="false">#DIV/0!</f>
        <v>#DIV/0!</v>
      </c>
      <c r="I464" s="320" t="e">
        <f aca="false">#DIV/0!</f>
        <v>#DIV/0!</v>
      </c>
      <c r="J464" s="52" t="s">
        <v>1058</v>
      </c>
      <c r="K464" s="36" t="n">
        <v>25000</v>
      </c>
      <c r="L464" s="36" t="n">
        <v>38000</v>
      </c>
      <c r="M464" s="29"/>
      <c r="N464" s="30" t="n">
        <v>38000</v>
      </c>
      <c r="O464" s="30" t="n">
        <v>38000</v>
      </c>
      <c r="P464" s="31" t="n">
        <v>0</v>
      </c>
      <c r="Q464" s="302" t="n">
        <v>45516</v>
      </c>
    </row>
    <row r="465" customFormat="false" ht="14.25" hidden="true" customHeight="false" outlineLevel="0" collapsed="false">
      <c r="A465" s="332" t="n">
        <v>2742</v>
      </c>
      <c r="B465" s="34" t="s">
        <v>861</v>
      </c>
      <c r="C465" s="34"/>
      <c r="D465" s="44"/>
      <c r="E465" s="25" t="n">
        <v>45507</v>
      </c>
      <c r="F465" s="25" t="n">
        <v>45516</v>
      </c>
      <c r="G465" s="50" t="n">
        <v>6</v>
      </c>
      <c r="H465" s="320" t="e">
        <f aca="false">#DIV/0!</f>
        <v>#DIV/0!</v>
      </c>
      <c r="I465" s="320" t="e">
        <f aca="false">#DIV/0!</f>
        <v>#DIV/0!</v>
      </c>
      <c r="J465" s="52" t="s">
        <v>1058</v>
      </c>
      <c r="K465" s="36" t="n">
        <v>25000</v>
      </c>
      <c r="L465" s="36" t="n">
        <v>38000</v>
      </c>
      <c r="M465" s="29"/>
      <c r="N465" s="30" t="n">
        <v>38000</v>
      </c>
      <c r="O465" s="30" t="n">
        <v>38000</v>
      </c>
      <c r="P465" s="31" t="n">
        <v>0</v>
      </c>
      <c r="Q465" s="302" t="n">
        <v>45516</v>
      </c>
    </row>
    <row r="466" customFormat="false" ht="26.1" hidden="true" customHeight="false" outlineLevel="0" collapsed="false">
      <c r="A466" s="332" t="n">
        <v>2585</v>
      </c>
      <c r="B466" s="34" t="s">
        <v>519</v>
      </c>
      <c r="C466" s="34" t="s">
        <v>520</v>
      </c>
      <c r="D466" s="44"/>
      <c r="E466" s="25" t="n">
        <v>45401</v>
      </c>
      <c r="F466" s="25" t="n">
        <v>45503</v>
      </c>
      <c r="G466" s="72" t="n">
        <v>72</v>
      </c>
      <c r="H466" s="320" t="n">
        <v>72</v>
      </c>
      <c r="I466" s="320" t="n">
        <v>0</v>
      </c>
      <c r="J466" s="34" t="s">
        <v>266</v>
      </c>
      <c r="K466" s="36" t="n">
        <v>100000</v>
      </c>
      <c r="L466" s="36" t="n">
        <v>216000</v>
      </c>
      <c r="M466" s="37" t="n">
        <v>15000</v>
      </c>
      <c r="N466" s="30" t="n">
        <v>20500</v>
      </c>
      <c r="O466" s="30" t="n">
        <v>216000</v>
      </c>
      <c r="P466" s="31" t="n">
        <v>0</v>
      </c>
      <c r="Q466" s="302" t="n">
        <v>45516</v>
      </c>
    </row>
    <row r="467" customFormat="false" ht="34.3" hidden="true" customHeight="false" outlineLevel="0" collapsed="false">
      <c r="A467" s="332" t="n">
        <v>2401</v>
      </c>
      <c r="B467" s="34" t="s">
        <v>522</v>
      </c>
      <c r="C467" s="34" t="s">
        <v>523</v>
      </c>
      <c r="D467" s="44"/>
      <c r="E467" s="25" t="n">
        <v>45296</v>
      </c>
      <c r="F467" s="25" t="n">
        <v>45478</v>
      </c>
      <c r="G467" s="72" t="n">
        <v>130</v>
      </c>
      <c r="H467" s="320" t="n">
        <v>131.454545454545</v>
      </c>
      <c r="I467" s="320" t="n">
        <v>-1.45454545454547</v>
      </c>
      <c r="J467" s="34" t="s">
        <v>1059</v>
      </c>
      <c r="K467" s="36" t="n">
        <v>200000</v>
      </c>
      <c r="L467" s="36" t="n">
        <v>572000</v>
      </c>
      <c r="M467" s="29" t="n">
        <v>22000</v>
      </c>
      <c r="N467" s="30" t="n">
        <v>22000</v>
      </c>
      <c r="O467" s="30" t="n">
        <v>578400</v>
      </c>
      <c r="P467" s="31" t="n">
        <v>-6400</v>
      </c>
      <c r="Q467" s="302" t="n">
        <v>45516</v>
      </c>
    </row>
    <row r="468" customFormat="false" ht="42" hidden="true" customHeight="false" outlineLevel="0" collapsed="false">
      <c r="A468" s="332" t="n">
        <v>2358</v>
      </c>
      <c r="B468" s="34" t="s">
        <v>534</v>
      </c>
      <c r="C468" s="34" t="s">
        <v>1060</v>
      </c>
      <c r="D468" s="44"/>
      <c r="E468" s="25" t="n">
        <v>45261</v>
      </c>
      <c r="F468" s="25" t="n">
        <v>45485</v>
      </c>
      <c r="G468" s="72" t="n">
        <v>160</v>
      </c>
      <c r="H468" s="320" t="n">
        <v>160.727272727273</v>
      </c>
      <c r="I468" s="320" t="n">
        <v>-0.72727272727272</v>
      </c>
      <c r="J468" s="52" t="s">
        <v>1061</v>
      </c>
      <c r="K468" s="36" t="n">
        <v>300000</v>
      </c>
      <c r="L468" s="36" t="n">
        <v>792000</v>
      </c>
      <c r="M468" s="37" t="n">
        <v>24750</v>
      </c>
      <c r="N468" s="30" t="n">
        <v>99000</v>
      </c>
      <c r="O468" s="30" t="n">
        <v>795600</v>
      </c>
      <c r="P468" s="31" t="n">
        <v>-3600</v>
      </c>
      <c r="Q468" s="302" t="n">
        <v>45516</v>
      </c>
    </row>
    <row r="469" customFormat="false" ht="26.1" hidden="true" customHeight="false" outlineLevel="0" collapsed="false">
      <c r="A469" s="332" t="n">
        <v>2556</v>
      </c>
      <c r="B469" s="34" t="s">
        <v>781</v>
      </c>
      <c r="C469" s="34" t="s">
        <v>782</v>
      </c>
      <c r="D469" s="44"/>
      <c r="E469" s="25" t="n">
        <v>45386</v>
      </c>
      <c r="F469" s="25" t="n">
        <v>45554</v>
      </c>
      <c r="G469" s="72" t="n">
        <v>120</v>
      </c>
      <c r="H469" s="320" t="n">
        <v>120</v>
      </c>
      <c r="I469" s="320" t="n">
        <v>0</v>
      </c>
      <c r="J469" s="52" t="s">
        <v>783</v>
      </c>
      <c r="K469" s="31" t="n">
        <v>20000</v>
      </c>
      <c r="L469" s="31" t="n">
        <v>52800</v>
      </c>
      <c r="M469" s="37" t="n">
        <v>2200</v>
      </c>
      <c r="N469" s="30" t="n">
        <v>26400</v>
      </c>
      <c r="O469" s="30" t="n">
        <v>52800</v>
      </c>
      <c r="P469" s="31" t="n">
        <v>0</v>
      </c>
      <c r="Q469" s="302" t="n">
        <v>45516</v>
      </c>
    </row>
    <row r="470" customFormat="false" ht="14.25" hidden="true" customHeight="false" outlineLevel="0" collapsed="false">
      <c r="A470" s="332" t="n">
        <v>2698</v>
      </c>
      <c r="B470" s="34" t="s">
        <v>1022</v>
      </c>
      <c r="C470" s="34"/>
      <c r="D470" s="44"/>
      <c r="E470" s="25" t="n">
        <v>45479</v>
      </c>
      <c r="F470" s="25" t="n">
        <v>45513</v>
      </c>
      <c r="G470" s="72" t="n">
        <v>25</v>
      </c>
      <c r="H470" s="320" t="e">
        <f aca="false">#DIV/0!</f>
        <v>#DIV/0!</v>
      </c>
      <c r="I470" s="320" t="e">
        <f aca="false">#DIV/0!</f>
        <v>#DIV/0!</v>
      </c>
      <c r="J470" s="34" t="s">
        <v>751</v>
      </c>
      <c r="K470" s="36" t="n">
        <v>30000</v>
      </c>
      <c r="L470" s="36" t="n">
        <v>45000</v>
      </c>
      <c r="M470" s="37"/>
      <c r="N470" s="30" t="n">
        <v>45000</v>
      </c>
      <c r="O470" s="30" t="n">
        <v>45000</v>
      </c>
      <c r="P470" s="31" t="n">
        <v>0</v>
      </c>
      <c r="Q470" s="302" t="n">
        <v>45516</v>
      </c>
    </row>
    <row r="471" customFormat="false" ht="14.25" hidden="true" customHeight="false" outlineLevel="0" collapsed="false">
      <c r="A471" s="332" t="n">
        <v>2727</v>
      </c>
      <c r="B471" s="34" t="s">
        <v>1022</v>
      </c>
      <c r="C471" s="34"/>
      <c r="D471" s="44"/>
      <c r="E471" s="25" t="n">
        <v>45498</v>
      </c>
      <c r="F471" s="25" t="n">
        <v>45517</v>
      </c>
      <c r="G471" s="72" t="n">
        <v>13</v>
      </c>
      <c r="H471" s="320" t="e">
        <f aca="false">#DIV/0!</f>
        <v>#DIV/0!</v>
      </c>
      <c r="I471" s="320" t="e">
        <f aca="false">#DIV/0!</f>
        <v>#DIV/0!</v>
      </c>
      <c r="J471" s="34" t="s">
        <v>751</v>
      </c>
      <c r="K471" s="36" t="n">
        <v>30000</v>
      </c>
      <c r="L471" s="36" t="n">
        <v>45000</v>
      </c>
      <c r="M471" s="37"/>
      <c r="N471" s="30" t="n">
        <v>45000</v>
      </c>
      <c r="O471" s="30" t="n">
        <v>45000</v>
      </c>
      <c r="P471" s="31" t="n">
        <v>0</v>
      </c>
      <c r="Q471" s="302" t="n">
        <v>45516</v>
      </c>
    </row>
    <row r="472" customFormat="false" ht="34.3" hidden="true" customHeight="false" outlineLevel="0" collapsed="false">
      <c r="A472" s="332" t="n">
        <v>1879</v>
      </c>
      <c r="B472" s="34" t="s">
        <v>574</v>
      </c>
      <c r="C472" s="34" t="s">
        <v>575</v>
      </c>
      <c r="D472" s="44"/>
      <c r="E472" s="25" t="n">
        <v>44893</v>
      </c>
      <c r="F472" s="25" t="n">
        <v>44993</v>
      </c>
      <c r="G472" s="72" t="n">
        <v>72</v>
      </c>
      <c r="H472" s="320" t="n">
        <v>73.3333333333333</v>
      </c>
      <c r="I472" s="320" t="n">
        <v>-1.33333333333333</v>
      </c>
      <c r="J472" s="34" t="s">
        <v>769</v>
      </c>
      <c r="K472" s="31" t="n">
        <v>10000</v>
      </c>
      <c r="L472" s="31" t="n">
        <v>21600</v>
      </c>
      <c r="M472" s="29" t="n">
        <v>1500</v>
      </c>
      <c r="N472" s="30" t="n">
        <v>1500</v>
      </c>
      <c r="O472" s="30" t="n">
        <v>22000</v>
      </c>
      <c r="P472" s="31" t="n">
        <v>-400</v>
      </c>
      <c r="Q472" s="302" t="n">
        <v>45516</v>
      </c>
    </row>
    <row r="473" customFormat="false" ht="58.95" hidden="true" customHeight="false" outlineLevel="0" collapsed="false">
      <c r="A473" s="332" t="n">
        <v>2441</v>
      </c>
      <c r="B473" s="34" t="s">
        <v>584</v>
      </c>
      <c r="C473" s="34" t="s">
        <v>585</v>
      </c>
      <c r="D473" s="44"/>
      <c r="E473" s="25" t="n">
        <v>45316</v>
      </c>
      <c r="F473" s="25" t="n">
        <v>45491</v>
      </c>
      <c r="G473" s="72" t="n">
        <v>125</v>
      </c>
      <c r="H473" s="320" t="n">
        <v>125</v>
      </c>
      <c r="I473" s="320" t="n">
        <v>0</v>
      </c>
      <c r="J473" s="34" t="s">
        <v>1062</v>
      </c>
      <c r="K473" s="36" t="n">
        <v>400000</v>
      </c>
      <c r="L473" s="36" t="n">
        <v>1056000</v>
      </c>
      <c r="M473" s="29" t="n">
        <v>42240</v>
      </c>
      <c r="N473" s="30" t="n">
        <v>80240</v>
      </c>
      <c r="O473" s="30" t="n">
        <v>1056000</v>
      </c>
      <c r="P473" s="31" t="n">
        <v>0</v>
      </c>
      <c r="Q473" s="302" t="n">
        <v>45516</v>
      </c>
    </row>
    <row r="474" customFormat="false" ht="34.3" hidden="true" customHeight="false" outlineLevel="0" collapsed="false">
      <c r="A474" s="332" t="n">
        <v>2400</v>
      </c>
      <c r="B474" s="34" t="s">
        <v>593</v>
      </c>
      <c r="C474" s="34" t="s">
        <v>594</v>
      </c>
      <c r="D474" s="44"/>
      <c r="E474" s="25" t="n">
        <v>45296</v>
      </c>
      <c r="F474" s="25" t="n">
        <v>45520</v>
      </c>
      <c r="G474" s="72" t="n">
        <v>160</v>
      </c>
      <c r="H474" s="320" t="n">
        <v>160</v>
      </c>
      <c r="I474" s="320" t="n">
        <v>0</v>
      </c>
      <c r="J474" s="52" t="s">
        <v>1063</v>
      </c>
      <c r="K474" s="36" t="n">
        <v>60000</v>
      </c>
      <c r="L474" s="36" t="n">
        <v>180000</v>
      </c>
      <c r="M474" s="37" t="n">
        <v>5625</v>
      </c>
      <c r="N474" s="30" t="n">
        <v>45500</v>
      </c>
      <c r="O474" s="30" t="n">
        <v>180000</v>
      </c>
      <c r="P474" s="31" t="n">
        <v>0</v>
      </c>
      <c r="Q474" s="302" t="n">
        <v>45516</v>
      </c>
    </row>
    <row r="475" customFormat="false" ht="17.9" hidden="true" customHeight="false" outlineLevel="0" collapsed="false">
      <c r="A475" s="332" t="n">
        <v>2615</v>
      </c>
      <c r="B475" s="34" t="s">
        <v>264</v>
      </c>
      <c r="C475" s="34" t="s">
        <v>265</v>
      </c>
      <c r="D475" s="44"/>
      <c r="E475" s="25" t="n">
        <v>45421</v>
      </c>
      <c r="F475" s="25" t="n">
        <v>45523</v>
      </c>
      <c r="G475" s="72" t="n">
        <v>72</v>
      </c>
      <c r="H475" s="320" t="n">
        <v>72</v>
      </c>
      <c r="I475" s="320" t="n">
        <v>0</v>
      </c>
      <c r="J475" s="34" t="s">
        <v>266</v>
      </c>
      <c r="K475" s="36" t="n">
        <v>100000</v>
      </c>
      <c r="L475" s="36" t="n">
        <v>216000</v>
      </c>
      <c r="M475" s="37" t="n">
        <v>15000</v>
      </c>
      <c r="N475" s="30" t="n">
        <v>6000</v>
      </c>
      <c r="O475" s="30" t="n">
        <v>216000</v>
      </c>
      <c r="P475" s="31" t="n">
        <v>0</v>
      </c>
      <c r="Q475" s="302" t="n">
        <v>45523</v>
      </c>
    </row>
    <row r="476" customFormat="false" ht="17.9" hidden="true" customHeight="false" outlineLevel="0" collapsed="false">
      <c r="A476" s="332" t="n">
        <v>2768</v>
      </c>
      <c r="B476" s="34" t="s">
        <v>429</v>
      </c>
      <c r="C476" s="34"/>
      <c r="D476" s="44"/>
      <c r="E476" s="25" t="n">
        <v>45521</v>
      </c>
      <c r="F476" s="25" t="n">
        <v>45527</v>
      </c>
      <c r="G476" s="72" t="n">
        <v>5</v>
      </c>
      <c r="H476" s="320" t="e">
        <f aca="false">#DIV/0!</f>
        <v>#DIV/0!</v>
      </c>
      <c r="I476" s="320" t="e">
        <f aca="false">#DIV/0!</f>
        <v>#DIV/0!</v>
      </c>
      <c r="J476" s="52" t="s">
        <v>580</v>
      </c>
      <c r="K476" s="46" t="n">
        <v>30000</v>
      </c>
      <c r="L476" s="36" t="n">
        <v>39000</v>
      </c>
      <c r="M476" s="37"/>
      <c r="N476" s="30" t="n">
        <v>39000</v>
      </c>
      <c r="O476" s="30" t="n">
        <v>39000</v>
      </c>
      <c r="P476" s="31" t="n">
        <v>0</v>
      </c>
      <c r="Q476" s="302" t="n">
        <v>45523</v>
      </c>
    </row>
    <row r="477" customFormat="false" ht="42.5" hidden="true" customHeight="false" outlineLevel="0" collapsed="false">
      <c r="A477" s="332" t="n">
        <v>2580</v>
      </c>
      <c r="B477" s="34" t="s">
        <v>548</v>
      </c>
      <c r="C477" s="34" t="s">
        <v>549</v>
      </c>
      <c r="D477" s="44" t="n">
        <v>20317686979</v>
      </c>
      <c r="E477" s="25" t="n">
        <v>45400</v>
      </c>
      <c r="F477" s="25" t="n">
        <v>45540</v>
      </c>
      <c r="G477" s="72" t="n">
        <v>100</v>
      </c>
      <c r="H477" s="320" t="n">
        <v>100</v>
      </c>
      <c r="I477" s="320" t="n">
        <v>0</v>
      </c>
      <c r="J477" s="52" t="s">
        <v>1064</v>
      </c>
      <c r="K477" s="31" t="n">
        <v>200000</v>
      </c>
      <c r="L477" s="31" t="n">
        <v>432000</v>
      </c>
      <c r="M477" s="37" t="n">
        <v>21600</v>
      </c>
      <c r="N477" s="30" t="n">
        <v>86400</v>
      </c>
      <c r="O477" s="30" t="n">
        <v>432000</v>
      </c>
      <c r="P477" s="31" t="n">
        <v>0</v>
      </c>
      <c r="Q477" s="302" t="n">
        <v>45523</v>
      </c>
    </row>
    <row r="478" customFormat="false" ht="17.9" hidden="true" customHeight="false" outlineLevel="0" collapsed="false">
      <c r="A478" s="332" t="n">
        <v>2656</v>
      </c>
      <c r="B478" s="34" t="s">
        <v>1065</v>
      </c>
      <c r="C478" s="34"/>
      <c r="D478" s="44"/>
      <c r="E478" s="25" t="n">
        <v>45450</v>
      </c>
      <c r="F478" s="25" t="n">
        <v>45548</v>
      </c>
      <c r="G478" s="72" t="n">
        <v>70</v>
      </c>
      <c r="H478" s="320" t="n">
        <v>70</v>
      </c>
      <c r="I478" s="320" t="n">
        <v>0</v>
      </c>
      <c r="J478" s="68" t="s">
        <v>1066</v>
      </c>
      <c r="K478" s="36" t="n">
        <v>30000</v>
      </c>
      <c r="L478" s="36" t="n">
        <v>65100</v>
      </c>
      <c r="M478" s="37" t="n">
        <v>4650</v>
      </c>
      <c r="N478" s="30" t="n">
        <v>27900</v>
      </c>
      <c r="O478" s="30" t="n">
        <v>65100</v>
      </c>
      <c r="P478" s="31" t="n">
        <v>0</v>
      </c>
      <c r="Q478" s="302" t="n">
        <v>45523</v>
      </c>
    </row>
    <row r="479" customFormat="false" ht="17.9" hidden="true" customHeight="false" outlineLevel="0" collapsed="false">
      <c r="A479" s="332" t="n">
        <v>2491</v>
      </c>
      <c r="B479" s="34" t="s">
        <v>333</v>
      </c>
      <c r="C479" s="34" t="s">
        <v>907</v>
      </c>
      <c r="D479" s="44"/>
      <c r="E479" s="25" t="n">
        <v>45345</v>
      </c>
      <c r="F479" s="25" t="n">
        <v>45513</v>
      </c>
      <c r="G479" s="72" t="n">
        <v>120</v>
      </c>
      <c r="H479" s="320" t="n">
        <v>120</v>
      </c>
      <c r="I479" s="320" t="n">
        <v>0</v>
      </c>
      <c r="J479" s="34" t="s">
        <v>1067</v>
      </c>
      <c r="K479" s="36" t="n">
        <v>150000</v>
      </c>
      <c r="L479" s="36" t="n">
        <v>396000</v>
      </c>
      <c r="M479" s="37" t="n">
        <v>16500</v>
      </c>
      <c r="N479" s="30" t="n">
        <v>25000</v>
      </c>
      <c r="O479" s="30" t="n">
        <v>396000</v>
      </c>
      <c r="P479" s="31" t="n">
        <v>0</v>
      </c>
      <c r="Q479" s="302" t="n">
        <v>45530</v>
      </c>
    </row>
    <row r="480" customFormat="false" ht="50.7" hidden="true" customHeight="false" outlineLevel="0" collapsed="false">
      <c r="A480" s="332" t="n">
        <v>2624</v>
      </c>
      <c r="B480" s="34" t="s">
        <v>960</v>
      </c>
      <c r="C480" s="34" t="s">
        <v>1068</v>
      </c>
      <c r="D480" s="44" t="n">
        <v>27313552360</v>
      </c>
      <c r="E480" s="25" t="n">
        <v>45426</v>
      </c>
      <c r="F480" s="25" t="n">
        <v>45526</v>
      </c>
      <c r="G480" s="72" t="n">
        <v>72</v>
      </c>
      <c r="H480" s="320" t="n">
        <v>72</v>
      </c>
      <c r="I480" s="320" t="n">
        <v>0</v>
      </c>
      <c r="J480" s="52" t="s">
        <v>1069</v>
      </c>
      <c r="K480" s="36" t="n">
        <v>150000</v>
      </c>
      <c r="L480" s="36" t="n">
        <v>324000</v>
      </c>
      <c r="M480" s="29" t="n">
        <v>22500</v>
      </c>
      <c r="N480" s="30" t="n">
        <v>81000</v>
      </c>
      <c r="O480" s="30" t="n">
        <v>324000</v>
      </c>
      <c r="P480" s="31" t="n">
        <v>0</v>
      </c>
      <c r="Q480" s="302" t="n">
        <v>45530</v>
      </c>
    </row>
    <row r="481" customFormat="false" ht="17.9" hidden="true" customHeight="false" outlineLevel="0" collapsed="false">
      <c r="A481" s="332" t="n">
        <v>2599</v>
      </c>
      <c r="B481" s="34" t="s">
        <v>369</v>
      </c>
      <c r="C481" s="34"/>
      <c r="D481" s="44"/>
      <c r="E481" s="25" t="n">
        <v>45409</v>
      </c>
      <c r="F481" s="25" t="n">
        <v>45520</v>
      </c>
      <c r="G481" s="72" t="n">
        <v>80</v>
      </c>
      <c r="H481" s="320" t="n">
        <v>80</v>
      </c>
      <c r="I481" s="320" t="n">
        <v>0</v>
      </c>
      <c r="J481" s="52" t="s">
        <v>1070</v>
      </c>
      <c r="K481" s="36" t="n">
        <v>50000</v>
      </c>
      <c r="L481" s="36" t="n">
        <v>108000</v>
      </c>
      <c r="M481" s="37" t="n">
        <v>6750</v>
      </c>
      <c r="N481" s="30" t="n">
        <v>27000</v>
      </c>
      <c r="O481" s="30" t="n">
        <v>108000</v>
      </c>
      <c r="P481" s="31" t="n">
        <v>0</v>
      </c>
      <c r="Q481" s="302" t="n">
        <v>45530</v>
      </c>
    </row>
    <row r="482" customFormat="false" ht="17.9" hidden="true" customHeight="false" outlineLevel="0" collapsed="false">
      <c r="A482" s="332" t="n">
        <v>2776</v>
      </c>
      <c r="B482" s="34" t="s">
        <v>429</v>
      </c>
      <c r="C482" s="34"/>
      <c r="D482" s="44"/>
      <c r="E482" s="25" t="n">
        <v>45526</v>
      </c>
      <c r="F482" s="25" t="n">
        <f aca="false">WORKDAY(E482,G482)</f>
        <v>45533</v>
      </c>
      <c r="G482" s="72" t="n">
        <v>5</v>
      </c>
      <c r="H482" s="320" t="e">
        <f aca="false">(DF482* 5)/M482</f>
        <v>#DIV/0!</v>
      </c>
      <c r="I482" s="320" t="e">
        <f aca="false">G482-H482</f>
        <v>#DIV/0!</v>
      </c>
      <c r="J482" s="52" t="s">
        <v>580</v>
      </c>
      <c r="K482" s="46" t="n">
        <v>30000</v>
      </c>
      <c r="L482" s="36" t="n">
        <v>39000</v>
      </c>
      <c r="M482" s="37"/>
      <c r="N482" s="30" t="n">
        <v>39000</v>
      </c>
      <c r="O482" s="30" t="n">
        <v>39000</v>
      </c>
      <c r="P482" s="31" t="n">
        <v>0</v>
      </c>
      <c r="Q482" s="302" t="n">
        <v>45530</v>
      </c>
    </row>
    <row r="483" customFormat="false" ht="34.3" hidden="true" customHeight="false" outlineLevel="0" collapsed="false">
      <c r="A483" s="332" t="n">
        <v>2584</v>
      </c>
      <c r="B483" s="34" t="s">
        <v>1071</v>
      </c>
      <c r="C483" s="34" t="s">
        <v>451</v>
      </c>
      <c r="D483" s="44"/>
      <c r="E483" s="25" t="n">
        <v>45401</v>
      </c>
      <c r="F483" s="25" t="n">
        <v>45503</v>
      </c>
      <c r="G483" s="72" t="n">
        <v>72</v>
      </c>
      <c r="H483" s="320" t="n">
        <v>72</v>
      </c>
      <c r="I483" s="320" t="n">
        <v>0</v>
      </c>
      <c r="J483" s="34" t="s">
        <v>769</v>
      </c>
      <c r="K483" s="31" t="n">
        <v>10000</v>
      </c>
      <c r="L483" s="31" t="n">
        <v>21600</v>
      </c>
      <c r="M483" s="37" t="n">
        <v>1500</v>
      </c>
      <c r="N483" s="30" t="n">
        <v>600</v>
      </c>
      <c r="O483" s="30" t="n">
        <v>21600</v>
      </c>
      <c r="P483" s="31" t="n">
        <v>0</v>
      </c>
      <c r="Q483" s="302" t="n">
        <v>45530</v>
      </c>
    </row>
    <row r="484" customFormat="false" ht="34.3" hidden="true" customHeight="false" outlineLevel="0" collapsed="false">
      <c r="A484" s="332" t="n">
        <v>2621</v>
      </c>
      <c r="B484" s="34" t="s">
        <v>879</v>
      </c>
      <c r="C484" s="34" t="s">
        <v>484</v>
      </c>
      <c r="D484" s="44"/>
      <c r="E484" s="25" t="n">
        <v>45425</v>
      </c>
      <c r="F484" s="25" t="n">
        <v>45525</v>
      </c>
      <c r="G484" s="72" t="n">
        <v>72</v>
      </c>
      <c r="H484" s="320" t="n">
        <v>71.8571428571429</v>
      </c>
      <c r="I484" s="320" t="n">
        <v>0.142857142857139</v>
      </c>
      <c r="J484" s="52" t="s">
        <v>996</v>
      </c>
      <c r="K484" s="57" t="n">
        <v>70000</v>
      </c>
      <c r="L484" s="36" t="n">
        <v>151200</v>
      </c>
      <c r="M484" s="37" t="n">
        <v>10500</v>
      </c>
      <c r="N484" s="30" t="n">
        <v>10500</v>
      </c>
      <c r="O484" s="30" t="n">
        <v>150900</v>
      </c>
      <c r="P484" s="31" t="n">
        <v>300</v>
      </c>
      <c r="Q484" s="302" t="n">
        <v>45530</v>
      </c>
    </row>
    <row r="485" customFormat="false" ht="26.1" hidden="true" customHeight="false" outlineLevel="0" collapsed="false">
      <c r="A485" s="332" t="n">
        <v>2390</v>
      </c>
      <c r="B485" s="34" t="s">
        <v>416</v>
      </c>
      <c r="C485" s="34" t="s">
        <v>417</v>
      </c>
      <c r="D485" s="44" t="n">
        <v>13589728</v>
      </c>
      <c r="E485" s="25" t="n">
        <v>45289</v>
      </c>
      <c r="F485" s="25" t="n">
        <v>45541</v>
      </c>
      <c r="G485" s="72" t="n">
        <v>180</v>
      </c>
      <c r="H485" s="320" t="n">
        <v>180</v>
      </c>
      <c r="I485" s="320" t="n">
        <v>0</v>
      </c>
      <c r="J485" s="52" t="s">
        <v>1072</v>
      </c>
      <c r="K485" s="36" t="n">
        <v>150000</v>
      </c>
      <c r="L485" s="36" t="n">
        <v>600300</v>
      </c>
      <c r="M485" s="29" t="n">
        <v>16675</v>
      </c>
      <c r="N485" s="30" t="n">
        <v>66700</v>
      </c>
      <c r="O485" s="30" t="n">
        <v>600300</v>
      </c>
      <c r="P485" s="31" t="n">
        <v>0</v>
      </c>
      <c r="Q485" s="302" t="n">
        <v>45537</v>
      </c>
    </row>
    <row r="486" customFormat="false" ht="17.9" hidden="true" customHeight="false" outlineLevel="0" collapsed="false">
      <c r="A486" s="332" t="n">
        <v>2788</v>
      </c>
      <c r="B486" s="34" t="s">
        <v>429</v>
      </c>
      <c r="C486" s="34"/>
      <c r="D486" s="44"/>
      <c r="E486" s="25" t="n">
        <v>45535</v>
      </c>
      <c r="F486" s="25" t="n">
        <v>45541</v>
      </c>
      <c r="G486" s="72" t="n">
        <v>5</v>
      </c>
      <c r="H486" s="320" t="e">
        <f aca="false">#DIV/0!</f>
        <v>#DIV/0!</v>
      </c>
      <c r="I486" s="320" t="e">
        <f aca="false">#DIV/0!</f>
        <v>#DIV/0!</v>
      </c>
      <c r="J486" s="52" t="s">
        <v>580</v>
      </c>
      <c r="K486" s="46" t="n">
        <v>30000</v>
      </c>
      <c r="L486" s="36" t="n">
        <v>39000</v>
      </c>
      <c r="M486" s="37"/>
      <c r="N486" s="30" t="n">
        <v>39000</v>
      </c>
      <c r="O486" s="30" t="n">
        <v>39000</v>
      </c>
      <c r="P486" s="31" t="n">
        <v>0</v>
      </c>
      <c r="Q486" s="302" t="n">
        <v>45537</v>
      </c>
    </row>
    <row r="487" customFormat="false" ht="26.1" hidden="true" customHeight="false" outlineLevel="0" collapsed="false">
      <c r="A487" s="332" t="n">
        <v>2382</v>
      </c>
      <c r="B487" s="34" t="s">
        <v>476</v>
      </c>
      <c r="C487" s="34" t="s">
        <v>883</v>
      </c>
      <c r="D487" s="44"/>
      <c r="E487" s="25" t="n">
        <v>45280</v>
      </c>
      <c r="F487" s="25" t="n">
        <v>45532</v>
      </c>
      <c r="G487" s="72" t="n">
        <v>180</v>
      </c>
      <c r="H487" s="320" t="n">
        <v>180</v>
      </c>
      <c r="I487" s="320" t="n">
        <v>0</v>
      </c>
      <c r="J487" s="68" t="s">
        <v>1073</v>
      </c>
      <c r="K487" s="31" t="n">
        <v>100000</v>
      </c>
      <c r="L487" s="31" t="n">
        <v>250200</v>
      </c>
      <c r="M487" s="29" t="n">
        <v>6950</v>
      </c>
      <c r="N487" s="30" t="n">
        <v>27800</v>
      </c>
      <c r="O487" s="30" t="n">
        <v>250200</v>
      </c>
      <c r="P487" s="31" t="n">
        <v>0</v>
      </c>
      <c r="Q487" s="302" t="n">
        <v>45537</v>
      </c>
    </row>
    <row r="488" customFormat="false" ht="34.3" hidden="true" customHeight="false" outlineLevel="0" collapsed="false">
      <c r="A488" s="332" t="n">
        <v>2530</v>
      </c>
      <c r="B488" s="34" t="s">
        <v>476</v>
      </c>
      <c r="C488" s="34" t="s">
        <v>477</v>
      </c>
      <c r="D488" s="44"/>
      <c r="E488" s="25" t="n">
        <v>45369</v>
      </c>
      <c r="F488" s="25" t="n">
        <v>45537</v>
      </c>
      <c r="G488" s="72" t="n">
        <v>120</v>
      </c>
      <c r="H488" s="320" t="n">
        <v>120</v>
      </c>
      <c r="I488" s="320" t="n">
        <v>0</v>
      </c>
      <c r="J488" s="68" t="s">
        <v>1074</v>
      </c>
      <c r="K488" s="36" t="n">
        <v>50000</v>
      </c>
      <c r="L488" s="36" t="n">
        <v>132000</v>
      </c>
      <c r="M488" s="37" t="n">
        <v>5500</v>
      </c>
      <c r="N488" s="30" t="n">
        <v>22000</v>
      </c>
      <c r="O488" s="30" t="n">
        <v>132000</v>
      </c>
      <c r="P488" s="31" t="n">
        <v>0</v>
      </c>
      <c r="Q488" s="302" t="n">
        <v>45537</v>
      </c>
    </row>
    <row r="489" customFormat="false" ht="26.1" hidden="true" customHeight="false" outlineLevel="0" collapsed="false">
      <c r="A489" s="332" t="n">
        <v>2693</v>
      </c>
      <c r="B489" s="34" t="s">
        <v>754</v>
      </c>
      <c r="C489" s="34" t="s">
        <v>755</v>
      </c>
      <c r="D489" s="44"/>
      <c r="E489" s="25" t="n">
        <v>45477</v>
      </c>
      <c r="F489" s="25" t="n">
        <v>45505</v>
      </c>
      <c r="G489" s="72" t="n">
        <v>20</v>
      </c>
      <c r="H489" s="320" t="e">
        <f aca="false">#DIV/0!</f>
        <v>#DIV/0!</v>
      </c>
      <c r="I489" s="320" t="e">
        <f aca="false">#DIV/0!</f>
        <v>#DIV/0!</v>
      </c>
      <c r="J489" s="52" t="s">
        <v>751</v>
      </c>
      <c r="K489" s="36" t="n">
        <v>40000</v>
      </c>
      <c r="L489" s="36" t="n">
        <v>75000</v>
      </c>
      <c r="M489" s="29"/>
      <c r="N489" s="30" t="n">
        <v>50000</v>
      </c>
      <c r="O489" s="30" t="n">
        <v>80000</v>
      </c>
      <c r="P489" s="31" t="n">
        <v>-5000</v>
      </c>
      <c r="Q489" s="302" t="n">
        <v>45537</v>
      </c>
    </row>
    <row r="490" customFormat="false" ht="34.3" hidden="true" customHeight="false" outlineLevel="0" collapsed="false">
      <c r="A490" s="332" t="n">
        <v>2534</v>
      </c>
      <c r="B490" s="34" t="s">
        <v>779</v>
      </c>
      <c r="C490" s="34"/>
      <c r="D490" s="44"/>
      <c r="E490" s="25" t="n">
        <v>45371</v>
      </c>
      <c r="F490" s="25" t="n">
        <v>45539</v>
      </c>
      <c r="G490" s="72" t="n">
        <v>120</v>
      </c>
      <c r="H490" s="320" t="n">
        <v>120</v>
      </c>
      <c r="I490" s="320" t="n">
        <v>0</v>
      </c>
      <c r="J490" s="52" t="s">
        <v>418</v>
      </c>
      <c r="K490" s="31" t="n">
        <v>100000</v>
      </c>
      <c r="L490" s="31" t="n">
        <v>264000</v>
      </c>
      <c r="M490" s="37" t="n">
        <v>11000</v>
      </c>
      <c r="N490" s="30" t="n">
        <v>44000</v>
      </c>
      <c r="O490" s="30" t="n">
        <v>264000</v>
      </c>
      <c r="P490" s="31" t="n">
        <v>0</v>
      </c>
      <c r="Q490" s="302" t="n">
        <v>45537</v>
      </c>
    </row>
    <row r="491" customFormat="false" ht="26.1" hidden="true" customHeight="false" outlineLevel="0" collapsed="false">
      <c r="A491" s="332" t="n">
        <v>2612</v>
      </c>
      <c r="B491" s="34" t="s">
        <v>631</v>
      </c>
      <c r="C491" s="34" t="s">
        <v>632</v>
      </c>
      <c r="D491" s="44"/>
      <c r="E491" s="25" t="n">
        <v>45421</v>
      </c>
      <c r="F491" s="25" t="n">
        <v>45533</v>
      </c>
      <c r="G491" s="72" t="n">
        <v>80</v>
      </c>
      <c r="H491" s="320" t="n">
        <v>80</v>
      </c>
      <c r="I491" s="320" t="n">
        <v>0</v>
      </c>
      <c r="J491" s="52" t="s">
        <v>1075</v>
      </c>
      <c r="K491" s="36" t="n">
        <v>100000</v>
      </c>
      <c r="L491" s="36" t="n">
        <v>216000</v>
      </c>
      <c r="M491" s="37" t="n">
        <v>13500</v>
      </c>
      <c r="N491" s="30" t="n">
        <v>54000</v>
      </c>
      <c r="O491" s="30" t="n">
        <v>216000</v>
      </c>
      <c r="P491" s="31" t="n">
        <v>0</v>
      </c>
      <c r="Q491" s="302" t="n">
        <v>45537</v>
      </c>
    </row>
    <row r="492" customFormat="false" ht="26.1" hidden="true" customHeight="false" outlineLevel="0" collapsed="false">
      <c r="A492" s="332" t="n">
        <v>2760</v>
      </c>
      <c r="B492" s="34" t="s">
        <v>251</v>
      </c>
      <c r="C492" s="34" t="s">
        <v>252</v>
      </c>
      <c r="D492" s="44" t="s">
        <v>253</v>
      </c>
      <c r="E492" s="25" t="n">
        <v>45415</v>
      </c>
      <c r="F492" s="25" t="n">
        <v>45555</v>
      </c>
      <c r="G492" s="72" t="n">
        <v>100</v>
      </c>
      <c r="H492" s="320" t="e">
        <f aca="false">#DIV/0!</f>
        <v>#DIV/0!</v>
      </c>
      <c r="I492" s="320" t="e">
        <f aca="false">#DIV/0!</f>
        <v>#DIV/0!</v>
      </c>
      <c r="J492" s="52" t="s">
        <v>538</v>
      </c>
      <c r="K492" s="36" t="n">
        <v>20000</v>
      </c>
      <c r="L492" s="36" t="n">
        <v>30000</v>
      </c>
      <c r="M492" s="29"/>
      <c r="N492" s="30" t="n">
        <v>30000</v>
      </c>
      <c r="O492" s="30" t="n">
        <v>30000</v>
      </c>
      <c r="P492" s="31" t="n">
        <v>0</v>
      </c>
      <c r="Q492" s="302" t="n">
        <v>45545</v>
      </c>
    </row>
    <row r="493" customFormat="false" ht="34.3" hidden="true" customHeight="false" outlineLevel="0" collapsed="false">
      <c r="A493" s="332" t="n">
        <v>2646</v>
      </c>
      <c r="B493" s="34" t="s">
        <v>744</v>
      </c>
      <c r="C493" s="34" t="s">
        <v>745</v>
      </c>
      <c r="D493" s="44"/>
      <c r="E493" s="25" t="n">
        <v>45436</v>
      </c>
      <c r="F493" s="25" t="n">
        <v>45538</v>
      </c>
      <c r="G493" s="72" t="n">
        <v>72</v>
      </c>
      <c r="H493" s="320" t="n">
        <v>72</v>
      </c>
      <c r="I493" s="320" t="n">
        <v>0</v>
      </c>
      <c r="J493" s="34" t="s">
        <v>788</v>
      </c>
      <c r="K493" s="36" t="n">
        <v>15000</v>
      </c>
      <c r="L493" s="36" t="n">
        <v>32400</v>
      </c>
      <c r="M493" s="37" t="n">
        <v>2250</v>
      </c>
      <c r="N493" s="30" t="n">
        <v>1250</v>
      </c>
      <c r="O493" s="30" t="n">
        <v>32400</v>
      </c>
      <c r="P493" s="31" t="n">
        <v>0</v>
      </c>
      <c r="Q493" s="302" t="n">
        <v>45545</v>
      </c>
    </row>
    <row r="494" customFormat="false" ht="26.1" hidden="true" customHeight="false" outlineLevel="0" collapsed="false">
      <c r="A494" s="332" t="n">
        <v>2667</v>
      </c>
      <c r="B494" s="34" t="s">
        <v>285</v>
      </c>
      <c r="C494" s="34" t="s">
        <v>286</v>
      </c>
      <c r="D494" s="44"/>
      <c r="E494" s="25" t="n">
        <v>45461</v>
      </c>
      <c r="F494" s="25" t="n">
        <v>45545</v>
      </c>
      <c r="G494" s="72" t="n">
        <v>60</v>
      </c>
      <c r="H494" s="320" t="n">
        <v>60</v>
      </c>
      <c r="I494" s="320" t="n">
        <v>0</v>
      </c>
      <c r="J494" s="52" t="s">
        <v>1076</v>
      </c>
      <c r="K494" s="57" t="n">
        <v>50000</v>
      </c>
      <c r="L494" s="36" t="n">
        <v>96000</v>
      </c>
      <c r="M494" s="29" t="n">
        <v>8000</v>
      </c>
      <c r="N494" s="30" t="n">
        <v>32000</v>
      </c>
      <c r="O494" s="30" t="n">
        <v>96000</v>
      </c>
      <c r="P494" s="31" t="n">
        <v>0</v>
      </c>
      <c r="Q494" s="302" t="n">
        <v>45545</v>
      </c>
    </row>
    <row r="495" customFormat="false" ht="17.9" hidden="true" customHeight="false" outlineLevel="0" collapsed="false">
      <c r="A495" s="332" t="n">
        <v>2620</v>
      </c>
      <c r="B495" s="34" t="s">
        <v>461</v>
      </c>
      <c r="C495" s="34"/>
      <c r="D495" s="44"/>
      <c r="E495" s="25" t="n">
        <v>45423</v>
      </c>
      <c r="F495" s="25" t="n">
        <v>45524</v>
      </c>
      <c r="G495" s="72" t="n">
        <v>72</v>
      </c>
      <c r="H495" s="320" t="n">
        <v>72</v>
      </c>
      <c r="I495" s="320" t="n">
        <v>0</v>
      </c>
      <c r="J495" s="34" t="s">
        <v>627</v>
      </c>
      <c r="K495" s="36" t="n">
        <v>40000</v>
      </c>
      <c r="L495" s="36" t="n">
        <v>86400</v>
      </c>
      <c r="M495" s="29" t="n">
        <v>6000</v>
      </c>
      <c r="N495" s="30" t="n">
        <v>7650</v>
      </c>
      <c r="O495" s="30" t="n">
        <v>86400</v>
      </c>
      <c r="P495" s="31" t="n">
        <v>0</v>
      </c>
      <c r="Q495" s="302" t="n">
        <v>45545</v>
      </c>
    </row>
    <row r="496" customFormat="false" ht="26.1" hidden="true" customHeight="false" outlineLevel="0" collapsed="false">
      <c r="A496" s="332" t="n">
        <v>2552</v>
      </c>
      <c r="B496" s="34" t="s">
        <v>752</v>
      </c>
      <c r="C496" s="34" t="s">
        <v>753</v>
      </c>
      <c r="D496" s="44"/>
      <c r="E496" s="25" t="n">
        <v>45384</v>
      </c>
      <c r="F496" s="25" t="n">
        <v>45484</v>
      </c>
      <c r="G496" s="72" t="n">
        <v>72</v>
      </c>
      <c r="H496" s="320" t="n">
        <v>72</v>
      </c>
      <c r="I496" s="320" t="n">
        <v>0</v>
      </c>
      <c r="J496" s="34" t="s">
        <v>627</v>
      </c>
      <c r="K496" s="36" t="n">
        <v>40000</v>
      </c>
      <c r="L496" s="36" t="n">
        <v>86400</v>
      </c>
      <c r="M496" s="37" t="n">
        <v>6000</v>
      </c>
      <c r="N496" s="30" t="n">
        <v>8700</v>
      </c>
      <c r="O496" s="30" t="n">
        <v>86400</v>
      </c>
      <c r="P496" s="31" t="n">
        <v>0</v>
      </c>
      <c r="Q496" s="302" t="n">
        <v>45545</v>
      </c>
    </row>
    <row r="497" customFormat="false" ht="34.3" hidden="true" customHeight="false" outlineLevel="0" collapsed="false">
      <c r="A497" s="332" t="n">
        <v>2587</v>
      </c>
      <c r="B497" s="34" t="s">
        <v>789</v>
      </c>
      <c r="C497" s="34" t="s">
        <v>495</v>
      </c>
      <c r="D497" s="44"/>
      <c r="E497" s="25" t="n">
        <v>45402</v>
      </c>
      <c r="F497" s="25" t="n">
        <v>45555</v>
      </c>
      <c r="G497" s="72" t="n">
        <v>110</v>
      </c>
      <c r="H497" s="320" t="n">
        <v>110</v>
      </c>
      <c r="I497" s="320" t="n">
        <v>0</v>
      </c>
      <c r="J497" s="34" t="s">
        <v>1077</v>
      </c>
      <c r="K497" s="31" t="n">
        <v>40000</v>
      </c>
      <c r="L497" s="31" t="n">
        <v>105600</v>
      </c>
      <c r="M497" s="37" t="n">
        <v>4800</v>
      </c>
      <c r="N497" s="30" t="n">
        <v>22800</v>
      </c>
      <c r="O497" s="30" t="n">
        <v>105600</v>
      </c>
      <c r="P497" s="31" t="n">
        <v>0</v>
      </c>
      <c r="Q497" s="302" t="n">
        <v>45545</v>
      </c>
    </row>
    <row r="498" customFormat="false" ht="14.25" hidden="true" customHeight="false" outlineLevel="0" collapsed="false">
      <c r="A498" s="332" t="n">
        <v>2777</v>
      </c>
      <c r="B498" s="34" t="s">
        <v>861</v>
      </c>
      <c r="C498" s="34"/>
      <c r="D498" s="44"/>
      <c r="E498" s="25" t="n">
        <v>45526</v>
      </c>
      <c r="F498" s="25" t="n">
        <v>45547</v>
      </c>
      <c r="G498" s="72" t="n">
        <v>15</v>
      </c>
      <c r="H498" s="320" t="e">
        <f aca="false">#DIV/0!</f>
        <v>#DIV/0!</v>
      </c>
      <c r="I498" s="320" t="e">
        <f aca="false">#DIV/0!</f>
        <v>#DIV/0!</v>
      </c>
      <c r="J498" s="52" t="s">
        <v>580</v>
      </c>
      <c r="K498" s="36" t="n">
        <v>60000</v>
      </c>
      <c r="L498" s="36" t="n">
        <v>96000</v>
      </c>
      <c r="M498" s="29"/>
      <c r="N498" s="30" t="n">
        <v>96000</v>
      </c>
      <c r="O498" s="30" t="n">
        <v>96000</v>
      </c>
      <c r="P498" s="31" t="n">
        <v>0</v>
      </c>
      <c r="Q498" s="302" t="n">
        <v>45547</v>
      </c>
    </row>
    <row r="499" customFormat="false" ht="14.25" hidden="true" customHeight="false" outlineLevel="0" collapsed="false">
      <c r="A499" s="332" t="n">
        <v>2786</v>
      </c>
      <c r="B499" s="34" t="s">
        <v>861</v>
      </c>
      <c r="C499" s="34"/>
      <c r="D499" s="44"/>
      <c r="E499" s="25" t="n">
        <v>45535</v>
      </c>
      <c r="F499" s="25" t="n">
        <v>45548</v>
      </c>
      <c r="G499" s="72" t="n">
        <v>10</v>
      </c>
      <c r="H499" s="320" t="e">
        <f aca="false">#DIV/0!</f>
        <v>#DIV/0!</v>
      </c>
      <c r="I499" s="320" t="e">
        <f aca="false">#DIV/0!</f>
        <v>#DIV/0!</v>
      </c>
      <c r="J499" s="52" t="s">
        <v>580</v>
      </c>
      <c r="K499" s="36" t="n">
        <v>20000</v>
      </c>
      <c r="L499" s="36" t="n">
        <v>30000</v>
      </c>
      <c r="M499" s="37"/>
      <c r="N499" s="30" t="n">
        <v>30000</v>
      </c>
      <c r="O499" s="30" t="n">
        <v>30000</v>
      </c>
      <c r="P499" s="31" t="n">
        <v>0</v>
      </c>
      <c r="Q499" s="302" t="n">
        <v>45547</v>
      </c>
    </row>
    <row r="500" customFormat="false" ht="34.3" hidden="true" customHeight="false" outlineLevel="0" collapsed="false">
      <c r="A500" s="332" t="n">
        <v>2543</v>
      </c>
      <c r="B500" s="34" t="s">
        <v>531</v>
      </c>
      <c r="C500" s="34" t="s">
        <v>1078</v>
      </c>
      <c r="D500" s="44" t="n">
        <v>20407921802</v>
      </c>
      <c r="E500" s="25" t="s">
        <v>1079</v>
      </c>
      <c r="F500" s="25" t="e">
        <f aca="false">#VALUE!</f>
        <v>#VALUE!</v>
      </c>
      <c r="G500" s="72" t="n">
        <v>120</v>
      </c>
      <c r="H500" s="320" t="n">
        <v>120</v>
      </c>
      <c r="I500" s="320" t="n">
        <v>0</v>
      </c>
      <c r="J500" s="52" t="s">
        <v>953</v>
      </c>
      <c r="K500" s="36" t="n">
        <v>50000</v>
      </c>
      <c r="L500" s="36" t="n">
        <v>132000</v>
      </c>
      <c r="M500" s="29" t="n">
        <v>5500</v>
      </c>
      <c r="N500" s="30" t="n">
        <v>22000</v>
      </c>
      <c r="O500" s="30" t="n">
        <v>132000</v>
      </c>
      <c r="P500" s="31" t="n">
        <v>0</v>
      </c>
      <c r="Q500" s="302" t="n">
        <v>45547</v>
      </c>
    </row>
    <row r="501" customFormat="false" ht="26.1" hidden="true" customHeight="false" outlineLevel="0" collapsed="false">
      <c r="A501" s="332" t="n">
        <v>2638</v>
      </c>
      <c r="B501" s="34" t="s">
        <v>781</v>
      </c>
      <c r="C501" s="34" t="s">
        <v>782</v>
      </c>
      <c r="D501" s="44"/>
      <c r="E501" s="25" t="n">
        <v>45289</v>
      </c>
      <c r="F501" s="25" t="n">
        <v>45401</v>
      </c>
      <c r="G501" s="72" t="n">
        <v>80</v>
      </c>
      <c r="H501" s="320" t="n">
        <v>80</v>
      </c>
      <c r="I501" s="320" t="n">
        <v>0</v>
      </c>
      <c r="J501" s="52" t="s">
        <v>1080</v>
      </c>
      <c r="K501" s="328" t="n">
        <v>20000</v>
      </c>
      <c r="L501" s="36" t="n">
        <v>43200</v>
      </c>
      <c r="M501" s="29" t="n">
        <v>2700</v>
      </c>
      <c r="N501" s="30" t="n">
        <v>10800</v>
      </c>
      <c r="O501" s="30" t="n">
        <v>43200</v>
      </c>
      <c r="P501" s="31" t="n">
        <v>0</v>
      </c>
      <c r="Q501" s="302" t="n">
        <v>45547</v>
      </c>
    </row>
    <row r="502" customFormat="false" ht="14.25" hidden="true" customHeight="false" outlineLevel="0" collapsed="false">
      <c r="A502" s="332" t="n">
        <v>2759</v>
      </c>
      <c r="B502" s="34" t="s">
        <v>1022</v>
      </c>
      <c r="C502" s="34"/>
      <c r="D502" s="44"/>
      <c r="E502" s="25" t="n">
        <v>45518</v>
      </c>
      <c r="F502" s="25" t="n">
        <v>45537</v>
      </c>
      <c r="G502" s="72" t="n">
        <v>13</v>
      </c>
      <c r="H502" s="320" t="e">
        <f aca="false">#DIV/0!</f>
        <v>#DIV/0!</v>
      </c>
      <c r="I502" s="320" t="e">
        <f aca="false">#DIV/0!</f>
        <v>#DIV/0!</v>
      </c>
      <c r="J502" s="34" t="s">
        <v>751</v>
      </c>
      <c r="K502" s="36" t="n">
        <v>40000</v>
      </c>
      <c r="L502" s="36" t="n">
        <v>64000</v>
      </c>
      <c r="M502" s="29"/>
      <c r="N502" s="30" t="n">
        <v>64000</v>
      </c>
      <c r="O502" s="30" t="n">
        <v>64000</v>
      </c>
      <c r="P502" s="31" t="n">
        <v>0</v>
      </c>
      <c r="Q502" s="302" t="n">
        <v>45547</v>
      </c>
    </row>
    <row r="503" customFormat="false" ht="26.1" hidden="true" customHeight="false" outlineLevel="0" collapsed="false">
      <c r="A503" s="332" t="n">
        <v>2713</v>
      </c>
      <c r="B503" s="34" t="s">
        <v>758</v>
      </c>
      <c r="C503" s="34"/>
      <c r="D503" s="44"/>
      <c r="E503" s="25" t="n">
        <v>45488</v>
      </c>
      <c r="F503" s="25" t="n">
        <v>45516</v>
      </c>
      <c r="G503" s="72" t="n">
        <v>20</v>
      </c>
      <c r="H503" s="320" t="e">
        <f aca="false">#DIV/0!</f>
        <v>#DIV/0!</v>
      </c>
      <c r="I503" s="320" t="e">
        <f aca="false">#DIV/0!</f>
        <v>#DIV/0!</v>
      </c>
      <c r="J503" s="52" t="s">
        <v>751</v>
      </c>
      <c r="K503" s="36" t="n">
        <v>40000</v>
      </c>
      <c r="L503" s="36" t="n">
        <v>64000</v>
      </c>
      <c r="M503" s="37"/>
      <c r="N503" s="30" t="n">
        <v>4000</v>
      </c>
      <c r="O503" s="30" t="n">
        <v>64000</v>
      </c>
      <c r="P503" s="31" t="n">
        <v>0</v>
      </c>
      <c r="Q503" s="302" t="n">
        <v>45547</v>
      </c>
    </row>
    <row r="504" customFormat="false" ht="26.1" hidden="true" customHeight="false" outlineLevel="0" collapsed="false">
      <c r="A504" s="332" t="n">
        <v>2736</v>
      </c>
      <c r="B504" s="34" t="s">
        <v>758</v>
      </c>
      <c r="C504" s="34"/>
      <c r="D504" s="44"/>
      <c r="E504" s="25" t="n">
        <v>45503</v>
      </c>
      <c r="F504" s="25" t="n">
        <v>45524</v>
      </c>
      <c r="G504" s="72" t="n">
        <v>15</v>
      </c>
      <c r="H504" s="320" t="e">
        <f aca="false">#DIV/0!</f>
        <v>#DIV/0!</v>
      </c>
      <c r="I504" s="320" t="e">
        <f aca="false">#DIV/0!</f>
        <v>#DIV/0!</v>
      </c>
      <c r="J504" s="52" t="s">
        <v>751</v>
      </c>
      <c r="K504" s="36" t="n">
        <v>20000</v>
      </c>
      <c r="L504" s="36" t="n">
        <v>30000</v>
      </c>
      <c r="M504" s="37"/>
      <c r="N504" s="30" t="n">
        <v>30000</v>
      </c>
      <c r="O504" s="30" t="n">
        <v>30000</v>
      </c>
      <c r="P504" s="31" t="n">
        <v>0</v>
      </c>
      <c r="Q504" s="302" t="n">
        <v>45547</v>
      </c>
    </row>
    <row r="505" customFormat="false" ht="26.1" hidden="true" customHeight="false" outlineLevel="0" collapsed="false">
      <c r="A505" s="332" t="n">
        <v>2744</v>
      </c>
      <c r="B505" s="34" t="s">
        <v>758</v>
      </c>
      <c r="C505" s="34"/>
      <c r="D505" s="44"/>
      <c r="E505" s="25" t="n">
        <v>45509</v>
      </c>
      <c r="F505" s="25" t="n">
        <v>45523</v>
      </c>
      <c r="G505" s="72" t="n">
        <v>10</v>
      </c>
      <c r="H505" s="320" t="e">
        <f aca="false">#DIV/0!</f>
        <v>#DIV/0!</v>
      </c>
      <c r="I505" s="320" t="e">
        <f aca="false">#DIV/0!</f>
        <v>#DIV/0!</v>
      </c>
      <c r="J505" s="52" t="s">
        <v>751</v>
      </c>
      <c r="K505" s="36" t="n">
        <v>10000</v>
      </c>
      <c r="L505" s="36" t="n">
        <v>16000</v>
      </c>
      <c r="M505" s="37"/>
      <c r="N505" s="30" t="n">
        <v>16000</v>
      </c>
      <c r="O505" s="30" t="n">
        <v>16000</v>
      </c>
      <c r="P505" s="31" t="n">
        <v>0</v>
      </c>
      <c r="Q505" s="302" t="n">
        <v>45547</v>
      </c>
    </row>
    <row r="506" customFormat="false" ht="42.5" hidden="true" customHeight="false" outlineLevel="0" collapsed="false">
      <c r="A506" s="332" t="n">
        <v>2540</v>
      </c>
      <c r="B506" s="34" t="s">
        <v>1081</v>
      </c>
      <c r="C506" s="34" t="s">
        <v>556</v>
      </c>
      <c r="D506" s="44"/>
      <c r="E506" s="25" t="n">
        <v>45374</v>
      </c>
      <c r="F506" s="25" t="n">
        <f aca="false">WORKDAY(E506,G506)</f>
        <v>45475</v>
      </c>
      <c r="G506" s="72" t="n">
        <v>72</v>
      </c>
      <c r="H506" s="320" t="n">
        <f aca="false">(DI506* 5)/M506</f>
        <v>0</v>
      </c>
      <c r="I506" s="320" t="n">
        <f aca="false">G506-H506</f>
        <v>72</v>
      </c>
      <c r="J506" s="34" t="s">
        <v>452</v>
      </c>
      <c r="K506" s="31" t="n">
        <v>30000</v>
      </c>
      <c r="L506" s="31" t="n">
        <v>64800</v>
      </c>
      <c r="M506" s="37" t="n">
        <f aca="false">(L506/G506)*5</f>
        <v>4500</v>
      </c>
      <c r="N506" s="336"/>
      <c r="O506" s="30" t="n">
        <v>65200</v>
      </c>
      <c r="P506" s="31" t="n">
        <v>-400</v>
      </c>
      <c r="Q506" s="302" t="n">
        <v>45547</v>
      </c>
    </row>
    <row r="507" customFormat="false" ht="58.95" hidden="true" customHeight="false" outlineLevel="0" collapsed="false">
      <c r="A507" s="332" t="n">
        <v>2622</v>
      </c>
      <c r="B507" s="34" t="s">
        <v>1082</v>
      </c>
      <c r="C507" s="34" t="s">
        <v>556</v>
      </c>
      <c r="D507" s="44"/>
      <c r="E507" s="25" t="n">
        <v>45425</v>
      </c>
      <c r="F507" s="25" t="n">
        <v>45525</v>
      </c>
      <c r="G507" s="72" t="n">
        <v>72</v>
      </c>
      <c r="H507" s="320" t="n">
        <v>73.4</v>
      </c>
      <c r="I507" s="320" t="n">
        <v>-1.40000000000001</v>
      </c>
      <c r="J507" s="34" t="s">
        <v>381</v>
      </c>
      <c r="K507" s="36" t="n">
        <v>50000</v>
      </c>
      <c r="L507" s="36" t="n">
        <v>108000</v>
      </c>
      <c r="M507" s="29" t="n">
        <v>7500</v>
      </c>
      <c r="N507" s="30" t="n">
        <v>7500</v>
      </c>
      <c r="O507" s="30" t="n">
        <v>110100</v>
      </c>
      <c r="P507" s="31" t="n">
        <v>-2100</v>
      </c>
      <c r="Q507" s="302" t="n">
        <v>45547</v>
      </c>
    </row>
    <row r="508" customFormat="false" ht="26.1" hidden="true" customHeight="false" outlineLevel="0" collapsed="false">
      <c r="A508" s="332" t="n">
        <v>2531</v>
      </c>
      <c r="B508" s="34" t="s">
        <v>1083</v>
      </c>
      <c r="C508" s="34" t="s">
        <v>1084</v>
      </c>
      <c r="D508" s="44"/>
      <c r="E508" s="25" t="n">
        <v>45370</v>
      </c>
      <c r="F508" s="25" t="n">
        <v>45468</v>
      </c>
      <c r="G508" s="72" t="n">
        <v>70</v>
      </c>
      <c r="H508" s="320" t="n">
        <v>70.8796296296296</v>
      </c>
      <c r="I508" s="320" t="n">
        <v>-0.879629629629633</v>
      </c>
      <c r="J508" s="34" t="s">
        <v>1085</v>
      </c>
      <c r="K508" s="36" t="n">
        <v>70000</v>
      </c>
      <c r="L508" s="36" t="n">
        <v>151200</v>
      </c>
      <c r="M508" s="37" t="n">
        <v>10800</v>
      </c>
      <c r="N508" s="30" t="n">
        <v>8000</v>
      </c>
      <c r="O508" s="30" t="n">
        <v>153100</v>
      </c>
      <c r="P508" s="31" t="n">
        <v>-1900</v>
      </c>
      <c r="Q508" s="302" t="n">
        <v>45547</v>
      </c>
    </row>
    <row r="509" customFormat="false" ht="17.9" hidden="true" customHeight="false" outlineLevel="0" collapsed="false">
      <c r="A509" s="332" t="n">
        <v>2796</v>
      </c>
      <c r="B509" s="34" t="s">
        <v>429</v>
      </c>
      <c r="C509" s="34"/>
      <c r="D509" s="44"/>
      <c r="E509" s="25" t="n">
        <v>45542</v>
      </c>
      <c r="F509" s="25" t="n">
        <v>45548</v>
      </c>
      <c r="G509" s="72" t="n">
        <v>5</v>
      </c>
      <c r="H509" s="320" t="e">
        <f aca="false">#DIV/0!</f>
        <v>#DIV/0!</v>
      </c>
      <c r="I509" s="320" t="e">
        <f aca="false">#DIV/0!</f>
        <v>#DIV/0!</v>
      </c>
      <c r="J509" s="52" t="s">
        <v>580</v>
      </c>
      <c r="K509" s="46" t="n">
        <v>30000</v>
      </c>
      <c r="L509" s="36" t="n">
        <v>39000</v>
      </c>
      <c r="M509" s="37"/>
      <c r="N509" s="129" t="n">
        <v>39000</v>
      </c>
      <c r="O509" s="30" t="n">
        <v>39000</v>
      </c>
      <c r="P509" s="31" t="n">
        <v>0</v>
      </c>
      <c r="Q509" s="302" t="n">
        <v>45548</v>
      </c>
    </row>
    <row r="510" customFormat="false" ht="17.9" hidden="true" customHeight="false" outlineLevel="0" collapsed="false">
      <c r="A510" s="332" t="n">
        <v>2635</v>
      </c>
      <c r="B510" s="34" t="s">
        <v>811</v>
      </c>
      <c r="C510" s="34"/>
      <c r="D510" s="44"/>
      <c r="E510" s="25" t="n">
        <v>45436</v>
      </c>
      <c r="F510" s="25" t="n">
        <v>45548</v>
      </c>
      <c r="G510" s="72" t="n">
        <v>80</v>
      </c>
      <c r="H510" s="320" t="n">
        <v>80</v>
      </c>
      <c r="I510" s="320" t="n">
        <v>0</v>
      </c>
      <c r="J510" s="52" t="s">
        <v>990</v>
      </c>
      <c r="K510" s="36" t="n">
        <v>20000</v>
      </c>
      <c r="L510" s="36" t="n">
        <v>43200</v>
      </c>
      <c r="M510" s="37" t="n">
        <v>2700</v>
      </c>
      <c r="N510" s="30" t="n">
        <v>11600</v>
      </c>
      <c r="O510" s="30" t="n">
        <v>43200</v>
      </c>
      <c r="P510" s="31" t="n">
        <v>0</v>
      </c>
      <c r="Q510" s="302" t="n">
        <v>45551</v>
      </c>
    </row>
    <row r="511" customFormat="false" ht="58.95" hidden="true" customHeight="false" outlineLevel="0" collapsed="false">
      <c r="A511" s="332" t="n">
        <v>2628</v>
      </c>
      <c r="B511" s="34" t="s">
        <v>1086</v>
      </c>
      <c r="C511" s="34" t="s">
        <v>1087</v>
      </c>
      <c r="D511" s="44"/>
      <c r="E511" s="25" t="n">
        <v>45429</v>
      </c>
      <c r="F511" s="25" t="n">
        <v>45597</v>
      </c>
      <c r="G511" s="72" t="n">
        <v>120</v>
      </c>
      <c r="H511" s="320" t="n">
        <v>120</v>
      </c>
      <c r="I511" s="320" t="n">
        <v>0</v>
      </c>
      <c r="J511" s="338" t="s">
        <v>1050</v>
      </c>
      <c r="K511" s="36" t="n">
        <v>100000</v>
      </c>
      <c r="L511" s="36" t="n">
        <v>264000</v>
      </c>
      <c r="M511" s="37" t="n">
        <v>11000</v>
      </c>
      <c r="N511" s="30" t="n">
        <v>126000</v>
      </c>
      <c r="O511" s="30" t="n">
        <v>264000</v>
      </c>
      <c r="P511" s="31" t="n">
        <v>0</v>
      </c>
      <c r="Q511" s="302" t="n">
        <v>45551</v>
      </c>
    </row>
    <row r="512" customFormat="false" ht="26.1" hidden="true" customHeight="false" outlineLevel="0" collapsed="false">
      <c r="A512" s="332" t="n">
        <v>2223</v>
      </c>
      <c r="B512" s="34" t="s">
        <v>345</v>
      </c>
      <c r="C512" s="34" t="s">
        <v>346</v>
      </c>
      <c r="D512" s="44" t="n">
        <v>27212523</v>
      </c>
      <c r="E512" s="25" t="n">
        <v>45161</v>
      </c>
      <c r="F512" s="25" t="n">
        <v>45315</v>
      </c>
      <c r="G512" s="72" t="n">
        <v>110</v>
      </c>
      <c r="H512" s="320" t="n">
        <v>118.625</v>
      </c>
      <c r="I512" s="320" t="n">
        <v>-8.625</v>
      </c>
      <c r="J512" s="34" t="s">
        <v>931</v>
      </c>
      <c r="K512" s="36" t="n">
        <v>50000</v>
      </c>
      <c r="L512" s="36" t="n">
        <v>132000</v>
      </c>
      <c r="M512" s="37" t="n">
        <v>6000</v>
      </c>
      <c r="N512" s="30" t="n">
        <v>34000</v>
      </c>
      <c r="O512" s="30" t="n">
        <v>142350</v>
      </c>
      <c r="P512" s="31" t="n">
        <v>-10350</v>
      </c>
      <c r="Q512" s="302" t="n">
        <v>45551</v>
      </c>
    </row>
    <row r="513" customFormat="false" ht="42" hidden="true" customHeight="false" outlineLevel="0" collapsed="false">
      <c r="A513" s="332" t="n">
        <v>2629</v>
      </c>
      <c r="B513" s="34" t="s">
        <v>396</v>
      </c>
      <c r="C513" s="34" t="s">
        <v>397</v>
      </c>
      <c r="D513" s="44"/>
      <c r="E513" s="25" t="n">
        <v>45429</v>
      </c>
      <c r="F513" s="25" t="n">
        <v>45541</v>
      </c>
      <c r="G513" s="72" t="n">
        <v>80</v>
      </c>
      <c r="H513" s="320" t="n">
        <v>80</v>
      </c>
      <c r="I513" s="320" t="n">
        <v>0</v>
      </c>
      <c r="J513" s="52" t="s">
        <v>259</v>
      </c>
      <c r="K513" s="31" t="n">
        <v>100000</v>
      </c>
      <c r="L513" s="31" t="n">
        <v>216000</v>
      </c>
      <c r="M513" s="37" t="n">
        <v>13500</v>
      </c>
      <c r="N513" s="30" t="n">
        <v>54200</v>
      </c>
      <c r="O513" s="30" t="n">
        <v>216000</v>
      </c>
      <c r="P513" s="31" t="n">
        <v>0</v>
      </c>
      <c r="Q513" s="302" t="n">
        <v>45551</v>
      </c>
    </row>
    <row r="514" customFormat="false" ht="34.3" hidden="true" customHeight="false" outlineLevel="0" collapsed="false">
      <c r="A514" s="332" t="n">
        <v>2230</v>
      </c>
      <c r="B514" s="34" t="s">
        <v>1088</v>
      </c>
      <c r="C514" s="34" t="s">
        <v>1089</v>
      </c>
      <c r="D514" s="44"/>
      <c r="E514" s="25" t="n">
        <v>45166</v>
      </c>
      <c r="F514" s="25" t="n">
        <v>45418</v>
      </c>
      <c r="G514" s="72" t="n">
        <v>180</v>
      </c>
      <c r="H514" s="320" t="n">
        <v>189.615384615385</v>
      </c>
      <c r="I514" s="320" t="n">
        <v>-9.61538461538461</v>
      </c>
      <c r="J514" s="68" t="s">
        <v>1090</v>
      </c>
      <c r="K514" s="36" t="n">
        <v>200000</v>
      </c>
      <c r="L514" s="36" t="n">
        <v>468000</v>
      </c>
      <c r="M514" s="37" t="n">
        <v>13000</v>
      </c>
      <c r="N514" s="30" t="n">
        <v>76000</v>
      </c>
      <c r="O514" s="30" t="n">
        <v>493000</v>
      </c>
      <c r="P514" s="31" t="n">
        <v>-25000</v>
      </c>
      <c r="Q514" s="302" t="n">
        <v>45551</v>
      </c>
    </row>
    <row r="515" customFormat="false" ht="17.9" hidden="true" customHeight="false" outlineLevel="0" collapsed="false">
      <c r="A515" s="332" t="n">
        <v>2806</v>
      </c>
      <c r="B515" s="34" t="s">
        <v>429</v>
      </c>
      <c r="C515" s="34"/>
      <c r="D515" s="44"/>
      <c r="E515" s="25" t="n">
        <v>45549</v>
      </c>
      <c r="F515" s="25" t="n">
        <v>45555</v>
      </c>
      <c r="G515" s="72" t="n">
        <v>5</v>
      </c>
      <c r="H515" s="320" t="e">
        <f aca="false">#DIV/0!</f>
        <v>#DIV/0!</v>
      </c>
      <c r="I515" s="320" t="e">
        <f aca="false">#DIV/0!</f>
        <v>#DIV/0!</v>
      </c>
      <c r="J515" s="52" t="s">
        <v>580</v>
      </c>
      <c r="K515" s="45" t="n">
        <v>30000</v>
      </c>
      <c r="L515" s="31" t="n">
        <v>39000</v>
      </c>
      <c r="M515" s="29"/>
      <c r="N515" s="30" t="n">
        <v>39000</v>
      </c>
      <c r="O515" s="30" t="n">
        <v>39000</v>
      </c>
      <c r="P515" s="31" t="n">
        <v>0</v>
      </c>
      <c r="Q515" s="302" t="n">
        <v>45551</v>
      </c>
    </row>
    <row r="516" customFormat="false" ht="42" hidden="true" customHeight="false" outlineLevel="0" collapsed="false">
      <c r="A516" s="332" t="n">
        <v>2532</v>
      </c>
      <c r="B516" s="34" t="s">
        <v>833</v>
      </c>
      <c r="C516" s="34" t="s">
        <v>834</v>
      </c>
      <c r="D516" s="44"/>
      <c r="E516" s="25" t="n">
        <v>45371</v>
      </c>
      <c r="F516" s="25" t="n">
        <v>45539</v>
      </c>
      <c r="G516" s="72" t="n">
        <v>120</v>
      </c>
      <c r="H516" s="320" t="n">
        <v>115.130952380952</v>
      </c>
      <c r="I516" s="320" t="n">
        <v>4.86904761904762</v>
      </c>
      <c r="J516" s="52" t="s">
        <v>995</v>
      </c>
      <c r="K516" s="36" t="n">
        <v>70000</v>
      </c>
      <c r="L516" s="36" t="n">
        <v>184800</v>
      </c>
      <c r="M516" s="29" t="n">
        <v>8400</v>
      </c>
      <c r="N516" s="30" t="n">
        <v>100000</v>
      </c>
      <c r="O516" s="30" t="n">
        <v>193420</v>
      </c>
      <c r="P516" s="31" t="n">
        <v>-8620</v>
      </c>
      <c r="Q516" s="302" t="n">
        <v>45551</v>
      </c>
    </row>
    <row r="517" customFormat="false" ht="17.9" hidden="true" customHeight="false" outlineLevel="0" collapsed="false">
      <c r="A517" s="332" t="n">
        <v>2715</v>
      </c>
      <c r="B517" s="34" t="s">
        <v>269</v>
      </c>
      <c r="C517" s="34"/>
      <c r="D517" s="44" t="n">
        <v>24016318</v>
      </c>
      <c r="E517" s="25" t="n">
        <v>45490</v>
      </c>
      <c r="F517" s="25" t="n">
        <v>45574</v>
      </c>
      <c r="G517" s="50" t="n">
        <v>60</v>
      </c>
      <c r="H517" s="320" t="n">
        <v>60</v>
      </c>
      <c r="I517" s="320" t="n">
        <v>0</v>
      </c>
      <c r="J517" s="52" t="s">
        <v>1091</v>
      </c>
      <c r="K517" s="36" t="n">
        <v>500000</v>
      </c>
      <c r="L517" s="36" t="n">
        <v>900000</v>
      </c>
      <c r="M517" s="29" t="n">
        <v>75000</v>
      </c>
      <c r="N517" s="30" t="n">
        <v>590000</v>
      </c>
      <c r="O517" s="30" t="n">
        <v>900000</v>
      </c>
      <c r="P517" s="31" t="n">
        <v>0</v>
      </c>
      <c r="Q517" s="302" t="n">
        <v>45558</v>
      </c>
    </row>
    <row r="518" customFormat="false" ht="17.9" hidden="true" customHeight="false" outlineLevel="0" collapsed="false">
      <c r="A518" s="332" t="n">
        <v>2457</v>
      </c>
      <c r="B518" s="34" t="s">
        <v>276</v>
      </c>
      <c r="C518" s="34" t="s">
        <v>277</v>
      </c>
      <c r="D518" s="44"/>
      <c r="E518" s="339" t="n">
        <v>45327</v>
      </c>
      <c r="F518" s="25" t="n">
        <v>45509</v>
      </c>
      <c r="G518" s="72" t="n">
        <v>130</v>
      </c>
      <c r="H518" s="320" t="n">
        <v>124.861363636364</v>
      </c>
      <c r="I518" s="320" t="n">
        <v>5.13863636363637</v>
      </c>
      <c r="J518" s="68" t="s">
        <v>1092</v>
      </c>
      <c r="K518" s="31" t="n">
        <v>200000</v>
      </c>
      <c r="L518" s="31" t="n">
        <v>528000</v>
      </c>
      <c r="M518" s="29" t="n">
        <v>22000</v>
      </c>
      <c r="N518" s="30" t="n">
        <v>44000</v>
      </c>
      <c r="O518" s="30" t="n">
        <v>549390</v>
      </c>
      <c r="P518" s="31" t="n">
        <v>-21390</v>
      </c>
      <c r="Q518" s="302" t="n">
        <v>45558</v>
      </c>
    </row>
    <row r="519" customFormat="false" ht="26.1" hidden="true" customHeight="false" outlineLevel="0" collapsed="false">
      <c r="A519" s="332" t="n">
        <v>2602</v>
      </c>
      <c r="B519" s="34" t="s">
        <v>336</v>
      </c>
      <c r="C519" s="34" t="s">
        <v>337</v>
      </c>
      <c r="D519" s="44"/>
      <c r="E519" s="25" t="n">
        <v>45261</v>
      </c>
      <c r="F519" s="25" t="n">
        <v>45429</v>
      </c>
      <c r="G519" s="72" t="n">
        <v>120</v>
      </c>
      <c r="H519" s="320" t="n">
        <v>120</v>
      </c>
      <c r="I519" s="320" t="n">
        <v>0</v>
      </c>
      <c r="J519" s="52" t="s">
        <v>1093</v>
      </c>
      <c r="K519" s="36" t="n">
        <v>100000</v>
      </c>
      <c r="L519" s="36" t="n">
        <v>264000</v>
      </c>
      <c r="M519" s="37" t="n">
        <v>11000</v>
      </c>
      <c r="N519" s="30" t="n">
        <v>88000</v>
      </c>
      <c r="O519" s="30" t="n">
        <v>264000</v>
      </c>
      <c r="P519" s="31" t="n">
        <v>0</v>
      </c>
      <c r="Q519" s="302" t="n">
        <v>45558</v>
      </c>
    </row>
    <row r="520" customFormat="false" ht="26.1" hidden="true" customHeight="false" outlineLevel="0" collapsed="false">
      <c r="A520" s="332" t="n">
        <v>2647</v>
      </c>
      <c r="B520" s="34" t="s">
        <v>336</v>
      </c>
      <c r="C520" s="34" t="s">
        <v>337</v>
      </c>
      <c r="D520" s="44"/>
      <c r="E520" s="25" t="n">
        <v>45441</v>
      </c>
      <c r="F520" s="25" t="n">
        <v>45553</v>
      </c>
      <c r="G520" s="72" t="n">
        <v>80</v>
      </c>
      <c r="H520" s="320" t="n">
        <v>80</v>
      </c>
      <c r="I520" s="320" t="n">
        <v>0</v>
      </c>
      <c r="J520" s="52" t="s">
        <v>1094</v>
      </c>
      <c r="K520" s="36" t="n">
        <v>10000</v>
      </c>
      <c r="L520" s="36" t="n">
        <v>21600</v>
      </c>
      <c r="M520" s="29" t="n">
        <v>1350</v>
      </c>
      <c r="N520" s="30" t="n">
        <v>5400</v>
      </c>
      <c r="O520" s="30" t="n">
        <v>21600</v>
      </c>
      <c r="P520" s="31" t="n">
        <v>0</v>
      </c>
      <c r="Q520" s="302" t="n">
        <v>45558</v>
      </c>
    </row>
    <row r="521" customFormat="false" ht="26.1" hidden="true" customHeight="false" outlineLevel="0" collapsed="false">
      <c r="A521" s="332" t="n">
        <v>2657</v>
      </c>
      <c r="B521" s="34" t="s">
        <v>336</v>
      </c>
      <c r="C521" s="34" t="s">
        <v>337</v>
      </c>
      <c r="D521" s="44"/>
      <c r="E521" s="25" t="n">
        <v>45450</v>
      </c>
      <c r="F521" s="25" t="n">
        <v>45562</v>
      </c>
      <c r="G521" s="72" t="n">
        <v>80</v>
      </c>
      <c r="H521" s="320" t="n">
        <v>80</v>
      </c>
      <c r="I521" s="320" t="n">
        <v>0</v>
      </c>
      <c r="J521" s="52" t="s">
        <v>1095</v>
      </c>
      <c r="K521" s="36" t="n">
        <v>20000</v>
      </c>
      <c r="L521" s="36" t="n">
        <v>43200</v>
      </c>
      <c r="M521" s="37" t="n">
        <v>2700</v>
      </c>
      <c r="N521" s="30" t="n">
        <v>10800</v>
      </c>
      <c r="O521" s="30" t="n">
        <v>43200</v>
      </c>
      <c r="P521" s="31" t="n">
        <v>0</v>
      </c>
      <c r="Q521" s="302" t="n">
        <v>45558</v>
      </c>
    </row>
    <row r="522" customFormat="false" ht="17.9" hidden="true" customHeight="false" outlineLevel="0" collapsed="false">
      <c r="A522" s="332" t="n">
        <v>2645</v>
      </c>
      <c r="B522" s="34" t="s">
        <v>429</v>
      </c>
      <c r="C522" s="34"/>
      <c r="D522" s="44"/>
      <c r="E522" s="25" t="n">
        <v>45441</v>
      </c>
      <c r="F522" s="25" t="n">
        <v>45541</v>
      </c>
      <c r="G522" s="72" t="n">
        <v>72</v>
      </c>
      <c r="H522" s="320" t="n">
        <v>72</v>
      </c>
      <c r="I522" s="320" t="n">
        <v>0</v>
      </c>
      <c r="J522" s="34" t="s">
        <v>381</v>
      </c>
      <c r="K522" s="45" t="n">
        <v>50000</v>
      </c>
      <c r="L522" s="31" t="n">
        <v>108000</v>
      </c>
      <c r="M522" s="37" t="n">
        <v>7500</v>
      </c>
      <c r="N522" s="30" t="n">
        <v>10500</v>
      </c>
      <c r="O522" s="30" t="n">
        <v>108000</v>
      </c>
      <c r="P522" s="31" t="n">
        <v>0</v>
      </c>
      <c r="Q522" s="302" t="n">
        <v>45558</v>
      </c>
    </row>
    <row r="523" customFormat="false" ht="17.9" hidden="true" customHeight="false" outlineLevel="0" collapsed="false">
      <c r="A523" s="332" t="n">
        <v>2819</v>
      </c>
      <c r="B523" s="34" t="s">
        <v>429</v>
      </c>
      <c r="C523" s="34"/>
      <c r="D523" s="44"/>
      <c r="E523" s="25" t="n">
        <v>45556</v>
      </c>
      <c r="F523" s="25" t="n">
        <v>45562</v>
      </c>
      <c r="G523" s="72" t="n">
        <v>5</v>
      </c>
      <c r="H523" s="320" t="e">
        <f aca="false">#DIV/0!</f>
        <v>#DIV/0!</v>
      </c>
      <c r="I523" s="320" t="e">
        <f aca="false">#DIV/0!</f>
        <v>#DIV/0!</v>
      </c>
      <c r="J523" s="52" t="s">
        <v>580</v>
      </c>
      <c r="K523" s="45" t="n">
        <v>30000</v>
      </c>
      <c r="L523" s="31" t="n">
        <v>39000</v>
      </c>
      <c r="M523" s="37"/>
      <c r="N523" s="30" t="n">
        <v>39000</v>
      </c>
      <c r="O523" s="30" t="n">
        <v>39000</v>
      </c>
      <c r="P523" s="31" t="n">
        <v>0</v>
      </c>
      <c r="Q523" s="302" t="n">
        <v>45558</v>
      </c>
    </row>
    <row r="524" customFormat="false" ht="34.3" hidden="true" customHeight="false" outlineLevel="0" collapsed="false">
      <c r="A524" s="332" t="n">
        <v>2664</v>
      </c>
      <c r="B524" s="34" t="s">
        <v>483</v>
      </c>
      <c r="C524" s="34" t="s">
        <v>484</v>
      </c>
      <c r="D524" s="44"/>
      <c r="E524" s="25" t="n">
        <v>45456</v>
      </c>
      <c r="F524" s="25" t="n">
        <v>45558</v>
      </c>
      <c r="G524" s="72" t="n">
        <v>72</v>
      </c>
      <c r="H524" s="320" t="n">
        <v>72</v>
      </c>
      <c r="I524" s="320" t="n">
        <v>0</v>
      </c>
      <c r="J524" s="34" t="s">
        <v>1096</v>
      </c>
      <c r="K524" s="31" t="n">
        <v>80000</v>
      </c>
      <c r="L524" s="31" t="n">
        <v>172800</v>
      </c>
      <c r="M524" s="37" t="n">
        <v>12000</v>
      </c>
      <c r="N524" s="30" t="n">
        <v>17700</v>
      </c>
      <c r="O524" s="30" t="n">
        <v>172800</v>
      </c>
      <c r="P524" s="31" t="n">
        <v>0</v>
      </c>
      <c r="Q524" s="302" t="n">
        <v>45558</v>
      </c>
    </row>
    <row r="525" customFormat="false" ht="26.1" hidden="true" customHeight="false" outlineLevel="0" collapsed="false">
      <c r="A525" s="332" t="n">
        <v>2591</v>
      </c>
      <c r="B525" s="34" t="s">
        <v>497</v>
      </c>
      <c r="C525" s="34" t="s">
        <v>498</v>
      </c>
      <c r="D525" s="44" t="n">
        <v>27352124309</v>
      </c>
      <c r="E525" s="25" t="n">
        <v>45405</v>
      </c>
      <c r="F525" s="25" t="n">
        <v>45559</v>
      </c>
      <c r="G525" s="72" t="n">
        <v>110</v>
      </c>
      <c r="H525" s="320" t="n">
        <v>110</v>
      </c>
      <c r="I525" s="320" t="n">
        <v>0</v>
      </c>
      <c r="J525" s="34" t="s">
        <v>362</v>
      </c>
      <c r="K525" s="31" t="n">
        <v>100000</v>
      </c>
      <c r="L525" s="31" t="n">
        <v>264000</v>
      </c>
      <c r="M525" s="29" t="n">
        <v>12000</v>
      </c>
      <c r="N525" s="30" t="n">
        <v>12000</v>
      </c>
      <c r="O525" s="30" t="n">
        <v>264000</v>
      </c>
      <c r="P525" s="31" t="n">
        <v>0</v>
      </c>
      <c r="Q525" s="302" t="n">
        <v>45558</v>
      </c>
    </row>
    <row r="526" customFormat="false" ht="26.1" hidden="true" customHeight="false" outlineLevel="0" collapsed="false">
      <c r="A526" s="332" t="n">
        <v>2668</v>
      </c>
      <c r="B526" s="34" t="s">
        <v>519</v>
      </c>
      <c r="C526" s="34" t="s">
        <v>520</v>
      </c>
      <c r="D526" s="44"/>
      <c r="E526" s="25" t="n">
        <v>45461</v>
      </c>
      <c r="F526" s="25" t="n">
        <v>45561</v>
      </c>
      <c r="G526" s="72" t="n">
        <v>72</v>
      </c>
      <c r="H526" s="320" t="n">
        <v>72</v>
      </c>
      <c r="I526" s="320" t="n">
        <v>0</v>
      </c>
      <c r="J526" s="34" t="s">
        <v>381</v>
      </c>
      <c r="K526" s="36" t="n">
        <v>50000</v>
      </c>
      <c r="L526" s="36" t="n">
        <v>108000</v>
      </c>
      <c r="M526" s="29" t="n">
        <v>7500</v>
      </c>
      <c r="N526" s="30" t="n">
        <v>25500</v>
      </c>
      <c r="O526" s="30" t="n">
        <v>108000</v>
      </c>
      <c r="P526" s="31" t="n">
        <v>0</v>
      </c>
      <c r="Q526" s="302" t="n">
        <v>45558</v>
      </c>
    </row>
    <row r="527" customFormat="false" ht="26.1" hidden="true" customHeight="false" outlineLevel="0" collapsed="false">
      <c r="A527" s="332" t="n">
        <v>2678</v>
      </c>
      <c r="B527" s="34" t="s">
        <v>519</v>
      </c>
      <c r="C527" s="34" t="s">
        <v>520</v>
      </c>
      <c r="D527" s="44"/>
      <c r="E527" s="25" t="n">
        <v>45464</v>
      </c>
      <c r="F527" s="25" t="n">
        <v>45566</v>
      </c>
      <c r="G527" s="72" t="n">
        <v>72</v>
      </c>
      <c r="H527" s="320" t="n">
        <v>72</v>
      </c>
      <c r="I527" s="320" t="n">
        <v>0</v>
      </c>
      <c r="J527" s="34" t="s">
        <v>452</v>
      </c>
      <c r="K527" s="36" t="n">
        <v>30000</v>
      </c>
      <c r="L527" s="36" t="n">
        <v>64800</v>
      </c>
      <c r="M527" s="37" t="n">
        <v>4500</v>
      </c>
      <c r="N527" s="30" t="n">
        <v>18800</v>
      </c>
      <c r="O527" s="30" t="n">
        <v>64800</v>
      </c>
      <c r="P527" s="31" t="n">
        <v>0</v>
      </c>
      <c r="Q527" s="302" t="n">
        <v>45558</v>
      </c>
    </row>
    <row r="528" customFormat="false" ht="42.5" hidden="true" customHeight="false" outlineLevel="0" collapsed="false">
      <c r="A528" s="332" t="n">
        <v>2497</v>
      </c>
      <c r="B528" s="34" t="s">
        <v>818</v>
      </c>
      <c r="C528" s="34" t="s">
        <v>1097</v>
      </c>
      <c r="D528" s="44"/>
      <c r="E528" s="25" t="n">
        <v>45348</v>
      </c>
      <c r="F528" s="25" t="n">
        <v>45502</v>
      </c>
      <c r="G528" s="72" t="n">
        <v>110</v>
      </c>
      <c r="H528" s="320" t="n">
        <v>110.416666666667</v>
      </c>
      <c r="I528" s="320" t="n">
        <v>-0.416666666666671</v>
      </c>
      <c r="J528" s="68" t="s">
        <v>1098</v>
      </c>
      <c r="K528" s="36" t="n">
        <v>60000</v>
      </c>
      <c r="L528" s="36" t="n">
        <v>158400</v>
      </c>
      <c r="M528" s="29" t="n">
        <v>7200</v>
      </c>
      <c r="N528" s="30" t="n">
        <v>15000</v>
      </c>
      <c r="O528" s="30" t="n">
        <v>159000</v>
      </c>
      <c r="P528" s="31" t="n">
        <v>-600</v>
      </c>
      <c r="Q528" s="302" t="n">
        <v>45558</v>
      </c>
    </row>
    <row r="529" customFormat="false" ht="34.3" hidden="true" customHeight="false" outlineLevel="0" collapsed="false">
      <c r="A529" s="332" t="n">
        <v>1840</v>
      </c>
      <c r="B529" s="34" t="s">
        <v>574</v>
      </c>
      <c r="C529" s="34" t="s">
        <v>575</v>
      </c>
      <c r="D529" s="44"/>
      <c r="E529" s="25" t="n">
        <v>44855</v>
      </c>
      <c r="F529" s="25" t="n">
        <v>44957</v>
      </c>
      <c r="G529" s="72" t="n">
        <v>72</v>
      </c>
      <c r="H529" s="320" t="n">
        <v>72</v>
      </c>
      <c r="I529" s="320" t="n">
        <v>0</v>
      </c>
      <c r="J529" s="34" t="s">
        <v>452</v>
      </c>
      <c r="K529" s="36" t="n">
        <v>30000</v>
      </c>
      <c r="L529" s="36" t="n">
        <v>64800</v>
      </c>
      <c r="M529" s="29" t="n">
        <v>4500</v>
      </c>
      <c r="N529" s="30" t="n">
        <v>4800</v>
      </c>
      <c r="O529" s="30" t="n">
        <v>64800</v>
      </c>
      <c r="P529" s="31" t="n">
        <v>0</v>
      </c>
      <c r="Q529" s="302" t="n">
        <v>45558</v>
      </c>
    </row>
    <row r="530" customFormat="false" ht="26.1" hidden="true" customHeight="false" outlineLevel="0" collapsed="false">
      <c r="A530" s="332" t="n">
        <v>2831</v>
      </c>
      <c r="B530" s="34" t="s">
        <v>251</v>
      </c>
      <c r="C530" s="34" t="s">
        <v>252</v>
      </c>
      <c r="D530" s="44" t="s">
        <v>253</v>
      </c>
      <c r="E530" s="25" t="n">
        <v>45561</v>
      </c>
      <c r="F530" s="25" t="n">
        <v>45568</v>
      </c>
      <c r="G530" s="72" t="n">
        <v>5</v>
      </c>
      <c r="H530" s="320" t="e">
        <f aca="false">#VALUE!</f>
        <v>#VALUE!</v>
      </c>
      <c r="I530" s="320" t="e">
        <f aca="false">#VALUE!</f>
        <v>#VALUE!</v>
      </c>
      <c r="J530" s="52" t="s">
        <v>580</v>
      </c>
      <c r="K530" s="36" t="n">
        <v>200000</v>
      </c>
      <c r="L530" s="36" t="n">
        <v>26000</v>
      </c>
      <c r="M530" s="37" t="s">
        <v>214</v>
      </c>
      <c r="N530" s="30" t="n">
        <v>26000</v>
      </c>
      <c r="O530" s="30" t="n">
        <v>26000</v>
      </c>
      <c r="P530" s="31" t="n">
        <v>0</v>
      </c>
      <c r="Q530" s="302" t="n">
        <v>45565</v>
      </c>
    </row>
    <row r="531" customFormat="false" ht="17.9" hidden="true" customHeight="false" outlineLevel="0" collapsed="false">
      <c r="A531" s="332" t="n">
        <v>2682</v>
      </c>
      <c r="B531" s="34" t="s">
        <v>264</v>
      </c>
      <c r="C531" s="34" t="s">
        <v>265</v>
      </c>
      <c r="D531" s="44"/>
      <c r="E531" s="25" t="n">
        <v>45465</v>
      </c>
      <c r="F531" s="25" t="n">
        <v>45566</v>
      </c>
      <c r="G531" s="72" t="n">
        <v>72</v>
      </c>
      <c r="H531" s="320" t="n">
        <v>75</v>
      </c>
      <c r="I531" s="320" t="n">
        <v>-3</v>
      </c>
      <c r="J531" s="34" t="s">
        <v>452</v>
      </c>
      <c r="K531" s="36" t="n">
        <v>30000</v>
      </c>
      <c r="L531" s="36" t="n">
        <v>64800</v>
      </c>
      <c r="M531" s="37" t="n">
        <v>4500</v>
      </c>
      <c r="N531" s="30" t="n">
        <v>4500</v>
      </c>
      <c r="O531" s="30" t="n">
        <v>67500</v>
      </c>
      <c r="P531" s="31" t="n">
        <v>-2700</v>
      </c>
      <c r="Q531" s="302" t="n">
        <v>45565</v>
      </c>
    </row>
    <row r="532" customFormat="false" ht="34.3" hidden="true" customHeight="false" outlineLevel="0" collapsed="false">
      <c r="A532" s="332" t="n">
        <v>2610</v>
      </c>
      <c r="B532" s="34" t="s">
        <v>307</v>
      </c>
      <c r="C532" s="34" t="s">
        <v>308</v>
      </c>
      <c r="D532" s="44"/>
      <c r="E532" s="25" t="n">
        <v>45418</v>
      </c>
      <c r="F532" s="25" t="n">
        <v>45558</v>
      </c>
      <c r="G532" s="72" t="n">
        <v>100</v>
      </c>
      <c r="H532" s="320" t="n">
        <v>100</v>
      </c>
      <c r="I532" s="320" t="n">
        <v>0</v>
      </c>
      <c r="J532" s="52" t="s">
        <v>1099</v>
      </c>
      <c r="K532" s="36" t="n">
        <v>400000</v>
      </c>
      <c r="L532" s="36" t="n">
        <v>864000</v>
      </c>
      <c r="M532" s="29" t="n">
        <v>43200</v>
      </c>
      <c r="N532" s="30" t="n">
        <v>345600</v>
      </c>
      <c r="O532" s="30" t="n">
        <v>864000</v>
      </c>
      <c r="P532" s="31" t="n">
        <v>0</v>
      </c>
      <c r="Q532" s="302" t="n">
        <v>45565</v>
      </c>
    </row>
    <row r="533" customFormat="false" ht="26.1" hidden="true" customHeight="false" outlineLevel="0" collapsed="false">
      <c r="A533" s="332" t="n">
        <v>2274</v>
      </c>
      <c r="B533" s="34" t="s">
        <v>345</v>
      </c>
      <c r="C533" s="34" t="s">
        <v>346</v>
      </c>
      <c r="D533" s="44" t="n">
        <v>27212523</v>
      </c>
      <c r="E533" s="25" t="n">
        <v>45198</v>
      </c>
      <c r="F533" s="25" t="n">
        <v>45300</v>
      </c>
      <c r="G533" s="72" t="n">
        <v>72</v>
      </c>
      <c r="H533" s="320" t="n">
        <v>73.5833333333333</v>
      </c>
      <c r="I533" s="320" t="n">
        <v>-1.58333333333333</v>
      </c>
      <c r="J533" s="68" t="s">
        <v>1100</v>
      </c>
      <c r="K533" s="31" t="n">
        <v>50000</v>
      </c>
      <c r="L533" s="31" t="n">
        <v>108000</v>
      </c>
      <c r="M533" s="29" t="n">
        <v>7500</v>
      </c>
      <c r="N533" s="30" t="n">
        <v>12875</v>
      </c>
      <c r="O533" s="30" t="n">
        <v>110375</v>
      </c>
      <c r="P533" s="31" t="n">
        <v>-2375</v>
      </c>
      <c r="Q533" s="302" t="n">
        <v>45565</v>
      </c>
    </row>
    <row r="534" customFormat="false" ht="34.3" hidden="true" customHeight="false" outlineLevel="0" collapsed="false">
      <c r="A534" s="332" t="n">
        <v>2504</v>
      </c>
      <c r="B534" s="34" t="s">
        <v>1101</v>
      </c>
      <c r="C534" s="34" t="s">
        <v>796</v>
      </c>
      <c r="D534" s="44"/>
      <c r="E534" s="25" t="n">
        <v>45351</v>
      </c>
      <c r="F534" s="25" t="n">
        <v>45519</v>
      </c>
      <c r="G534" s="72" t="n">
        <v>120</v>
      </c>
      <c r="H534" s="320" t="n">
        <v>120</v>
      </c>
      <c r="I534" s="320" t="n">
        <v>0</v>
      </c>
      <c r="J534" s="52" t="s">
        <v>1102</v>
      </c>
      <c r="K534" s="36" t="n">
        <v>60000</v>
      </c>
      <c r="L534" s="36" t="n">
        <v>158400</v>
      </c>
      <c r="M534" s="29" t="n">
        <v>6600</v>
      </c>
      <c r="N534" s="30" t="n">
        <v>7300</v>
      </c>
      <c r="O534" s="30" t="n">
        <v>158400</v>
      </c>
      <c r="P534" s="31" t="n">
        <v>0</v>
      </c>
      <c r="Q534" s="302" t="n">
        <v>45565</v>
      </c>
    </row>
    <row r="535" customFormat="false" ht="17.9" hidden="true" customHeight="false" outlineLevel="0" collapsed="false">
      <c r="A535" s="332" t="n">
        <v>2835</v>
      </c>
      <c r="B535" s="34" t="s">
        <v>429</v>
      </c>
      <c r="C535" s="34"/>
      <c r="D535" s="44"/>
      <c r="E535" s="25" t="n">
        <v>45563</v>
      </c>
      <c r="F535" s="25" t="n">
        <v>45569</v>
      </c>
      <c r="G535" s="72" t="n">
        <v>5</v>
      </c>
      <c r="H535" s="320" t="e">
        <f aca="false">#DIV/0!</f>
        <v>#DIV/0!</v>
      </c>
      <c r="I535" s="320" t="e">
        <f aca="false">#DIV/0!</f>
        <v>#DIV/0!</v>
      </c>
      <c r="J535" s="52" t="s">
        <v>580</v>
      </c>
      <c r="K535" s="46" t="n">
        <v>30000</v>
      </c>
      <c r="L535" s="36" t="n">
        <v>39000</v>
      </c>
      <c r="M535" s="37"/>
      <c r="N535" s="30" t="n">
        <v>39000</v>
      </c>
      <c r="O535" s="30" t="n">
        <v>39000</v>
      </c>
      <c r="P535" s="31" t="n">
        <v>0</v>
      </c>
      <c r="Q535" s="302" t="n">
        <v>45565</v>
      </c>
    </row>
    <row r="536" customFormat="false" ht="17.9" hidden="true" customHeight="false" outlineLevel="0" collapsed="false">
      <c r="A536" s="332" t="n">
        <v>2836</v>
      </c>
      <c r="B536" s="34" t="s">
        <v>429</v>
      </c>
      <c r="C536" s="34"/>
      <c r="D536" s="44"/>
      <c r="E536" s="25" t="n">
        <v>45563</v>
      </c>
      <c r="F536" s="25" t="n">
        <v>45569</v>
      </c>
      <c r="G536" s="72" t="n">
        <v>5</v>
      </c>
      <c r="H536" s="320" t="e">
        <f aca="false">#DIV/0!</f>
        <v>#DIV/0!</v>
      </c>
      <c r="I536" s="320" t="e">
        <f aca="false">#DIV/0!</f>
        <v>#DIV/0!</v>
      </c>
      <c r="J536" s="52" t="s">
        <v>580</v>
      </c>
      <c r="K536" s="46" t="n">
        <v>30000</v>
      </c>
      <c r="L536" s="36" t="n">
        <v>39000</v>
      </c>
      <c r="M536" s="29"/>
      <c r="N536" s="30" t="n">
        <v>39000</v>
      </c>
      <c r="O536" s="30" t="n">
        <v>39000</v>
      </c>
      <c r="P536" s="31" t="n">
        <v>0</v>
      </c>
      <c r="Q536" s="302" t="n">
        <v>45565</v>
      </c>
    </row>
    <row r="537" customFormat="false" ht="42" hidden="true" customHeight="false" outlineLevel="0" collapsed="false">
      <c r="A537" s="332" t="n">
        <v>2574</v>
      </c>
      <c r="B537" s="34" t="s">
        <v>430</v>
      </c>
      <c r="C537" s="34" t="s">
        <v>431</v>
      </c>
      <c r="D537" s="44"/>
      <c r="E537" s="323" t="n">
        <v>45397</v>
      </c>
      <c r="F537" s="25" t="n">
        <v>45565</v>
      </c>
      <c r="G537" s="72" t="n">
        <v>120</v>
      </c>
      <c r="H537" s="320" t="n">
        <v>150</v>
      </c>
      <c r="I537" s="320" t="n">
        <v>-30</v>
      </c>
      <c r="J537" s="330" t="s">
        <v>1103</v>
      </c>
      <c r="K537" s="36" t="n">
        <v>50000</v>
      </c>
      <c r="L537" s="36" t="n">
        <v>132000</v>
      </c>
      <c r="M537" s="37" t="n">
        <v>4400</v>
      </c>
      <c r="N537" s="30" t="n">
        <v>22000</v>
      </c>
      <c r="O537" s="30" t="n">
        <v>132000</v>
      </c>
      <c r="P537" s="31" t="n">
        <v>0</v>
      </c>
      <c r="Q537" s="302" t="n">
        <v>45565</v>
      </c>
    </row>
    <row r="538" customFormat="false" ht="42" hidden="true" customHeight="false" outlineLevel="0" collapsed="false">
      <c r="A538" s="332" t="n">
        <v>2641</v>
      </c>
      <c r="B538" s="34" t="s">
        <v>430</v>
      </c>
      <c r="C538" s="34" t="s">
        <v>431</v>
      </c>
      <c r="D538" s="44"/>
      <c r="E538" s="25" t="n">
        <v>45439</v>
      </c>
      <c r="F538" s="25" t="n">
        <v>45551</v>
      </c>
      <c r="G538" s="72" t="n">
        <v>80</v>
      </c>
      <c r="H538" s="320" t="n">
        <v>80</v>
      </c>
      <c r="I538" s="320" t="n">
        <v>0</v>
      </c>
      <c r="J538" s="330" t="s">
        <v>1104</v>
      </c>
      <c r="K538" s="36" t="n">
        <v>50000</v>
      </c>
      <c r="L538" s="36" t="n">
        <v>108000</v>
      </c>
      <c r="M538" s="37" t="n">
        <v>6750</v>
      </c>
      <c r="N538" s="30" t="n">
        <v>27000</v>
      </c>
      <c r="O538" s="30" t="n">
        <v>108000</v>
      </c>
      <c r="P538" s="31" t="n">
        <v>0</v>
      </c>
      <c r="Q538" s="302" t="n">
        <v>45565</v>
      </c>
    </row>
    <row r="539" customFormat="false" ht="34.3" hidden="true" customHeight="false" outlineLevel="0" collapsed="false">
      <c r="A539" s="332" t="n">
        <v>2634</v>
      </c>
      <c r="B539" s="34" t="s">
        <v>476</v>
      </c>
      <c r="C539" s="34" t="s">
        <v>477</v>
      </c>
      <c r="D539" s="44"/>
      <c r="E539" s="25" t="n">
        <v>45435</v>
      </c>
      <c r="F539" s="25" t="n">
        <v>45547</v>
      </c>
      <c r="G539" s="72" t="n">
        <v>80</v>
      </c>
      <c r="H539" s="320" t="n">
        <v>80</v>
      </c>
      <c r="I539" s="320" t="n">
        <v>0</v>
      </c>
      <c r="J539" s="68" t="s">
        <v>1105</v>
      </c>
      <c r="K539" s="36" t="n">
        <v>50000</v>
      </c>
      <c r="L539" s="36" t="n">
        <v>108000</v>
      </c>
      <c r="M539" s="37" t="n">
        <v>6750</v>
      </c>
      <c r="N539" s="30" t="n">
        <v>13500</v>
      </c>
      <c r="O539" s="30" t="n">
        <v>108000</v>
      </c>
      <c r="P539" s="31" t="n">
        <v>0</v>
      </c>
      <c r="Q539" s="302" t="n">
        <v>45565</v>
      </c>
    </row>
    <row r="540" customFormat="false" ht="42.5" hidden="true" customHeight="false" outlineLevel="0" collapsed="false">
      <c r="A540" s="332" t="n">
        <v>2688</v>
      </c>
      <c r="B540" s="34" t="s">
        <v>485</v>
      </c>
      <c r="C540" s="34" t="s">
        <v>486</v>
      </c>
      <c r="D540" s="44"/>
      <c r="E540" s="25" t="n">
        <v>45472</v>
      </c>
      <c r="F540" s="25" t="n">
        <v>45573</v>
      </c>
      <c r="G540" s="72" t="n">
        <v>72</v>
      </c>
      <c r="H540" s="320" t="n">
        <v>72</v>
      </c>
      <c r="I540" s="320" t="n">
        <v>0</v>
      </c>
      <c r="J540" s="34" t="s">
        <v>792</v>
      </c>
      <c r="K540" s="31" t="n">
        <v>60000</v>
      </c>
      <c r="L540" s="31" t="n">
        <v>129600</v>
      </c>
      <c r="M540" s="29" t="n">
        <v>9000</v>
      </c>
      <c r="N540" s="30" t="n">
        <v>41100</v>
      </c>
      <c r="O540" s="30" t="n">
        <v>129600</v>
      </c>
      <c r="P540" s="31" t="n">
        <v>0</v>
      </c>
      <c r="Q540" s="302" t="n">
        <v>45565</v>
      </c>
    </row>
    <row r="541" customFormat="false" ht="42.5" hidden="true" customHeight="false" outlineLevel="0" collapsed="false">
      <c r="A541" s="332" t="n">
        <v>2633</v>
      </c>
      <c r="B541" s="34" t="s">
        <v>925</v>
      </c>
      <c r="C541" s="34" t="s">
        <v>926</v>
      </c>
      <c r="D541" s="44" t="s">
        <v>927</v>
      </c>
      <c r="E541" s="25" t="n">
        <v>45434</v>
      </c>
      <c r="F541" s="25" t="n">
        <v>45534</v>
      </c>
      <c r="G541" s="72" t="n">
        <v>72</v>
      </c>
      <c r="H541" s="320" t="n">
        <v>72.3333333333333</v>
      </c>
      <c r="I541" s="320" t="n">
        <v>-0.333333333333329</v>
      </c>
      <c r="J541" s="34" t="s">
        <v>627</v>
      </c>
      <c r="K541" s="36" t="n">
        <v>40000</v>
      </c>
      <c r="L541" s="36" t="n">
        <v>86400</v>
      </c>
      <c r="M541" s="37" t="n">
        <v>6000</v>
      </c>
      <c r="N541" s="30" t="n">
        <v>2800</v>
      </c>
      <c r="O541" s="30" t="n">
        <v>86800</v>
      </c>
      <c r="P541" s="31" t="n">
        <v>-400</v>
      </c>
      <c r="Q541" s="302" t="n">
        <v>45565</v>
      </c>
    </row>
    <row r="542" customFormat="false" ht="14.25" hidden="true" customHeight="false" outlineLevel="0" collapsed="false">
      <c r="A542" s="332" t="n">
        <v>2801</v>
      </c>
      <c r="B542" s="34" t="s">
        <v>1106</v>
      </c>
      <c r="C542" s="34"/>
      <c r="D542" s="44"/>
      <c r="E542" s="25" t="n">
        <v>45545</v>
      </c>
      <c r="F542" s="25" t="n">
        <v>45566</v>
      </c>
      <c r="G542" s="72" t="n">
        <v>15</v>
      </c>
      <c r="H542" s="320" t="e">
        <f aca="false">#VALUE!</f>
        <v>#VALUE!</v>
      </c>
      <c r="I542" s="320" t="e">
        <f aca="false">#VALUE!</f>
        <v>#VALUE!</v>
      </c>
      <c r="J542" s="52" t="s">
        <v>580</v>
      </c>
      <c r="K542" s="36" t="n">
        <v>40000</v>
      </c>
      <c r="L542" s="36" t="n">
        <v>60000</v>
      </c>
      <c r="M542" s="37" t="s">
        <v>214</v>
      </c>
      <c r="N542" s="30" t="n">
        <v>70000</v>
      </c>
      <c r="O542" s="30" t="n">
        <v>70000</v>
      </c>
      <c r="P542" s="31" t="n">
        <v>-10000</v>
      </c>
      <c r="Q542" s="302" t="n">
        <v>45565</v>
      </c>
    </row>
    <row r="543" customFormat="false" ht="34.3" hidden="true" customHeight="false" outlineLevel="0" collapsed="false">
      <c r="A543" s="332" t="n">
        <v>2517</v>
      </c>
      <c r="B543" s="34" t="s">
        <v>779</v>
      </c>
      <c r="C543" s="34"/>
      <c r="D543" s="44"/>
      <c r="E543" s="25" t="n">
        <v>45362</v>
      </c>
      <c r="F543" s="25" t="n">
        <v>45558</v>
      </c>
      <c r="G543" s="72" t="n">
        <v>140</v>
      </c>
      <c r="H543" s="320" t="n">
        <v>140</v>
      </c>
      <c r="I543" s="320" t="n">
        <v>0</v>
      </c>
      <c r="J543" s="52" t="s">
        <v>1018</v>
      </c>
      <c r="K543" s="36" t="n">
        <v>30000</v>
      </c>
      <c r="L543" s="36" t="n">
        <v>79240</v>
      </c>
      <c r="M543" s="29" t="n">
        <v>2830</v>
      </c>
      <c r="N543" s="30" t="n">
        <v>11320</v>
      </c>
      <c r="O543" s="30" t="n">
        <v>79240</v>
      </c>
      <c r="P543" s="31" t="n">
        <v>0</v>
      </c>
      <c r="Q543" s="302" t="n">
        <v>45565</v>
      </c>
    </row>
    <row r="544" customFormat="false" ht="34.3" hidden="true" customHeight="false" outlineLevel="0" collapsed="false">
      <c r="A544" s="332" t="n">
        <v>2563</v>
      </c>
      <c r="B544" s="34" t="s">
        <v>543</v>
      </c>
      <c r="C544" s="34" t="s">
        <v>532</v>
      </c>
      <c r="D544" s="44"/>
      <c r="E544" s="25" t="n">
        <v>45389</v>
      </c>
      <c r="F544" s="25" t="n">
        <v>45499</v>
      </c>
      <c r="G544" s="72" t="n">
        <v>80</v>
      </c>
      <c r="H544" s="320" t="n">
        <v>85.1851851851852</v>
      </c>
      <c r="I544" s="320" t="n">
        <v>-5.18518518518519</v>
      </c>
      <c r="J544" s="52" t="s">
        <v>1107</v>
      </c>
      <c r="K544" s="328" t="n">
        <v>40000</v>
      </c>
      <c r="L544" s="36" t="n">
        <v>86400</v>
      </c>
      <c r="M544" s="29" t="n">
        <v>5400</v>
      </c>
      <c r="N544" s="30" t="n">
        <v>15000</v>
      </c>
      <c r="O544" s="30" t="n">
        <v>92000</v>
      </c>
      <c r="P544" s="31" t="n">
        <v>-5600</v>
      </c>
      <c r="Q544" s="302" t="n">
        <v>45565</v>
      </c>
    </row>
    <row r="545" customFormat="false" ht="26.1" hidden="true" customHeight="false" outlineLevel="0" collapsed="false">
      <c r="A545" s="332" t="n">
        <v>2567</v>
      </c>
      <c r="B545" s="34" t="s">
        <v>638</v>
      </c>
      <c r="C545" s="34" t="s">
        <v>639</v>
      </c>
      <c r="D545" s="44" t="n">
        <v>2034839888</v>
      </c>
      <c r="E545" s="25" t="n">
        <v>45392</v>
      </c>
      <c r="F545" s="25" t="n">
        <v>45560</v>
      </c>
      <c r="G545" s="72" t="n">
        <v>120</v>
      </c>
      <c r="H545" s="320" t="n">
        <v>120</v>
      </c>
      <c r="I545" s="320" t="n">
        <v>0</v>
      </c>
      <c r="J545" s="52" t="s">
        <v>1108</v>
      </c>
      <c r="K545" s="36" t="n">
        <v>120000</v>
      </c>
      <c r="L545" s="36" t="n">
        <v>316800</v>
      </c>
      <c r="M545" s="29" t="n">
        <v>13200</v>
      </c>
      <c r="N545" s="30" t="n">
        <v>52800</v>
      </c>
      <c r="O545" s="30" t="n">
        <v>316800</v>
      </c>
      <c r="P545" s="31" t="n">
        <v>0</v>
      </c>
      <c r="Q545" s="302" t="n">
        <v>45565</v>
      </c>
    </row>
    <row r="546" customFormat="false" ht="26.1" hidden="true" customHeight="false" outlineLevel="0" collapsed="false">
      <c r="A546" s="332" t="n">
        <v>2670</v>
      </c>
      <c r="B546" s="34" t="s">
        <v>638</v>
      </c>
      <c r="C546" s="34" t="s">
        <v>639</v>
      </c>
      <c r="D546" s="44" t="n">
        <v>2034839888</v>
      </c>
      <c r="E546" s="25" t="n">
        <v>45461</v>
      </c>
      <c r="F546" s="25" t="n">
        <v>45573</v>
      </c>
      <c r="G546" s="72" t="n">
        <v>80</v>
      </c>
      <c r="H546" s="320" t="n">
        <v>80.952380952381</v>
      </c>
      <c r="I546" s="320" t="n">
        <v>-0.952380952380949</v>
      </c>
      <c r="J546" s="52" t="s">
        <v>1109</v>
      </c>
      <c r="K546" s="36" t="n">
        <v>35000</v>
      </c>
      <c r="L546" s="36" t="n">
        <v>75600</v>
      </c>
      <c r="M546" s="29" t="n">
        <v>4725</v>
      </c>
      <c r="N546" s="30" t="n">
        <v>18900</v>
      </c>
      <c r="O546" s="30" t="n">
        <v>76500</v>
      </c>
      <c r="P546" s="31" t="n">
        <v>-900</v>
      </c>
      <c r="Q546" s="302" t="n">
        <v>45565</v>
      </c>
    </row>
    <row r="547" customFormat="false" ht="26.1" hidden="true" customHeight="false" outlineLevel="0" collapsed="false">
      <c r="A547" s="332" t="n">
        <v>2714</v>
      </c>
      <c r="B547" s="34" t="s">
        <v>638</v>
      </c>
      <c r="C547" s="34" t="s">
        <v>639</v>
      </c>
      <c r="D547" s="44" t="n">
        <v>2034839888</v>
      </c>
      <c r="E547" s="25" t="n">
        <v>45488</v>
      </c>
      <c r="F547" s="25" t="n">
        <v>45572</v>
      </c>
      <c r="G547" s="72" t="n">
        <v>60</v>
      </c>
      <c r="H547" s="320" t="n">
        <v>60</v>
      </c>
      <c r="I547" s="320" t="n">
        <v>0</v>
      </c>
      <c r="J547" s="52" t="s">
        <v>1110</v>
      </c>
      <c r="K547" s="36" t="n">
        <v>5000</v>
      </c>
      <c r="L547" s="36" t="n">
        <v>10800</v>
      </c>
      <c r="M547" s="29" t="n">
        <v>900</v>
      </c>
      <c r="N547" s="30" t="n">
        <v>3600</v>
      </c>
      <c r="O547" s="30" t="n">
        <v>10800</v>
      </c>
      <c r="P547" s="31" t="n">
        <v>0</v>
      </c>
      <c r="Q547" s="302" t="n">
        <v>45565</v>
      </c>
    </row>
    <row r="548" customFormat="false" ht="67.15" hidden="true" customHeight="false" outlineLevel="0" collapsed="false">
      <c r="A548" s="332" t="n">
        <v>2681</v>
      </c>
      <c r="B548" s="34" t="s">
        <v>466</v>
      </c>
      <c r="C548" s="34" t="s">
        <v>467</v>
      </c>
      <c r="D548" s="44" t="n">
        <v>27249921551</v>
      </c>
      <c r="E548" s="25" t="n">
        <v>45464</v>
      </c>
      <c r="F548" s="25" t="n">
        <v>45566</v>
      </c>
      <c r="G548" s="72" t="n">
        <v>72</v>
      </c>
      <c r="H548" s="320" t="n">
        <v>72</v>
      </c>
      <c r="I548" s="320" t="n">
        <v>0</v>
      </c>
      <c r="J548" s="34" t="s">
        <v>452</v>
      </c>
      <c r="K548" s="36" t="n">
        <v>30000</v>
      </c>
      <c r="L548" s="36" t="n">
        <v>64800</v>
      </c>
      <c r="M548" s="37" t="n">
        <v>4500</v>
      </c>
      <c r="N548" s="30" t="n">
        <v>1800</v>
      </c>
      <c r="O548" s="30" t="n">
        <v>64800</v>
      </c>
      <c r="P548" s="31" t="n">
        <v>0</v>
      </c>
      <c r="Q548" s="302" t="n">
        <v>45566</v>
      </c>
    </row>
    <row r="549" customFormat="false" ht="50.7" hidden="true" customHeight="false" outlineLevel="0" collapsed="false">
      <c r="A549" s="332" t="n">
        <v>2661</v>
      </c>
      <c r="B549" s="34" t="s">
        <v>218</v>
      </c>
      <c r="C549" s="34" t="s">
        <v>219</v>
      </c>
      <c r="D549" s="44"/>
      <c r="E549" s="25" t="n">
        <v>45454</v>
      </c>
      <c r="F549" s="25" t="n">
        <v>45566</v>
      </c>
      <c r="G549" s="72" t="n">
        <v>80</v>
      </c>
      <c r="H549" s="320" t="n">
        <v>80</v>
      </c>
      <c r="I549" s="320" t="n">
        <v>0</v>
      </c>
      <c r="J549" s="52" t="s">
        <v>1111</v>
      </c>
      <c r="K549" s="36" t="n">
        <v>70000</v>
      </c>
      <c r="L549" s="36" t="n">
        <v>151200</v>
      </c>
      <c r="M549" s="37" t="n">
        <v>9450</v>
      </c>
      <c r="N549" s="30" t="n">
        <v>37800</v>
      </c>
      <c r="O549" s="30" t="n">
        <v>151200</v>
      </c>
      <c r="P549" s="31" t="n">
        <v>0</v>
      </c>
      <c r="Q549" s="302" t="n">
        <v>45572</v>
      </c>
    </row>
    <row r="550" customFormat="false" ht="17.9" hidden="true" customHeight="false" outlineLevel="0" collapsed="false">
      <c r="A550" s="337" t="n">
        <v>2843</v>
      </c>
      <c r="B550" s="34" t="s">
        <v>429</v>
      </c>
      <c r="C550" s="34"/>
      <c r="D550" s="44"/>
      <c r="E550" s="25" t="n">
        <v>45567</v>
      </c>
      <c r="F550" s="25" t="n">
        <v>45574</v>
      </c>
      <c r="G550" s="72" t="n">
        <v>5</v>
      </c>
      <c r="H550" s="320" t="e">
        <f aca="false">#DIV/0!</f>
        <v>#DIV/0!</v>
      </c>
      <c r="I550" s="320" t="e">
        <f aca="false">#DIV/0!</f>
        <v>#DIV/0!</v>
      </c>
      <c r="J550" s="52" t="s">
        <v>580</v>
      </c>
      <c r="K550" s="46" t="n">
        <v>30000</v>
      </c>
      <c r="L550" s="36" t="n">
        <v>39000</v>
      </c>
      <c r="M550" s="29"/>
      <c r="N550" s="30" t="n">
        <v>39000</v>
      </c>
      <c r="O550" s="30" t="n">
        <v>39000</v>
      </c>
      <c r="P550" s="31" t="n">
        <v>0</v>
      </c>
      <c r="Q550" s="302" t="n">
        <v>45572</v>
      </c>
    </row>
    <row r="551" customFormat="false" ht="34.3" hidden="true" customHeight="false" outlineLevel="0" collapsed="false">
      <c r="A551" s="332" t="n">
        <v>2666</v>
      </c>
      <c r="B551" s="34" t="s">
        <v>450</v>
      </c>
      <c r="C551" s="34" t="s">
        <v>451</v>
      </c>
      <c r="D551" s="44"/>
      <c r="E551" s="25" t="n">
        <v>45458</v>
      </c>
      <c r="F551" s="25" t="n">
        <v>45559</v>
      </c>
      <c r="G551" s="72" t="n">
        <v>72</v>
      </c>
      <c r="H551" s="320" t="n">
        <v>72</v>
      </c>
      <c r="I551" s="320" t="n">
        <v>0</v>
      </c>
      <c r="J551" s="34" t="s">
        <v>788</v>
      </c>
      <c r="K551" s="36" t="n">
        <v>15000</v>
      </c>
      <c r="L551" s="36" t="n">
        <v>32400</v>
      </c>
      <c r="M551" s="29" t="n">
        <v>2250</v>
      </c>
      <c r="N551" s="30" t="n">
        <v>5400</v>
      </c>
      <c r="O551" s="30" t="n">
        <v>32400</v>
      </c>
      <c r="P551" s="31" t="n">
        <v>0</v>
      </c>
      <c r="Q551" s="302" t="n">
        <v>45572</v>
      </c>
    </row>
    <row r="552" customFormat="false" ht="26.1" hidden="true" customHeight="false" outlineLevel="0" collapsed="false">
      <c r="A552" s="332" t="n">
        <v>2649</v>
      </c>
      <c r="B552" s="34" t="s">
        <v>752</v>
      </c>
      <c r="C552" s="34" t="s">
        <v>753</v>
      </c>
      <c r="D552" s="44"/>
      <c r="E552" s="25" t="n">
        <v>45442</v>
      </c>
      <c r="F552" s="25" t="n">
        <v>45554</v>
      </c>
      <c r="G552" s="72" t="n">
        <v>80</v>
      </c>
      <c r="H552" s="320" t="n">
        <v>80</v>
      </c>
      <c r="I552" s="320" t="n">
        <v>0</v>
      </c>
      <c r="J552" s="52" t="s">
        <v>606</v>
      </c>
      <c r="K552" s="36" t="n">
        <v>100000</v>
      </c>
      <c r="L552" s="36" t="n">
        <v>216000</v>
      </c>
      <c r="M552" s="37" t="n">
        <v>13500</v>
      </c>
      <c r="N552" s="30" t="n">
        <v>54000</v>
      </c>
      <c r="O552" s="30" t="n">
        <v>216000</v>
      </c>
      <c r="P552" s="31" t="n">
        <v>0</v>
      </c>
      <c r="Q552" s="302" t="n">
        <v>45572</v>
      </c>
    </row>
    <row r="553" customFormat="false" ht="17.9" hidden="true" customHeight="false" outlineLevel="0" collapsed="false">
      <c r="A553" s="332" t="n">
        <v>2609</v>
      </c>
      <c r="B553" s="34" t="s">
        <v>1043</v>
      </c>
      <c r="C553" s="34"/>
      <c r="D553" s="44"/>
      <c r="E553" s="25" t="n">
        <v>45418</v>
      </c>
      <c r="F553" s="25" t="n">
        <v>45558</v>
      </c>
      <c r="G553" s="72" t="n">
        <v>100</v>
      </c>
      <c r="H553" s="320" t="n">
        <v>100</v>
      </c>
      <c r="I553" s="320" t="n">
        <v>0</v>
      </c>
      <c r="J553" s="52" t="s">
        <v>1112</v>
      </c>
      <c r="K553" s="328" t="n">
        <v>300000</v>
      </c>
      <c r="L553" s="36" t="n">
        <v>648000</v>
      </c>
      <c r="M553" s="37" t="n">
        <v>32400</v>
      </c>
      <c r="N553" s="30" t="n">
        <v>129600</v>
      </c>
      <c r="O553" s="30" t="n">
        <v>648000</v>
      </c>
      <c r="P553" s="31" t="n">
        <v>0</v>
      </c>
      <c r="Q553" s="302" t="n">
        <v>45572</v>
      </c>
    </row>
    <row r="554" customFormat="false" ht="14.25" hidden="true" customHeight="false" outlineLevel="0" collapsed="false">
      <c r="A554" s="332" t="n">
        <v>2823</v>
      </c>
      <c r="B554" s="34" t="s">
        <v>861</v>
      </c>
      <c r="C554" s="34"/>
      <c r="D554" s="44"/>
      <c r="E554" s="25" t="n">
        <v>45558</v>
      </c>
      <c r="F554" s="25" t="n">
        <v>45572</v>
      </c>
      <c r="G554" s="72" t="n">
        <v>10</v>
      </c>
      <c r="H554" s="320" t="e">
        <f aca="false">#VALUE!</f>
        <v>#VALUE!</v>
      </c>
      <c r="I554" s="320" t="e">
        <f aca="false">#VALUE!</f>
        <v>#VALUE!</v>
      </c>
      <c r="J554" s="52" t="s">
        <v>580</v>
      </c>
      <c r="K554" s="36" t="n">
        <v>20000</v>
      </c>
      <c r="L554" s="36" t="n">
        <v>30000</v>
      </c>
      <c r="M554" s="29" t="s">
        <v>214</v>
      </c>
      <c r="N554" s="30" t="n">
        <v>30000</v>
      </c>
      <c r="O554" s="30" t="n">
        <v>30000</v>
      </c>
      <c r="P554" s="31" t="n">
        <v>0</v>
      </c>
      <c r="Q554" s="302" t="n">
        <v>45572</v>
      </c>
    </row>
    <row r="555" customFormat="false" ht="17.9" hidden="true" customHeight="false" outlineLevel="0" collapsed="false">
      <c r="A555" s="332" t="n">
        <v>2813</v>
      </c>
      <c r="B555" s="34" t="s">
        <v>984</v>
      </c>
      <c r="C555" s="34"/>
      <c r="D555" s="44"/>
      <c r="E555" s="25" t="n">
        <v>45553</v>
      </c>
      <c r="F555" s="25" t="n">
        <v>45581</v>
      </c>
      <c r="G555" s="72" t="n">
        <v>20</v>
      </c>
      <c r="H555" s="320" t="e">
        <f aca="false">#DIV/0!</f>
        <v>#DIV/0!</v>
      </c>
      <c r="I555" s="320" t="e">
        <f aca="false">#DIV/0!</f>
        <v>#DIV/0!</v>
      </c>
      <c r="J555" s="52" t="s">
        <v>1113</v>
      </c>
      <c r="K555" s="36" t="n">
        <v>20000</v>
      </c>
      <c r="L555" s="36" t="n">
        <v>32000</v>
      </c>
      <c r="M555" s="37"/>
      <c r="N555" s="30" t="n">
        <v>32000</v>
      </c>
      <c r="O555" s="30" t="n">
        <v>32000</v>
      </c>
      <c r="P555" s="31" t="n">
        <v>0</v>
      </c>
      <c r="Q555" s="302" t="n">
        <v>45572</v>
      </c>
    </row>
    <row r="556" customFormat="false" ht="17.9" hidden="true" customHeight="false" outlineLevel="0" collapsed="false">
      <c r="A556" s="332" t="n">
        <v>2815</v>
      </c>
      <c r="B556" s="34" t="s">
        <v>984</v>
      </c>
      <c r="C556" s="34"/>
      <c r="D556" s="44"/>
      <c r="E556" s="25" t="n">
        <v>45555</v>
      </c>
      <c r="F556" s="25" t="n">
        <v>45583</v>
      </c>
      <c r="G556" s="72" t="n">
        <v>20</v>
      </c>
      <c r="H556" s="320" t="e">
        <f aca="false">#DIV/0!</f>
        <v>#DIV/0!</v>
      </c>
      <c r="I556" s="320" t="e">
        <f aca="false">#DIV/0!</f>
        <v>#DIV/0!</v>
      </c>
      <c r="J556" s="52" t="s">
        <v>1114</v>
      </c>
      <c r="K556" s="31" t="n">
        <v>15000</v>
      </c>
      <c r="L556" s="31" t="n">
        <v>22500</v>
      </c>
      <c r="M556" s="29"/>
      <c r="N556" s="30" t="n">
        <v>22500</v>
      </c>
      <c r="O556" s="30" t="n">
        <v>22500</v>
      </c>
      <c r="P556" s="31" t="n">
        <v>0</v>
      </c>
      <c r="Q556" s="302" t="n">
        <v>45572</v>
      </c>
    </row>
    <row r="557" customFormat="false" ht="42.5" hidden="true" customHeight="false" outlineLevel="0" collapsed="false">
      <c r="A557" s="332" t="n">
        <v>2616</v>
      </c>
      <c r="B557" s="34" t="s">
        <v>818</v>
      </c>
      <c r="C557" s="34" t="s">
        <v>556</v>
      </c>
      <c r="D557" s="44"/>
      <c r="E557" s="25" t="n">
        <v>45421</v>
      </c>
      <c r="F557" s="25" t="n">
        <v>45523</v>
      </c>
      <c r="G557" s="72" t="n">
        <v>72</v>
      </c>
      <c r="H557" s="320" t="n">
        <v>73.3333333333333</v>
      </c>
      <c r="I557" s="320" t="n">
        <v>-1.33333333333333</v>
      </c>
      <c r="J557" s="34" t="s">
        <v>381</v>
      </c>
      <c r="K557" s="36" t="n">
        <v>50000</v>
      </c>
      <c r="L557" s="36" t="n">
        <v>108000</v>
      </c>
      <c r="M557" s="37" t="n">
        <v>7500</v>
      </c>
      <c r="N557" s="30" t="n">
        <v>20000</v>
      </c>
      <c r="O557" s="30" t="n">
        <v>110000</v>
      </c>
      <c r="P557" s="31" t="n">
        <v>-2000</v>
      </c>
      <c r="Q557" s="302" t="n">
        <v>45572</v>
      </c>
    </row>
    <row r="558" customFormat="false" ht="17.9" hidden="true" customHeight="false" outlineLevel="0" collapsed="false">
      <c r="A558" s="332" t="n">
        <v>2700</v>
      </c>
      <c r="B558" s="34" t="s">
        <v>581</v>
      </c>
      <c r="C558" s="34" t="s">
        <v>582</v>
      </c>
      <c r="D558" s="44"/>
      <c r="E558" s="25" t="n">
        <v>45481</v>
      </c>
      <c r="F558" s="25" t="n">
        <v>45581</v>
      </c>
      <c r="G558" s="72" t="n">
        <v>72</v>
      </c>
      <c r="H558" s="320" t="n">
        <v>72</v>
      </c>
      <c r="I558" s="320" t="n">
        <v>0</v>
      </c>
      <c r="J558" s="34" t="s">
        <v>381</v>
      </c>
      <c r="K558" s="31" t="n">
        <v>50000</v>
      </c>
      <c r="L558" s="31" t="n">
        <v>108000</v>
      </c>
      <c r="M558" s="37" t="n">
        <v>7500</v>
      </c>
      <c r="N558" s="30" t="n">
        <v>18000</v>
      </c>
      <c r="O558" s="30" t="n">
        <v>108000</v>
      </c>
      <c r="P558" s="31" t="n">
        <v>0</v>
      </c>
      <c r="Q558" s="302" t="n">
        <v>45572</v>
      </c>
    </row>
    <row r="559" customFormat="false" ht="26.1" hidden="true" customHeight="false" outlineLevel="0" collapsed="false">
      <c r="A559" s="337" t="n">
        <v>2855</v>
      </c>
      <c r="B559" s="34" t="s">
        <v>249</v>
      </c>
      <c r="C559" s="34"/>
      <c r="D559" s="44" t="n">
        <v>27252034574</v>
      </c>
      <c r="E559" s="25" t="n">
        <v>45577</v>
      </c>
      <c r="F559" s="25" t="n">
        <v>45583</v>
      </c>
      <c r="G559" s="72" t="n">
        <v>5</v>
      </c>
      <c r="H559" s="320" t="e">
        <f aca="false">#DIV/0!</f>
        <v>#DIV/0!</v>
      </c>
      <c r="I559" s="320" t="e">
        <f aca="false">#DIV/0!</f>
        <v>#DIV/0!</v>
      </c>
      <c r="J559" s="34" t="s">
        <v>538</v>
      </c>
      <c r="K559" s="31" t="n">
        <v>30000</v>
      </c>
      <c r="L559" s="31" t="n">
        <v>39000</v>
      </c>
      <c r="M559" s="29"/>
      <c r="N559" s="30" t="n">
        <v>39000</v>
      </c>
      <c r="O559" s="30" t="n">
        <v>39000</v>
      </c>
      <c r="P559" s="31" t="n">
        <v>0</v>
      </c>
      <c r="Q559" s="302" t="n">
        <v>45579</v>
      </c>
    </row>
    <row r="560" customFormat="false" ht="42" hidden="true" customHeight="false" outlineLevel="0" collapsed="false">
      <c r="A560" s="332" t="n">
        <v>2810</v>
      </c>
      <c r="B560" s="34" t="s">
        <v>396</v>
      </c>
      <c r="C560" s="34" t="s">
        <v>397</v>
      </c>
      <c r="D560" s="44"/>
      <c r="E560" s="25" t="n">
        <v>45552</v>
      </c>
      <c r="F560" s="25" t="n">
        <v>45580</v>
      </c>
      <c r="G560" s="72" t="n">
        <v>20</v>
      </c>
      <c r="H560" s="320" t="e">
        <f aca="false">#VALUE!</f>
        <v>#VALUE!</v>
      </c>
      <c r="I560" s="320" t="e">
        <f aca="false">#VALUE!</f>
        <v>#VALUE!</v>
      </c>
      <c r="J560" s="52" t="s">
        <v>1115</v>
      </c>
      <c r="K560" s="31" t="n">
        <v>100000</v>
      </c>
      <c r="L560" s="31" t="n">
        <v>150000</v>
      </c>
      <c r="M560" s="37" t="s">
        <v>214</v>
      </c>
      <c r="N560" s="30" t="n">
        <v>150000</v>
      </c>
      <c r="O560" s="30" t="n">
        <v>150000</v>
      </c>
      <c r="P560" s="31" t="n">
        <v>0</v>
      </c>
      <c r="Q560" s="302" t="n">
        <v>45579</v>
      </c>
    </row>
    <row r="561" customFormat="false" ht="17.9" hidden="true" customHeight="false" outlineLevel="0" collapsed="false">
      <c r="A561" s="332" t="n">
        <v>2849</v>
      </c>
      <c r="B561" s="34" t="s">
        <v>429</v>
      </c>
      <c r="C561" s="34"/>
      <c r="D561" s="44"/>
      <c r="E561" s="25" t="n">
        <v>45575</v>
      </c>
      <c r="F561" s="25" t="n">
        <v>45582</v>
      </c>
      <c r="G561" s="72" t="n">
        <v>5</v>
      </c>
      <c r="H561" s="320" t="e">
        <f aca="false">#DIV/0!</f>
        <v>#DIV/0!</v>
      </c>
      <c r="I561" s="320" t="e">
        <f aca="false">#DIV/0!</f>
        <v>#DIV/0!</v>
      </c>
      <c r="J561" s="52" t="s">
        <v>580</v>
      </c>
      <c r="K561" s="46" t="n">
        <v>30000</v>
      </c>
      <c r="L561" s="36" t="n">
        <v>39000</v>
      </c>
      <c r="M561" s="29"/>
      <c r="N561" s="30" t="n">
        <v>39000</v>
      </c>
      <c r="O561" s="30" t="n">
        <v>39000</v>
      </c>
      <c r="P561" s="31" t="n">
        <v>0</v>
      </c>
      <c r="Q561" s="302" t="n">
        <v>45579</v>
      </c>
    </row>
    <row r="562" customFormat="false" ht="17.9" hidden="true" customHeight="false" outlineLevel="0" collapsed="false">
      <c r="A562" s="332" t="n">
        <v>2850</v>
      </c>
      <c r="B562" s="34" t="s">
        <v>429</v>
      </c>
      <c r="C562" s="34"/>
      <c r="D562" s="44"/>
      <c r="E562" s="25" t="n">
        <v>45575</v>
      </c>
      <c r="F562" s="25" t="n">
        <v>45582</v>
      </c>
      <c r="G562" s="72" t="n">
        <v>5</v>
      </c>
      <c r="H562" s="320" t="e">
        <f aca="false">#DIV/0!</f>
        <v>#DIV/0!</v>
      </c>
      <c r="I562" s="320" t="e">
        <f aca="false">#DIV/0!</f>
        <v>#DIV/0!</v>
      </c>
      <c r="J562" s="52" t="s">
        <v>580</v>
      </c>
      <c r="K562" s="46" t="n">
        <v>50000</v>
      </c>
      <c r="L562" s="36" t="n">
        <v>65000</v>
      </c>
      <c r="M562" s="29"/>
      <c r="N562" s="30" t="n">
        <v>65000</v>
      </c>
      <c r="O562" s="30" t="n">
        <v>65000</v>
      </c>
      <c r="P562" s="31" t="n">
        <v>0</v>
      </c>
      <c r="Q562" s="302" t="n">
        <v>45579</v>
      </c>
    </row>
    <row r="563" customFormat="false" ht="34.3" hidden="true" customHeight="false" outlineLevel="0" collapsed="false">
      <c r="A563" s="332" t="n">
        <v>2709</v>
      </c>
      <c r="B563" s="34" t="s">
        <v>1116</v>
      </c>
      <c r="C563" s="34" t="s">
        <v>1117</v>
      </c>
      <c r="D563" s="44"/>
      <c r="E563" s="25" t="n">
        <v>45486</v>
      </c>
      <c r="F563" s="25" t="n">
        <v>45583</v>
      </c>
      <c r="G563" s="72" t="n">
        <v>70</v>
      </c>
      <c r="H563" s="320" t="n">
        <v>70</v>
      </c>
      <c r="I563" s="320" t="n">
        <v>0</v>
      </c>
      <c r="J563" s="68" t="s">
        <v>1118</v>
      </c>
      <c r="K563" s="36" t="n">
        <v>30000</v>
      </c>
      <c r="L563" s="36" t="n">
        <v>66500</v>
      </c>
      <c r="M563" s="37" t="n">
        <v>4750</v>
      </c>
      <c r="N563" s="30" t="n">
        <v>9500</v>
      </c>
      <c r="O563" s="30" t="n">
        <v>66500</v>
      </c>
      <c r="P563" s="31" t="n">
        <v>0</v>
      </c>
      <c r="Q563" s="302" t="n">
        <v>45579</v>
      </c>
    </row>
    <row r="564" customFormat="false" ht="26.1" hidden="true" customHeight="false" outlineLevel="0" collapsed="false">
      <c r="A564" s="332" t="n">
        <v>2808</v>
      </c>
      <c r="B564" s="34" t="s">
        <v>758</v>
      </c>
      <c r="C564" s="34"/>
      <c r="D564" s="44"/>
      <c r="E564" s="25" t="n">
        <v>45549</v>
      </c>
      <c r="F564" s="25" t="n">
        <v>45576</v>
      </c>
      <c r="G564" s="72" t="n">
        <v>20</v>
      </c>
      <c r="H564" s="320" t="e">
        <f aca="false">#VALUE!</f>
        <v>#VALUE!</v>
      </c>
      <c r="I564" s="320" t="e">
        <f aca="false">#VALUE!</f>
        <v>#VALUE!</v>
      </c>
      <c r="J564" s="52" t="s">
        <v>580</v>
      </c>
      <c r="K564" s="36" t="n">
        <v>20000</v>
      </c>
      <c r="L564" s="36" t="n">
        <v>30000</v>
      </c>
      <c r="M564" s="29" t="s">
        <v>214</v>
      </c>
      <c r="N564" s="30" t="n">
        <v>30000</v>
      </c>
      <c r="O564" s="30" t="n">
        <v>30000</v>
      </c>
      <c r="P564" s="31" t="n">
        <v>0</v>
      </c>
      <c r="Q564" s="302" t="n">
        <v>45579</v>
      </c>
    </row>
    <row r="565" customFormat="false" ht="17.9" hidden="true" customHeight="false" outlineLevel="0" collapsed="false">
      <c r="A565" s="332" t="n">
        <v>2817</v>
      </c>
      <c r="B565" s="34" t="s">
        <v>984</v>
      </c>
      <c r="C565" s="34"/>
      <c r="D565" s="44"/>
      <c r="E565" s="25" t="n">
        <v>45556</v>
      </c>
      <c r="F565" s="25" t="n">
        <v>45583</v>
      </c>
      <c r="G565" s="72" t="n">
        <v>20</v>
      </c>
      <c r="H565" s="320" t="e">
        <f aca="false">#DIV/0!</f>
        <v>#DIV/0!</v>
      </c>
      <c r="I565" s="320" t="e">
        <f aca="false">#DIV/0!</f>
        <v>#DIV/0!</v>
      </c>
      <c r="J565" s="52" t="s">
        <v>1114</v>
      </c>
      <c r="K565" s="36" t="n">
        <v>15000</v>
      </c>
      <c r="L565" s="36" t="n">
        <v>22500</v>
      </c>
      <c r="M565" s="29"/>
      <c r="N565" s="30" t="n">
        <v>17000</v>
      </c>
      <c r="O565" s="30" t="n">
        <v>22500</v>
      </c>
      <c r="P565" s="31" t="n">
        <v>0</v>
      </c>
      <c r="Q565" s="302" t="n">
        <v>45579</v>
      </c>
    </row>
    <row r="566" customFormat="false" ht="17.9" hidden="true" customHeight="false" outlineLevel="0" collapsed="false">
      <c r="A566" s="332" t="n">
        <v>2752</v>
      </c>
      <c r="B566" s="34" t="s">
        <v>599</v>
      </c>
      <c r="C566" s="34"/>
      <c r="D566" s="44"/>
      <c r="E566" s="25" t="n">
        <v>45514</v>
      </c>
      <c r="F566" s="25" t="n">
        <v>45611</v>
      </c>
      <c r="G566" s="72" t="n">
        <v>70</v>
      </c>
      <c r="H566" s="320" t="n">
        <v>70</v>
      </c>
      <c r="I566" s="320" t="n">
        <v>0</v>
      </c>
      <c r="J566" s="68" t="s">
        <v>1119</v>
      </c>
      <c r="K566" s="31" t="n">
        <v>30000</v>
      </c>
      <c r="L566" s="31" t="n">
        <v>66500</v>
      </c>
      <c r="M566" s="37" t="n">
        <v>4750</v>
      </c>
      <c r="N566" s="30" t="n">
        <v>29500</v>
      </c>
      <c r="O566" s="30" t="n">
        <v>66500</v>
      </c>
      <c r="P566" s="36" t="n">
        <v>0</v>
      </c>
      <c r="Q566" s="302" t="n">
        <v>45579</v>
      </c>
    </row>
    <row r="567" customFormat="false" ht="42.5" hidden="true" customHeight="false" outlineLevel="0" collapsed="false">
      <c r="A567" s="332" t="n">
        <v>2579</v>
      </c>
      <c r="B567" s="34" t="s">
        <v>313</v>
      </c>
      <c r="C567" s="26" t="s">
        <v>314</v>
      </c>
      <c r="D567" s="44"/>
      <c r="E567" s="25" t="n">
        <v>45399</v>
      </c>
      <c r="F567" s="25" t="n">
        <v>45595</v>
      </c>
      <c r="G567" s="320" t="n">
        <v>140</v>
      </c>
      <c r="H567" s="320" t="n">
        <v>0</v>
      </c>
      <c r="I567" s="320" t="n">
        <v>0</v>
      </c>
      <c r="J567" s="52" t="s">
        <v>1120</v>
      </c>
      <c r="K567" s="36" t="n">
        <v>200000</v>
      </c>
      <c r="L567" s="36" t="n">
        <v>560000</v>
      </c>
      <c r="M567" s="29" t="n">
        <v>20000</v>
      </c>
      <c r="N567" s="30" t="n">
        <v>80000</v>
      </c>
      <c r="O567" s="30" t="n">
        <v>80000</v>
      </c>
      <c r="P567" s="30" t="n">
        <v>560000</v>
      </c>
      <c r="Q567" s="302" t="n">
        <v>45586</v>
      </c>
    </row>
    <row r="568" customFormat="false" ht="34.3" hidden="true" customHeight="false" outlineLevel="0" collapsed="false">
      <c r="A568" s="332" t="n">
        <v>2840</v>
      </c>
      <c r="B568" s="34" t="s">
        <v>503</v>
      </c>
      <c r="C568" s="34" t="s">
        <v>241</v>
      </c>
      <c r="D568" s="44"/>
      <c r="E568" s="25" t="n">
        <v>45560</v>
      </c>
      <c r="F568" s="25" t="n">
        <v>45660</v>
      </c>
      <c r="G568" s="320" t="e">
        <f aca="false">#DIV/0!</f>
        <v>#DIV/0!</v>
      </c>
      <c r="H568" s="320" t="e">
        <f aca="false">#DIV/0!</f>
        <v>#DIV/0!</v>
      </c>
      <c r="I568" s="320" t="n">
        <v>0</v>
      </c>
      <c r="J568" s="52" t="s">
        <v>538</v>
      </c>
      <c r="K568" s="36" t="n">
        <v>80000</v>
      </c>
      <c r="L568" s="36" t="n">
        <v>104000</v>
      </c>
      <c r="M568" s="37"/>
      <c r="N568" s="41" t="n">
        <v>104000</v>
      </c>
      <c r="O568" s="30" t="n">
        <v>104000</v>
      </c>
      <c r="P568" s="30" t="n">
        <v>104000</v>
      </c>
      <c r="Q568" s="302" t="n">
        <v>45586</v>
      </c>
    </row>
    <row r="569" customFormat="false" ht="42" hidden="true" customHeight="false" outlineLevel="0" collapsed="false">
      <c r="A569" s="332" t="n">
        <v>2726</v>
      </c>
      <c r="B569" s="34" t="s">
        <v>260</v>
      </c>
      <c r="C569" s="34" t="s">
        <v>261</v>
      </c>
      <c r="D569" s="44"/>
      <c r="E569" s="25" t="n">
        <v>45497</v>
      </c>
      <c r="F569" s="25" t="n">
        <v>45581</v>
      </c>
      <c r="G569" s="320" t="n">
        <v>60.0010000166669</v>
      </c>
      <c r="H569" s="320" t="n">
        <v>-0.00100001666694283</v>
      </c>
      <c r="I569" s="320" t="n">
        <v>0</v>
      </c>
      <c r="J569" s="52" t="s">
        <v>1121</v>
      </c>
      <c r="K569" s="36" t="n">
        <v>1000000</v>
      </c>
      <c r="L569" s="36" t="n">
        <v>1799970</v>
      </c>
      <c r="M569" s="37" t="n">
        <v>149997.5</v>
      </c>
      <c r="N569" s="37" t="n">
        <v>149997.5</v>
      </c>
      <c r="O569" s="30" t="n">
        <v>300000</v>
      </c>
      <c r="P569" s="30" t="n">
        <v>1800000</v>
      </c>
      <c r="Q569" s="302" t="n">
        <v>45593</v>
      </c>
    </row>
    <row r="570" customFormat="false" ht="17.9" hidden="true" customHeight="false" outlineLevel="0" collapsed="false">
      <c r="A570" s="332" t="n">
        <v>2683</v>
      </c>
      <c r="B570" s="34" t="s">
        <v>369</v>
      </c>
      <c r="C570" s="34"/>
      <c r="D570" s="44"/>
      <c r="E570" s="25" t="n">
        <v>45467</v>
      </c>
      <c r="F570" s="25" t="n">
        <v>45579</v>
      </c>
      <c r="G570" s="320" t="n">
        <v>80</v>
      </c>
      <c r="H570" s="320" t="n">
        <v>0</v>
      </c>
      <c r="I570" s="320" t="n">
        <v>0</v>
      </c>
      <c r="J570" s="52" t="s">
        <v>1122</v>
      </c>
      <c r="K570" s="328" t="n">
        <v>100000</v>
      </c>
      <c r="L570" s="36" t="n">
        <v>216000</v>
      </c>
      <c r="M570" s="29" t="n">
        <v>13500</v>
      </c>
      <c r="N570" s="29" t="n">
        <v>13500</v>
      </c>
      <c r="O570" s="30" t="n">
        <v>54000</v>
      </c>
      <c r="P570" s="30" t="n">
        <v>216000</v>
      </c>
      <c r="Q570" s="302" t="n">
        <v>45593</v>
      </c>
    </row>
    <row r="571" customFormat="false" ht="26.1" hidden="true" customHeight="false" outlineLevel="0" collapsed="false">
      <c r="A571" s="332" t="n">
        <v>2730</v>
      </c>
      <c r="B571" s="34" t="s">
        <v>440</v>
      </c>
      <c r="C571" s="34" t="s">
        <v>441</v>
      </c>
      <c r="D571" s="44"/>
      <c r="E571" s="25" t="n">
        <v>45499</v>
      </c>
      <c r="F571" s="25" t="n">
        <v>45601</v>
      </c>
      <c r="G571" s="320" t="n">
        <v>72</v>
      </c>
      <c r="H571" s="320" t="n">
        <v>0</v>
      </c>
      <c r="I571" s="320" t="n">
        <v>0</v>
      </c>
      <c r="J571" s="34" t="s">
        <v>1123</v>
      </c>
      <c r="K571" s="31" t="n">
        <v>80000</v>
      </c>
      <c r="L571" s="31" t="n">
        <v>172800</v>
      </c>
      <c r="M571" s="37" t="n">
        <v>12000</v>
      </c>
      <c r="N571" s="37" t="n">
        <v>12000</v>
      </c>
      <c r="O571" s="30" t="n">
        <v>16800</v>
      </c>
      <c r="P571" s="30" t="n">
        <v>172800</v>
      </c>
      <c r="Q571" s="302" t="n">
        <v>45593</v>
      </c>
    </row>
    <row r="572" customFormat="false" ht="26.1" hidden="true" customHeight="false" outlineLevel="0" collapsed="false">
      <c r="A572" s="332" t="n">
        <v>2608</v>
      </c>
      <c r="B572" s="34" t="s">
        <v>251</v>
      </c>
      <c r="C572" s="34" t="s">
        <v>252</v>
      </c>
      <c r="D572" s="44"/>
      <c r="E572" s="25" t="n">
        <v>45415</v>
      </c>
      <c r="F572" s="25" t="n">
        <v>45583</v>
      </c>
      <c r="G572" s="320" t="n">
        <v>120</v>
      </c>
      <c r="H572" s="320" t="n">
        <v>0</v>
      </c>
      <c r="I572" s="320" t="n">
        <v>0</v>
      </c>
      <c r="J572" s="52" t="s">
        <v>1124</v>
      </c>
      <c r="K572" s="36" t="n">
        <v>60000</v>
      </c>
      <c r="L572" s="36" t="n">
        <v>129600</v>
      </c>
      <c r="M572" s="37" t="n">
        <v>5400</v>
      </c>
      <c r="N572" s="37" t="n">
        <v>5400</v>
      </c>
      <c r="O572" s="30" t="n">
        <v>3420</v>
      </c>
      <c r="P572" s="30" t="n">
        <v>129600</v>
      </c>
      <c r="Q572" s="302" t="n">
        <v>45600</v>
      </c>
    </row>
    <row r="573" customFormat="false" ht="26.1" hidden="true" customHeight="false" outlineLevel="0" collapsed="false">
      <c r="A573" s="332" t="n">
        <v>2618</v>
      </c>
      <c r="B573" s="34" t="s">
        <v>251</v>
      </c>
      <c r="C573" s="34" t="s">
        <v>252</v>
      </c>
      <c r="D573" s="44"/>
      <c r="E573" s="25" t="n">
        <v>45422</v>
      </c>
      <c r="F573" s="25" t="n">
        <v>45576</v>
      </c>
      <c r="G573" s="320" t="n">
        <v>110</v>
      </c>
      <c r="H573" s="320" t="n">
        <v>0</v>
      </c>
      <c r="I573" s="320" t="n">
        <v>0</v>
      </c>
      <c r="J573" s="52" t="s">
        <v>1125</v>
      </c>
      <c r="K573" s="31" t="n">
        <v>100000</v>
      </c>
      <c r="L573" s="31" t="n">
        <v>264000</v>
      </c>
      <c r="M573" s="37" t="n">
        <v>12000</v>
      </c>
      <c r="N573" s="37" t="n">
        <v>12000</v>
      </c>
      <c r="O573" s="30" t="n">
        <v>44000</v>
      </c>
      <c r="P573" s="30" t="n">
        <v>264000</v>
      </c>
      <c r="Q573" s="302" t="n">
        <v>45600</v>
      </c>
    </row>
    <row r="574" customFormat="false" ht="26.1" hidden="true" customHeight="false" outlineLevel="0" collapsed="false">
      <c r="A574" s="332" t="n">
        <v>2867</v>
      </c>
      <c r="B574" s="34" t="s">
        <v>251</v>
      </c>
      <c r="C574" s="34" t="s">
        <v>252</v>
      </c>
      <c r="D574" s="44"/>
      <c r="E574" s="25" t="n">
        <v>45583</v>
      </c>
      <c r="F574" s="25" t="n">
        <v>45604</v>
      </c>
      <c r="G574" s="320" t="e">
        <f aca="false">#DIV/0!</f>
        <v>#DIV/0!</v>
      </c>
      <c r="H574" s="320" t="e">
        <f aca="false">#DIV/0!</f>
        <v>#DIV/0!</v>
      </c>
      <c r="I574" s="320" t="n">
        <v>0</v>
      </c>
      <c r="J574" s="52" t="s">
        <v>538</v>
      </c>
      <c r="K574" s="31" t="n">
        <v>20000</v>
      </c>
      <c r="L574" s="31" t="n">
        <v>32000</v>
      </c>
      <c r="M574" s="37"/>
      <c r="N574" s="37"/>
      <c r="O574" s="30" t="n">
        <v>32000</v>
      </c>
      <c r="P574" s="30" t="n">
        <v>32000</v>
      </c>
      <c r="Q574" s="302" t="n">
        <v>45600</v>
      </c>
    </row>
    <row r="575" customFormat="false" ht="17.9" hidden="true" customHeight="false" outlineLevel="0" collapsed="false">
      <c r="A575" s="332" t="n">
        <v>2722</v>
      </c>
      <c r="B575" s="34" t="s">
        <v>323</v>
      </c>
      <c r="C575" s="34" t="s">
        <v>324</v>
      </c>
      <c r="D575" s="44"/>
      <c r="E575" s="25" t="n">
        <v>45496</v>
      </c>
      <c r="F575" s="25" t="n">
        <v>45596</v>
      </c>
      <c r="G575" s="320" t="n">
        <v>72</v>
      </c>
      <c r="H575" s="320" t="n">
        <v>0</v>
      </c>
      <c r="I575" s="320" t="n">
        <v>0</v>
      </c>
      <c r="J575" s="34" t="s">
        <v>1040</v>
      </c>
      <c r="K575" s="31" t="n">
        <v>15000</v>
      </c>
      <c r="L575" s="31" t="n">
        <v>32400</v>
      </c>
      <c r="M575" s="37" t="n">
        <v>2250</v>
      </c>
      <c r="N575" s="37" t="n">
        <v>2250</v>
      </c>
      <c r="O575" s="30" t="n">
        <v>8100</v>
      </c>
      <c r="P575" s="30" t="n">
        <v>32400</v>
      </c>
      <c r="Q575" s="302" t="n">
        <v>45600</v>
      </c>
    </row>
    <row r="576" customFormat="false" ht="26.1" hidden="true" customHeight="false" outlineLevel="0" collapsed="false">
      <c r="A576" s="332" t="n">
        <v>2286</v>
      </c>
      <c r="B576" s="34" t="s">
        <v>345</v>
      </c>
      <c r="C576" s="34" t="s">
        <v>346</v>
      </c>
      <c r="D576" s="44"/>
      <c r="E576" s="25" t="n">
        <v>45208</v>
      </c>
      <c r="F576" s="25" t="n">
        <v>45308</v>
      </c>
      <c r="G576" s="320" t="n">
        <v>78.6666666666667</v>
      </c>
      <c r="H576" s="320" t="n">
        <v>-6.66666666666667</v>
      </c>
      <c r="I576" s="320" t="n">
        <v>0</v>
      </c>
      <c r="J576" s="68" t="s">
        <v>381</v>
      </c>
      <c r="K576" s="36" t="n">
        <v>50000</v>
      </c>
      <c r="L576" s="36" t="n">
        <v>108000</v>
      </c>
      <c r="M576" s="37" t="n">
        <v>7500</v>
      </c>
      <c r="N576" s="37" t="n">
        <v>7500</v>
      </c>
      <c r="O576" s="30" t="n">
        <v>15000</v>
      </c>
      <c r="P576" s="30" t="n">
        <v>118000</v>
      </c>
      <c r="Q576" s="302" t="n">
        <v>45600</v>
      </c>
    </row>
    <row r="577" customFormat="false" ht="26.1" hidden="true" customHeight="false" outlineLevel="0" collapsed="false">
      <c r="A577" s="332" t="n">
        <v>2502</v>
      </c>
      <c r="B577" s="34" t="s">
        <v>345</v>
      </c>
      <c r="C577" s="34" t="s">
        <v>346</v>
      </c>
      <c r="D577" s="44"/>
      <c r="E577" s="25" t="n">
        <v>45350</v>
      </c>
      <c r="F577" s="25" t="n">
        <v>45450</v>
      </c>
      <c r="G577" s="320" t="n">
        <v>81.8888888888889</v>
      </c>
      <c r="H577" s="320" t="n">
        <v>-9.88888888888889</v>
      </c>
      <c r="I577" s="320" t="n">
        <v>0</v>
      </c>
      <c r="J577" s="68" t="s">
        <v>788</v>
      </c>
      <c r="K577" s="36" t="n">
        <v>15000</v>
      </c>
      <c r="L577" s="36" t="n">
        <v>32400</v>
      </c>
      <c r="M577" s="37" t="n">
        <v>2250</v>
      </c>
      <c r="N577" s="37" t="n">
        <v>2250</v>
      </c>
      <c r="O577" s="30" t="n">
        <v>9300</v>
      </c>
      <c r="P577" s="30" t="n">
        <v>36850</v>
      </c>
      <c r="Q577" s="302" t="n">
        <v>45600</v>
      </c>
    </row>
    <row r="578" customFormat="false" ht="26.1" hidden="true" customHeight="false" outlineLevel="0" collapsed="false">
      <c r="A578" s="332" t="n">
        <v>2648</v>
      </c>
      <c r="B578" s="34" t="s">
        <v>345</v>
      </c>
      <c r="C578" s="34" t="s">
        <v>346</v>
      </c>
      <c r="D578" s="44"/>
      <c r="E578" s="25" t="n">
        <v>45442</v>
      </c>
      <c r="F578" s="25" t="n">
        <v>45544</v>
      </c>
      <c r="G578" s="320" t="n">
        <v>75.3333333333333</v>
      </c>
      <c r="H578" s="320" t="n">
        <v>-3.33333333333333</v>
      </c>
      <c r="I578" s="320" t="n">
        <v>0</v>
      </c>
      <c r="J578" s="68" t="s">
        <v>774</v>
      </c>
      <c r="K578" s="36" t="n">
        <v>25000</v>
      </c>
      <c r="L578" s="36" t="n">
        <v>54000</v>
      </c>
      <c r="M578" s="29" t="n">
        <v>3750</v>
      </c>
      <c r="N578" s="29" t="n">
        <v>3750</v>
      </c>
      <c r="O578" s="30" t="n">
        <v>7000</v>
      </c>
      <c r="P578" s="30" t="n">
        <v>56500</v>
      </c>
      <c r="Q578" s="302" t="n">
        <v>45600</v>
      </c>
    </row>
    <row r="579" customFormat="false" ht="34.3" hidden="true" customHeight="false" outlineLevel="0" collapsed="false">
      <c r="A579" s="332" t="n">
        <v>2190</v>
      </c>
      <c r="B579" s="34" t="s">
        <v>476</v>
      </c>
      <c r="C579" s="34" t="s">
        <v>477</v>
      </c>
      <c r="D579" s="44"/>
      <c r="E579" s="25" t="n">
        <v>45139</v>
      </c>
      <c r="F579" s="25" t="n">
        <v>45614</v>
      </c>
      <c r="G579" s="320" t="n">
        <v>310</v>
      </c>
      <c r="H579" s="320" t="n">
        <v>29</v>
      </c>
      <c r="I579" s="320" t="n">
        <v>0</v>
      </c>
      <c r="J579" s="68" t="s">
        <v>1126</v>
      </c>
      <c r="K579" s="31" t="n">
        <v>200000</v>
      </c>
      <c r="L579" s="31" t="n">
        <v>591000</v>
      </c>
      <c r="M579" s="29" t="n">
        <v>9850</v>
      </c>
      <c r="N579" s="29" t="n">
        <v>9850</v>
      </c>
      <c r="O579" s="30" t="n">
        <v>39400</v>
      </c>
      <c r="P579" s="30" t="n">
        <v>610700</v>
      </c>
      <c r="Q579" s="302" t="n">
        <v>45600</v>
      </c>
    </row>
    <row r="580" customFormat="false" ht="26.1" hidden="true" customHeight="false" outlineLevel="0" collapsed="false">
      <c r="A580" s="332" t="n">
        <v>2636</v>
      </c>
      <c r="B580" s="34" t="s">
        <v>494</v>
      </c>
      <c r="C580" s="34" t="s">
        <v>495</v>
      </c>
      <c r="D580" s="44"/>
      <c r="E580" s="25" t="n">
        <v>45437</v>
      </c>
      <c r="F580" s="25" t="n">
        <v>45604</v>
      </c>
      <c r="G580" s="320" t="n">
        <v>120.012890750886</v>
      </c>
      <c r="H580" s="320" t="n">
        <v>-0.0128907508862426</v>
      </c>
      <c r="I580" s="320" t="n">
        <v>0</v>
      </c>
      <c r="J580" s="68" t="s">
        <v>1127</v>
      </c>
      <c r="K580" s="36" t="n">
        <v>141000</v>
      </c>
      <c r="L580" s="36" t="n">
        <v>372360</v>
      </c>
      <c r="M580" s="37" t="n">
        <v>15515</v>
      </c>
      <c r="N580" s="37" t="n">
        <v>15515</v>
      </c>
      <c r="O580" s="30" t="n">
        <v>62000</v>
      </c>
      <c r="P580" s="30" t="n">
        <v>372400</v>
      </c>
      <c r="Q580" s="302" t="n">
        <v>45600</v>
      </c>
    </row>
    <row r="581" customFormat="false" ht="34.3" hidden="true" customHeight="false" outlineLevel="0" collapsed="false">
      <c r="A581" s="332" t="n">
        <v>2654</v>
      </c>
      <c r="B581" s="34" t="s">
        <v>503</v>
      </c>
      <c r="C581" s="34" t="s">
        <v>241</v>
      </c>
      <c r="D581" s="44"/>
      <c r="E581" s="25" t="n">
        <v>45450</v>
      </c>
      <c r="F581" s="25" t="n">
        <v>45604</v>
      </c>
      <c r="G581" s="320" t="n">
        <v>115</v>
      </c>
      <c r="H581" s="320" t="n">
        <v>-5</v>
      </c>
      <c r="I581" s="320" t="n">
        <v>0</v>
      </c>
      <c r="J581" s="34" t="s">
        <v>362</v>
      </c>
      <c r="K581" s="36" t="n">
        <v>100000</v>
      </c>
      <c r="L581" s="36" t="n">
        <v>264000</v>
      </c>
      <c r="M581" s="37" t="n">
        <v>12000</v>
      </c>
      <c r="N581" s="37" t="n">
        <v>12000</v>
      </c>
      <c r="O581" s="30" t="n">
        <v>12000</v>
      </c>
      <c r="P581" s="30" t="n">
        <v>276000</v>
      </c>
      <c r="Q581" s="302" t="n">
        <v>45600</v>
      </c>
    </row>
    <row r="582" customFormat="false" ht="34.3" hidden="true" customHeight="false" outlineLevel="0" collapsed="false">
      <c r="A582" s="332" t="n">
        <v>2594</v>
      </c>
      <c r="B582" s="34" t="s">
        <v>507</v>
      </c>
      <c r="C582" s="34" t="s">
        <v>508</v>
      </c>
      <c r="D582" s="44"/>
      <c r="E582" s="25" t="n">
        <v>45406</v>
      </c>
      <c r="F582" s="25" t="n">
        <v>45602</v>
      </c>
      <c r="G582" s="320" t="n">
        <v>140</v>
      </c>
      <c r="H582" s="320" t="n">
        <v>0</v>
      </c>
      <c r="I582" s="320" t="n">
        <v>0</v>
      </c>
      <c r="J582" s="52" t="s">
        <v>757</v>
      </c>
      <c r="K582" s="36" t="n">
        <v>70000</v>
      </c>
      <c r="L582" s="36" t="n">
        <v>184800</v>
      </c>
      <c r="M582" s="29" t="n">
        <v>6600</v>
      </c>
      <c r="N582" s="29" t="n">
        <v>6600</v>
      </c>
      <c r="O582" s="30" t="n">
        <v>26400</v>
      </c>
      <c r="P582" s="30" t="n">
        <v>184800</v>
      </c>
      <c r="Q582" s="302" t="n">
        <v>45600</v>
      </c>
    </row>
    <row r="583" customFormat="false" ht="34.3" hidden="true" customHeight="false" outlineLevel="0" collapsed="false">
      <c r="A583" s="332" t="n">
        <v>2605</v>
      </c>
      <c r="B583" s="34" t="s">
        <v>507</v>
      </c>
      <c r="C583" s="34" t="s">
        <v>508</v>
      </c>
      <c r="D583" s="44"/>
      <c r="E583" s="25" t="n">
        <v>45415</v>
      </c>
      <c r="F583" s="25" t="n">
        <v>45611</v>
      </c>
      <c r="G583" s="320" t="n">
        <v>140</v>
      </c>
      <c r="H583" s="320" t="n">
        <v>0</v>
      </c>
      <c r="I583" s="320" t="n">
        <v>0</v>
      </c>
      <c r="J583" s="52" t="s">
        <v>1128</v>
      </c>
      <c r="K583" s="36" t="n">
        <v>30000</v>
      </c>
      <c r="L583" s="36" t="n">
        <v>79205</v>
      </c>
      <c r="M583" s="37" t="n">
        <v>2828.75</v>
      </c>
      <c r="N583" s="37" t="n">
        <v>2828.75</v>
      </c>
      <c r="O583" s="30" t="n">
        <v>11315</v>
      </c>
      <c r="P583" s="30" t="n">
        <v>79205</v>
      </c>
      <c r="Q583" s="302" t="n">
        <v>45600</v>
      </c>
    </row>
    <row r="584" customFormat="false" ht="34.3" hidden="true" customHeight="false" outlineLevel="0" collapsed="false">
      <c r="A584" s="332" t="n">
        <v>2578</v>
      </c>
      <c r="B584" s="34" t="s">
        <v>779</v>
      </c>
      <c r="C584" s="34"/>
      <c r="D584" s="44"/>
      <c r="E584" s="25" t="n">
        <v>45399</v>
      </c>
      <c r="F584" s="25" t="n">
        <v>45595</v>
      </c>
      <c r="G584" s="320" t="n">
        <v>140</v>
      </c>
      <c r="H584" s="320" t="n">
        <v>0</v>
      </c>
      <c r="I584" s="320" t="n">
        <v>0</v>
      </c>
      <c r="J584" s="52" t="s">
        <v>1129</v>
      </c>
      <c r="K584" s="36" t="n">
        <v>60000</v>
      </c>
      <c r="L584" s="36" t="n">
        <v>158410</v>
      </c>
      <c r="M584" s="29" t="n">
        <v>5657.5</v>
      </c>
      <c r="N584" s="29" t="n">
        <v>5657.5</v>
      </c>
      <c r="O584" s="30" t="n">
        <v>22630</v>
      </c>
      <c r="P584" s="30" t="n">
        <v>158410</v>
      </c>
      <c r="Q584" s="302" t="n">
        <v>45600</v>
      </c>
    </row>
    <row r="585" customFormat="false" ht="26.1" hidden="true" customHeight="false" outlineLevel="0" collapsed="false">
      <c r="A585" s="332" t="n">
        <v>2740</v>
      </c>
      <c r="B585" s="34" t="s">
        <v>519</v>
      </c>
      <c r="C585" s="34" t="s">
        <v>520</v>
      </c>
      <c r="D585" s="44"/>
      <c r="E585" s="25" t="n">
        <v>45506</v>
      </c>
      <c r="F585" s="25" t="n">
        <v>45608</v>
      </c>
      <c r="G585" s="320" t="n">
        <v>72</v>
      </c>
      <c r="H585" s="320" t="n">
        <v>0</v>
      </c>
      <c r="I585" s="320" t="n">
        <v>0</v>
      </c>
      <c r="J585" s="34" t="s">
        <v>381</v>
      </c>
      <c r="K585" s="31" t="n">
        <v>50000</v>
      </c>
      <c r="L585" s="31" t="n">
        <v>108000</v>
      </c>
      <c r="M585" s="29" t="n">
        <v>7500</v>
      </c>
      <c r="N585" s="29" t="n">
        <v>7500</v>
      </c>
      <c r="O585" s="30" t="n">
        <v>21500</v>
      </c>
      <c r="P585" s="30" t="n">
        <v>108000</v>
      </c>
      <c r="Q585" s="302" t="n">
        <v>45600</v>
      </c>
    </row>
    <row r="586" customFormat="false" ht="26.1" hidden="true" customHeight="false" outlineLevel="0" collapsed="false">
      <c r="A586" s="332" t="n">
        <v>2521</v>
      </c>
      <c r="B586" s="34" t="s">
        <v>950</v>
      </c>
      <c r="C586" s="34" t="s">
        <v>951</v>
      </c>
      <c r="D586" s="44"/>
      <c r="E586" s="25" t="n">
        <v>45364</v>
      </c>
      <c r="F586" s="25" t="n">
        <v>45476</v>
      </c>
      <c r="G586" s="320" t="n">
        <v>81.8518518518519</v>
      </c>
      <c r="H586" s="320" t="n">
        <v>-1.85185185185185</v>
      </c>
      <c r="I586" s="320" t="n">
        <v>0</v>
      </c>
      <c r="J586" s="52" t="s">
        <v>606</v>
      </c>
      <c r="K586" s="36" t="n">
        <v>100000</v>
      </c>
      <c r="L586" s="36" t="n">
        <v>216000</v>
      </c>
      <c r="M586" s="29" t="n">
        <v>13500</v>
      </c>
      <c r="N586" s="29" t="n">
        <v>13500</v>
      </c>
      <c r="O586" s="30" t="n">
        <v>13000</v>
      </c>
      <c r="P586" s="30" t="n">
        <v>221000</v>
      </c>
      <c r="Q586" s="302" t="n">
        <v>45600</v>
      </c>
    </row>
    <row r="587" customFormat="false" ht="17.9" hidden="true" customHeight="false" outlineLevel="0" collapsed="false">
      <c r="A587" s="332" t="n">
        <v>2692</v>
      </c>
      <c r="B587" s="34" t="s">
        <v>634</v>
      </c>
      <c r="C587" s="34" t="s">
        <v>1130</v>
      </c>
      <c r="D587" s="44"/>
      <c r="E587" s="25" t="n">
        <v>45476</v>
      </c>
      <c r="F587" s="25" t="n">
        <v>45616</v>
      </c>
      <c r="G587" s="320" t="n">
        <v>100</v>
      </c>
      <c r="H587" s="320" t="n">
        <v>0</v>
      </c>
      <c r="I587" s="320" t="n">
        <v>0</v>
      </c>
      <c r="J587" s="52" t="s">
        <v>1131</v>
      </c>
      <c r="K587" s="36" t="n">
        <v>250000</v>
      </c>
      <c r="L587" s="36" t="n">
        <v>540000</v>
      </c>
      <c r="M587" s="29" t="n">
        <v>27000</v>
      </c>
      <c r="N587" s="29" t="n">
        <v>27000</v>
      </c>
      <c r="O587" s="30" t="n">
        <v>108000</v>
      </c>
      <c r="P587" s="30" t="n">
        <v>540000</v>
      </c>
      <c r="Q587" s="302" t="n">
        <v>45600</v>
      </c>
    </row>
    <row r="588" customFormat="false" ht="17.9" hidden="true" customHeight="false" outlineLevel="0" collapsed="false">
      <c r="A588" s="332" t="n">
        <v>2802</v>
      </c>
      <c r="B588" s="34" t="s">
        <v>634</v>
      </c>
      <c r="C588" s="34" t="s">
        <v>1130</v>
      </c>
      <c r="D588" s="44"/>
      <c r="E588" s="25" t="n">
        <v>45545</v>
      </c>
      <c r="F588" s="25" t="n">
        <v>45657</v>
      </c>
      <c r="G588" s="320" t="n">
        <v>80</v>
      </c>
      <c r="H588" s="320" t="n">
        <v>0</v>
      </c>
      <c r="I588" s="320" t="n">
        <v>0</v>
      </c>
      <c r="J588" s="52" t="s">
        <v>1132</v>
      </c>
      <c r="K588" s="31" t="n">
        <v>200000</v>
      </c>
      <c r="L588" s="31" t="n">
        <v>432000</v>
      </c>
      <c r="M588" s="37" t="n">
        <v>27000</v>
      </c>
      <c r="N588" s="29" t="n">
        <v>27000</v>
      </c>
      <c r="O588" s="30" t="n">
        <v>324000</v>
      </c>
      <c r="P588" s="41" t="n">
        <v>432000</v>
      </c>
      <c r="Q588" s="302" t="n">
        <v>45600</v>
      </c>
    </row>
    <row r="589" customFormat="false" ht="26.1" hidden="true" customHeight="false" outlineLevel="0" collapsed="false">
      <c r="A589" s="332" t="n">
        <v>2721</v>
      </c>
      <c r="B589" s="34" t="s">
        <v>249</v>
      </c>
      <c r="C589" s="34"/>
      <c r="D589" s="44"/>
      <c r="E589" s="25" t="n">
        <v>45495</v>
      </c>
      <c r="F589" s="25" t="n">
        <v>45595</v>
      </c>
      <c r="G589" s="320" t="n">
        <v>72</v>
      </c>
      <c r="H589" s="320" t="n">
        <v>0</v>
      </c>
      <c r="I589" s="320" t="n">
        <v>0</v>
      </c>
      <c r="J589" s="34" t="s">
        <v>243</v>
      </c>
      <c r="K589" s="36" t="n">
        <v>150000</v>
      </c>
      <c r="L589" s="36" t="n">
        <v>324000</v>
      </c>
      <c r="M589" s="29" t="n">
        <v>22500</v>
      </c>
      <c r="N589" s="30" t="n">
        <v>9000</v>
      </c>
      <c r="O589" s="30" t="n">
        <v>324000</v>
      </c>
      <c r="P589" s="31" t="n">
        <v>0</v>
      </c>
      <c r="Q589" s="302" t="n">
        <v>45607</v>
      </c>
    </row>
    <row r="590" customFormat="false" ht="42.5" hidden="true" customHeight="false" outlineLevel="0" collapsed="false">
      <c r="A590" s="332" t="n">
        <v>2728</v>
      </c>
      <c r="B590" s="34" t="s">
        <v>1052</v>
      </c>
      <c r="C590" s="34" t="s">
        <v>796</v>
      </c>
      <c r="D590" s="44"/>
      <c r="E590" s="25" t="n">
        <v>45498</v>
      </c>
      <c r="F590" s="25" t="n">
        <v>45610</v>
      </c>
      <c r="G590" s="320" t="n">
        <v>80</v>
      </c>
      <c r="H590" s="320" t="n">
        <v>0</v>
      </c>
      <c r="I590" s="320" t="n">
        <v>0</v>
      </c>
      <c r="J590" s="52" t="s">
        <v>390</v>
      </c>
      <c r="K590" s="36" t="n">
        <v>30000</v>
      </c>
      <c r="L590" s="36" t="n">
        <v>64800</v>
      </c>
      <c r="M590" s="37" t="n">
        <v>4050</v>
      </c>
      <c r="N590" s="30" t="n">
        <v>16200</v>
      </c>
      <c r="O590" s="30" t="n">
        <v>64800</v>
      </c>
      <c r="P590" s="31" t="n">
        <v>0</v>
      </c>
      <c r="Q590" s="302" t="n">
        <v>45607</v>
      </c>
    </row>
    <row r="591" customFormat="false" ht="17.9" hidden="true" customHeight="false" outlineLevel="0" collapsed="false">
      <c r="A591" s="332" t="n">
        <v>2878</v>
      </c>
      <c r="B591" s="34" t="s">
        <v>429</v>
      </c>
      <c r="C591" s="34"/>
      <c r="D591" s="44"/>
      <c r="E591" s="25" t="n">
        <v>45588</v>
      </c>
      <c r="F591" s="25" t="n">
        <v>45582</v>
      </c>
      <c r="G591" s="320" t="e">
        <f aca="false">#DIV/0!</f>
        <v>#DIV/0!</v>
      </c>
      <c r="H591" s="320" t="e">
        <f aca="false">#DIV/0!</f>
        <v>#DIV/0!</v>
      </c>
      <c r="I591" s="320" t="n">
        <v>0</v>
      </c>
      <c r="J591" s="52" t="s">
        <v>580</v>
      </c>
      <c r="K591" s="46" t="n">
        <v>100000</v>
      </c>
      <c r="L591" s="36" t="n">
        <v>139000</v>
      </c>
      <c r="M591" s="37"/>
      <c r="N591" s="30" t="n">
        <v>39000</v>
      </c>
      <c r="O591" s="30" t="n">
        <v>139000</v>
      </c>
      <c r="P591" s="31" t="n">
        <v>0</v>
      </c>
      <c r="Q591" s="302" t="n">
        <v>45607</v>
      </c>
    </row>
    <row r="592" customFormat="false" ht="14.25" hidden="true" customHeight="false" outlineLevel="0" collapsed="false">
      <c r="A592" s="332" t="n">
        <v>2857</v>
      </c>
      <c r="B592" s="34" t="s">
        <v>861</v>
      </c>
      <c r="C592" s="34"/>
      <c r="D592" s="44"/>
      <c r="E592" s="25" t="n">
        <v>45579</v>
      </c>
      <c r="F592" s="25" t="n">
        <v>45607</v>
      </c>
      <c r="G592" s="320" t="e">
        <f aca="false">#VALUE!</f>
        <v>#VALUE!</v>
      </c>
      <c r="H592" s="320" t="e">
        <f aca="false">#VALUE!</f>
        <v>#VALUE!</v>
      </c>
      <c r="I592" s="320" t="n">
        <v>0</v>
      </c>
      <c r="J592" s="34" t="s">
        <v>1133</v>
      </c>
      <c r="K592" s="57" t="n">
        <v>20000</v>
      </c>
      <c r="L592" s="36" t="n">
        <v>32000</v>
      </c>
      <c r="M592" s="29" t="s">
        <v>214</v>
      </c>
      <c r="N592" s="30" t="n">
        <v>32000</v>
      </c>
      <c r="O592" s="30" t="n">
        <v>32000</v>
      </c>
      <c r="P592" s="31" t="n">
        <v>0</v>
      </c>
      <c r="Q592" s="302" t="n">
        <v>45607</v>
      </c>
    </row>
    <row r="593" customFormat="false" ht="14.25" hidden="true" customHeight="false" outlineLevel="0" collapsed="false">
      <c r="A593" s="332" t="n">
        <v>2871</v>
      </c>
      <c r="B593" s="34" t="s">
        <v>861</v>
      </c>
      <c r="C593" s="34"/>
      <c r="D593" s="44"/>
      <c r="E593" s="25" t="n">
        <v>45584</v>
      </c>
      <c r="F593" s="25" t="n">
        <v>45611</v>
      </c>
      <c r="G593" s="320" t="e">
        <f aca="false">#DIV/0!</f>
        <v>#DIV/0!</v>
      </c>
      <c r="H593" s="320" t="e">
        <f aca="false">#DIV/0!</f>
        <v>#DIV/0!</v>
      </c>
      <c r="I593" s="320" t="n">
        <v>0</v>
      </c>
      <c r="J593" s="34" t="s">
        <v>1133</v>
      </c>
      <c r="K593" s="36" t="n">
        <v>30000</v>
      </c>
      <c r="L593" s="36" t="n">
        <v>48000</v>
      </c>
      <c r="M593" s="29"/>
      <c r="N593" s="30" t="n">
        <v>48000</v>
      </c>
      <c r="O593" s="30" t="n">
        <v>48000</v>
      </c>
      <c r="P593" s="31" t="n">
        <v>0</v>
      </c>
      <c r="Q593" s="302" t="n">
        <v>45607</v>
      </c>
    </row>
    <row r="594" customFormat="false" ht="42" hidden="true" customHeight="false" outlineLevel="0" collapsed="false">
      <c r="A594" s="332" t="n">
        <v>2662</v>
      </c>
      <c r="B594" s="34" t="s">
        <v>885</v>
      </c>
      <c r="C594" s="34" t="s">
        <v>886</v>
      </c>
      <c r="D594" s="44"/>
      <c r="E594" s="25" t="n">
        <v>45454</v>
      </c>
      <c r="F594" s="25" t="n">
        <v>45608</v>
      </c>
      <c r="G594" s="320" t="n">
        <v>110</v>
      </c>
      <c r="H594" s="320" t="n">
        <v>0</v>
      </c>
      <c r="I594" s="320" t="n">
        <v>0</v>
      </c>
      <c r="J594" s="34" t="s">
        <v>446</v>
      </c>
      <c r="K594" s="31" t="n">
        <v>300000</v>
      </c>
      <c r="L594" s="31" t="n">
        <v>792000</v>
      </c>
      <c r="M594" s="29" t="n">
        <v>36000</v>
      </c>
      <c r="N594" s="30" t="n">
        <v>36000</v>
      </c>
      <c r="O594" s="30" t="n">
        <v>792000</v>
      </c>
      <c r="P594" s="31" t="n">
        <v>0</v>
      </c>
      <c r="Q594" s="302" t="n">
        <v>45607</v>
      </c>
    </row>
    <row r="595" customFormat="false" ht="26.1" hidden="true" customHeight="false" outlineLevel="0" collapsed="false">
      <c r="A595" s="332" t="n">
        <v>2820</v>
      </c>
      <c r="B595" s="34" t="s">
        <v>758</v>
      </c>
      <c r="C595" s="34"/>
      <c r="D595" s="44"/>
      <c r="E595" s="25" t="n">
        <v>45558</v>
      </c>
      <c r="F595" s="25" t="n">
        <v>45586</v>
      </c>
      <c r="G595" s="320" t="e">
        <f aca="false">#DIV/0!</f>
        <v>#DIV/0!</v>
      </c>
      <c r="H595" s="320" t="e">
        <f aca="false">#DIV/0!</f>
        <v>#DIV/0!</v>
      </c>
      <c r="I595" s="320" t="n">
        <v>0</v>
      </c>
      <c r="J595" s="52" t="s">
        <v>580</v>
      </c>
      <c r="K595" s="36" t="n">
        <v>20000</v>
      </c>
      <c r="L595" s="36" t="n">
        <v>30000</v>
      </c>
      <c r="M595" s="37"/>
      <c r="N595" s="30" t="n">
        <v>5000</v>
      </c>
      <c r="O595" s="30" t="n">
        <v>30000</v>
      </c>
      <c r="P595" s="31" t="n">
        <v>0</v>
      </c>
      <c r="Q595" s="302" t="n">
        <v>45607</v>
      </c>
    </row>
    <row r="596" customFormat="false" ht="17.9" hidden="true" customHeight="false" outlineLevel="0" collapsed="false">
      <c r="A596" s="332" t="n">
        <v>2847</v>
      </c>
      <c r="B596" s="34" t="s">
        <v>984</v>
      </c>
      <c r="C596" s="34"/>
      <c r="D596" s="44"/>
      <c r="E596" s="25" t="n">
        <v>45574</v>
      </c>
      <c r="F596" s="25" t="n">
        <v>45630</v>
      </c>
      <c r="G596" s="320" t="e">
        <f aca="false">#DIV/0!</f>
        <v>#DIV/0!</v>
      </c>
      <c r="H596" s="320" t="e">
        <f aca="false">#DIV/0!</f>
        <v>#DIV/0!</v>
      </c>
      <c r="I596" s="320" t="n">
        <v>0</v>
      </c>
      <c r="J596" s="52" t="s">
        <v>1134</v>
      </c>
      <c r="K596" s="36" t="n">
        <v>20000</v>
      </c>
      <c r="L596" s="36" t="n">
        <v>35000</v>
      </c>
      <c r="M596" s="29"/>
      <c r="N596" s="30" t="n">
        <v>35000</v>
      </c>
      <c r="O596" s="30" t="n">
        <v>38000</v>
      </c>
      <c r="P596" s="31" t="n">
        <v>-3000</v>
      </c>
      <c r="Q596" s="302" t="n">
        <v>45607</v>
      </c>
    </row>
    <row r="597" customFormat="false" ht="17.9" hidden="true" customHeight="false" outlineLevel="0" collapsed="false">
      <c r="A597" s="332" t="n">
        <v>2875</v>
      </c>
      <c r="B597" s="34" t="s">
        <v>984</v>
      </c>
      <c r="C597" s="34"/>
      <c r="D597" s="44"/>
      <c r="E597" s="25" t="n">
        <v>45587</v>
      </c>
      <c r="F597" s="25" t="n">
        <v>45604</v>
      </c>
      <c r="G597" s="320" t="e">
        <f aca="false">#DIV/0!</f>
        <v>#DIV/0!</v>
      </c>
      <c r="H597" s="320" t="e">
        <f aca="false">#DIV/0!</f>
        <v>#DIV/0!</v>
      </c>
      <c r="I597" s="320" t="n">
        <v>0</v>
      </c>
      <c r="J597" s="52" t="s">
        <v>1113</v>
      </c>
      <c r="K597" s="36" t="n">
        <v>20000</v>
      </c>
      <c r="L597" s="36" t="n">
        <v>32000</v>
      </c>
      <c r="M597" s="29"/>
      <c r="N597" s="30" t="n">
        <v>32000</v>
      </c>
      <c r="O597" s="30" t="n">
        <v>32000</v>
      </c>
      <c r="P597" s="31" t="n">
        <v>0</v>
      </c>
      <c r="Q597" s="302" t="n">
        <v>45607</v>
      </c>
    </row>
    <row r="598" customFormat="false" ht="17.9" hidden="true" customHeight="false" outlineLevel="0" collapsed="false">
      <c r="A598" s="332" t="n">
        <v>2883</v>
      </c>
      <c r="B598" s="34" t="s">
        <v>984</v>
      </c>
      <c r="C598" s="34"/>
      <c r="D598" s="44"/>
      <c r="E598" s="25" t="n">
        <v>45590</v>
      </c>
      <c r="F598" s="25" t="n">
        <v>45604</v>
      </c>
      <c r="G598" s="320" t="e">
        <f aca="false">#DIV/0!</f>
        <v>#DIV/0!</v>
      </c>
      <c r="H598" s="320" t="e">
        <f aca="false">#DIV/0!</f>
        <v>#DIV/0!</v>
      </c>
      <c r="I598" s="320" t="n">
        <v>0</v>
      </c>
      <c r="J598" s="52" t="s">
        <v>1113</v>
      </c>
      <c r="K598" s="31" t="n">
        <v>20000</v>
      </c>
      <c r="L598" s="31" t="n">
        <v>32000</v>
      </c>
      <c r="M598" s="37"/>
      <c r="N598" s="30" t="n">
        <v>32000</v>
      </c>
      <c r="O598" s="30" t="n">
        <v>32000</v>
      </c>
      <c r="P598" s="31" t="n">
        <v>0</v>
      </c>
      <c r="Q598" s="302" t="n">
        <v>45607</v>
      </c>
    </row>
    <row r="599" customFormat="false" ht="34.3" hidden="true" customHeight="false" outlineLevel="0" collapsed="false">
      <c r="A599" s="332" t="n">
        <v>2741</v>
      </c>
      <c r="B599" s="34" t="s">
        <v>619</v>
      </c>
      <c r="C599" s="34" t="s">
        <v>620</v>
      </c>
      <c r="D599" s="44"/>
      <c r="E599" s="25" t="n">
        <v>45506</v>
      </c>
      <c r="F599" s="25" t="n">
        <v>45608</v>
      </c>
      <c r="G599" s="320" t="n">
        <v>72</v>
      </c>
      <c r="H599" s="320" t="n">
        <v>0</v>
      </c>
      <c r="I599" s="320" t="n">
        <v>0</v>
      </c>
      <c r="J599" s="34" t="s">
        <v>381</v>
      </c>
      <c r="K599" s="31" t="n">
        <v>50000</v>
      </c>
      <c r="L599" s="31" t="n">
        <v>108000</v>
      </c>
      <c r="M599" s="37" t="n">
        <v>7500</v>
      </c>
      <c r="N599" s="30" t="n">
        <v>10500</v>
      </c>
      <c r="O599" s="30" t="n">
        <v>108000</v>
      </c>
      <c r="P599" s="31" t="n">
        <v>0</v>
      </c>
      <c r="Q599" s="302" t="n">
        <v>45607</v>
      </c>
    </row>
    <row r="600" customFormat="false" ht="26.1" hidden="true" customHeight="false" outlineLevel="0" collapsed="false">
      <c r="A600" s="332" t="n">
        <v>2702</v>
      </c>
      <c r="B600" s="34" t="s">
        <v>622</v>
      </c>
      <c r="C600" s="34" t="s">
        <v>623</v>
      </c>
      <c r="D600" s="44"/>
      <c r="E600" s="25" t="n">
        <v>45482</v>
      </c>
      <c r="F600" s="25" t="n">
        <v>45594</v>
      </c>
      <c r="G600" s="320" t="n">
        <v>80.8888888888889</v>
      </c>
      <c r="H600" s="320" t="n">
        <v>-0.888888888888886</v>
      </c>
      <c r="I600" s="320" t="n">
        <v>0</v>
      </c>
      <c r="J600" s="52" t="s">
        <v>1135</v>
      </c>
      <c r="K600" s="36" t="n">
        <v>100000</v>
      </c>
      <c r="L600" s="36" t="n">
        <v>216000</v>
      </c>
      <c r="M600" s="37" t="n">
        <v>13500</v>
      </c>
      <c r="N600" s="30" t="n">
        <v>54800</v>
      </c>
      <c r="O600" s="30" t="n">
        <v>218400</v>
      </c>
      <c r="P600" s="31" t="n">
        <v>-2400</v>
      </c>
      <c r="Q600" s="302" t="n">
        <v>45607</v>
      </c>
    </row>
    <row r="601" customFormat="false" ht="26.1" hidden="true" customHeight="false" outlineLevel="0" collapsed="false">
      <c r="A601" s="332" t="n">
        <v>2653</v>
      </c>
      <c r="B601" s="34" t="s">
        <v>1136</v>
      </c>
      <c r="C601" s="34" t="s">
        <v>1137</v>
      </c>
      <c r="D601" s="44"/>
      <c r="E601" s="25" t="n">
        <v>45446</v>
      </c>
      <c r="F601" s="25" t="n">
        <v>45600</v>
      </c>
      <c r="G601" s="72" t="n">
        <v>110</v>
      </c>
      <c r="H601" s="320" t="n">
        <v>110</v>
      </c>
      <c r="I601" s="320" t="n">
        <v>0</v>
      </c>
      <c r="J601" s="34" t="s">
        <v>362</v>
      </c>
      <c r="K601" s="36" t="n">
        <v>100000</v>
      </c>
      <c r="L601" s="36" t="n">
        <v>264000</v>
      </c>
      <c r="M601" s="37" t="n">
        <v>12000</v>
      </c>
      <c r="N601" s="30" t="n">
        <v>12000</v>
      </c>
      <c r="O601" s="30" t="n">
        <v>264000</v>
      </c>
      <c r="P601" s="31" t="n">
        <v>0</v>
      </c>
      <c r="Q601" s="302" t="n">
        <v>45614</v>
      </c>
    </row>
    <row r="602" customFormat="false" ht="58.95" hidden="true" customHeight="false" outlineLevel="0" collapsed="false">
      <c r="A602" s="332" t="n">
        <v>2771</v>
      </c>
      <c r="B602" s="34" t="s">
        <v>272</v>
      </c>
      <c r="C602" s="34" t="s">
        <v>917</v>
      </c>
      <c r="D602" s="44"/>
      <c r="E602" s="25" t="n">
        <v>45524</v>
      </c>
      <c r="F602" s="25" t="n">
        <v>45624</v>
      </c>
      <c r="G602" s="72" t="n">
        <v>72</v>
      </c>
      <c r="H602" s="320" t="n">
        <v>72</v>
      </c>
      <c r="I602" s="320" t="n">
        <v>0</v>
      </c>
      <c r="J602" s="31" t="s">
        <v>996</v>
      </c>
      <c r="K602" s="29" t="n">
        <v>70000</v>
      </c>
      <c r="L602" s="36" t="n">
        <v>151200</v>
      </c>
      <c r="M602" s="37" t="n">
        <v>10500</v>
      </c>
      <c r="N602" s="30" t="n">
        <v>25000</v>
      </c>
      <c r="O602" s="30" t="n">
        <v>151200</v>
      </c>
      <c r="P602" s="31" t="n">
        <v>0</v>
      </c>
      <c r="Q602" s="302" t="n">
        <v>45614</v>
      </c>
    </row>
    <row r="603" customFormat="false" ht="34.3" hidden="true" customHeight="false" outlineLevel="0" collapsed="false">
      <c r="A603" s="332" t="n">
        <v>2720</v>
      </c>
      <c r="B603" s="34" t="s">
        <v>307</v>
      </c>
      <c r="C603" s="34" t="s">
        <v>308</v>
      </c>
      <c r="D603" s="44"/>
      <c r="E603" s="25" t="n">
        <v>45495</v>
      </c>
      <c r="F603" s="25" t="n">
        <v>45607</v>
      </c>
      <c r="G603" s="72" t="n">
        <v>80</v>
      </c>
      <c r="H603" s="320" t="n">
        <v>80</v>
      </c>
      <c r="I603" s="320" t="n">
        <v>0</v>
      </c>
      <c r="J603" s="52" t="s">
        <v>1138</v>
      </c>
      <c r="K603" s="328" t="n">
        <v>200000</v>
      </c>
      <c r="L603" s="36" t="n">
        <v>432000</v>
      </c>
      <c r="M603" s="29" t="n">
        <v>27000</v>
      </c>
      <c r="N603" s="30" t="n">
        <v>108000</v>
      </c>
      <c r="O603" s="30" t="n">
        <v>432000</v>
      </c>
      <c r="P603" s="31" t="n">
        <v>0</v>
      </c>
      <c r="Q603" s="302" t="n">
        <v>45614</v>
      </c>
    </row>
    <row r="604" customFormat="false" ht="34.3" hidden="true" customHeight="false" outlineLevel="0" collapsed="false">
      <c r="A604" s="332" t="n">
        <v>1930</v>
      </c>
      <c r="B604" s="34" t="s">
        <v>1139</v>
      </c>
      <c r="C604" s="34" t="s">
        <v>1140</v>
      </c>
      <c r="D604" s="44"/>
      <c r="E604" s="25" t="n">
        <v>44924</v>
      </c>
      <c r="F604" s="25" t="n">
        <v>45764</v>
      </c>
      <c r="G604" s="72" t="n">
        <v>600</v>
      </c>
      <c r="H604" s="320" t="n">
        <v>600</v>
      </c>
      <c r="I604" s="320" t="n">
        <v>0</v>
      </c>
      <c r="J604" s="68" t="s">
        <v>1141</v>
      </c>
      <c r="K604" s="36" t="n">
        <v>250000</v>
      </c>
      <c r="L604" s="36" t="n">
        <v>656250</v>
      </c>
      <c r="M604" s="37" t="n">
        <v>5468.75</v>
      </c>
      <c r="N604" s="30" t="n">
        <v>147375</v>
      </c>
      <c r="O604" s="30" t="n">
        <v>656250</v>
      </c>
      <c r="P604" s="31" t="n">
        <v>0</v>
      </c>
      <c r="Q604" s="302" t="n">
        <v>45614</v>
      </c>
    </row>
    <row r="605" customFormat="false" ht="42" hidden="true" customHeight="false" outlineLevel="0" collapsed="false">
      <c r="A605" s="332" t="n">
        <v>2723</v>
      </c>
      <c r="B605" s="34" t="s">
        <v>396</v>
      </c>
      <c r="C605" s="34" t="s">
        <v>397</v>
      </c>
      <c r="D605" s="44"/>
      <c r="E605" s="25" t="n">
        <v>45496</v>
      </c>
      <c r="F605" s="25" t="n">
        <v>45608</v>
      </c>
      <c r="G605" s="72" t="n">
        <v>80</v>
      </c>
      <c r="H605" s="320" t="n">
        <v>80</v>
      </c>
      <c r="I605" s="320" t="n">
        <v>0</v>
      </c>
      <c r="J605" s="52" t="s">
        <v>259</v>
      </c>
      <c r="K605" s="36" t="n">
        <v>100000</v>
      </c>
      <c r="L605" s="36" t="n">
        <v>216000</v>
      </c>
      <c r="M605" s="37" t="n">
        <v>13500</v>
      </c>
      <c r="N605" s="30" t="n">
        <v>54000</v>
      </c>
      <c r="O605" s="30" t="n">
        <v>216000</v>
      </c>
      <c r="P605" s="31" t="n">
        <v>0</v>
      </c>
      <c r="Q605" s="302" t="n">
        <v>45614</v>
      </c>
    </row>
    <row r="606" customFormat="false" ht="42" hidden="true" customHeight="false" outlineLevel="0" collapsed="false">
      <c r="A606" s="332" t="n">
        <v>2862</v>
      </c>
      <c r="B606" s="34" t="s">
        <v>396</v>
      </c>
      <c r="C606" s="34" t="s">
        <v>397</v>
      </c>
      <c r="D606" s="44"/>
      <c r="E606" s="25" t="n">
        <v>45581</v>
      </c>
      <c r="F606" s="25" t="n">
        <v>45609</v>
      </c>
      <c r="G606" s="72" t="n">
        <v>20</v>
      </c>
      <c r="H606" s="320" t="e">
        <f aca="false">#DIV/0!</f>
        <v>#DIV/0!</v>
      </c>
      <c r="I606" s="320" t="e">
        <f aca="false">#DIV/0!</f>
        <v>#DIV/0!</v>
      </c>
      <c r="J606" s="52" t="s">
        <v>1115</v>
      </c>
      <c r="K606" s="36" t="n">
        <v>100000</v>
      </c>
      <c r="L606" s="36" t="n">
        <v>150000</v>
      </c>
      <c r="M606" s="29"/>
      <c r="N606" s="30" t="n">
        <v>150000</v>
      </c>
      <c r="O606" s="30" t="n">
        <v>150000</v>
      </c>
      <c r="P606" s="31" t="n">
        <v>0</v>
      </c>
      <c r="Q606" s="302" t="n">
        <v>45614</v>
      </c>
    </row>
    <row r="607" customFormat="false" ht="34.3" hidden="true" customHeight="false" outlineLevel="0" collapsed="false">
      <c r="A607" s="332" t="n">
        <v>2659</v>
      </c>
      <c r="B607" s="34" t="s">
        <v>444</v>
      </c>
      <c r="C607" s="34" t="s">
        <v>445</v>
      </c>
      <c r="D607" s="44"/>
      <c r="E607" s="25" t="n">
        <v>45451</v>
      </c>
      <c r="F607" s="25" t="n">
        <v>45611</v>
      </c>
      <c r="G607" s="72" t="n">
        <v>115</v>
      </c>
      <c r="H607" s="320" t="n">
        <v>115</v>
      </c>
      <c r="I607" s="320" t="n">
        <v>0</v>
      </c>
      <c r="J607" s="34" t="s">
        <v>994</v>
      </c>
      <c r="K607" s="31" t="n">
        <v>100000</v>
      </c>
      <c r="L607" s="31" t="n">
        <v>264500</v>
      </c>
      <c r="M607" s="37" t="n">
        <v>11500</v>
      </c>
      <c r="N607" s="30" t="n">
        <v>23000</v>
      </c>
      <c r="O607" s="30" t="n">
        <v>264500</v>
      </c>
      <c r="P607" s="31" t="n">
        <v>0</v>
      </c>
      <c r="Q607" s="302" t="n">
        <v>45614</v>
      </c>
    </row>
    <row r="608" customFormat="false" ht="42" hidden="true" customHeight="false" outlineLevel="0" collapsed="false">
      <c r="A608" s="332" t="n">
        <v>2600</v>
      </c>
      <c r="B608" s="34" t="s">
        <v>833</v>
      </c>
      <c r="C608" s="34" t="s">
        <v>834</v>
      </c>
      <c r="D608" s="44"/>
      <c r="E608" s="25" t="n">
        <v>45411</v>
      </c>
      <c r="F608" s="25" t="n">
        <v>45579</v>
      </c>
      <c r="G608" s="72" t="n">
        <v>120</v>
      </c>
      <c r="H608" s="320" t="n">
        <v>127.840909090909</v>
      </c>
      <c r="I608" s="320" t="n">
        <v>-7.84090909090909</v>
      </c>
      <c r="J608" s="52" t="s">
        <v>1142</v>
      </c>
      <c r="K608" s="325" t="n">
        <v>80000</v>
      </c>
      <c r="L608" s="31" t="n">
        <v>211200</v>
      </c>
      <c r="M608" s="37" t="n">
        <v>8800</v>
      </c>
      <c r="N608" s="30" t="n">
        <v>100000</v>
      </c>
      <c r="O608" s="30" t="n">
        <v>225000</v>
      </c>
      <c r="P608" s="31" t="n">
        <v>-13800</v>
      </c>
      <c r="Q608" s="302" t="n">
        <v>45614</v>
      </c>
    </row>
    <row r="609" customFormat="false" ht="17.9" hidden="true" customHeight="false" outlineLevel="0" collapsed="false">
      <c r="A609" s="332" t="n">
        <v>2694</v>
      </c>
      <c r="B609" s="34" t="s">
        <v>461</v>
      </c>
      <c r="C609" s="34"/>
      <c r="D609" s="44"/>
      <c r="E609" s="25" t="n">
        <v>45477</v>
      </c>
      <c r="F609" s="25" t="n">
        <v>45579</v>
      </c>
      <c r="G609" s="72" t="n">
        <v>72</v>
      </c>
      <c r="H609" s="320" t="n">
        <v>72</v>
      </c>
      <c r="I609" s="320" t="n">
        <v>0</v>
      </c>
      <c r="J609" s="34" t="s">
        <v>381</v>
      </c>
      <c r="K609" s="31" t="n">
        <v>50000</v>
      </c>
      <c r="L609" s="31" t="n">
        <v>111000</v>
      </c>
      <c r="M609" s="37" t="n">
        <v>7708.33333333333</v>
      </c>
      <c r="N609" s="30" t="n">
        <v>6950</v>
      </c>
      <c r="O609" s="30" t="n">
        <v>111000</v>
      </c>
      <c r="P609" s="31" t="n">
        <v>0</v>
      </c>
      <c r="Q609" s="302" t="n">
        <v>45614</v>
      </c>
    </row>
    <row r="610" customFormat="false" ht="34.3" hidden="true" customHeight="false" outlineLevel="0" collapsed="false">
      <c r="A610" s="332" t="n">
        <v>2746</v>
      </c>
      <c r="B610" s="34" t="s">
        <v>503</v>
      </c>
      <c r="C610" s="34" t="s">
        <v>241</v>
      </c>
      <c r="D610" s="44"/>
      <c r="E610" s="25" t="n">
        <v>45512</v>
      </c>
      <c r="F610" s="25" t="n">
        <v>45614</v>
      </c>
      <c r="G610" s="72" t="n">
        <v>72</v>
      </c>
      <c r="H610" s="320" t="n">
        <v>72.2222222222222</v>
      </c>
      <c r="I610" s="320" t="n">
        <v>-0.222222222222229</v>
      </c>
      <c r="J610" s="34" t="s">
        <v>792</v>
      </c>
      <c r="K610" s="36" t="n">
        <v>60000</v>
      </c>
      <c r="L610" s="36" t="n">
        <v>129600</v>
      </c>
      <c r="M610" s="37" t="n">
        <v>9000</v>
      </c>
      <c r="N610" s="30" t="n">
        <v>9000</v>
      </c>
      <c r="O610" s="30" t="n">
        <v>130000</v>
      </c>
      <c r="P610" s="31" t="n">
        <v>-400</v>
      </c>
      <c r="Q610" s="302" t="n">
        <v>45614</v>
      </c>
    </row>
    <row r="611" customFormat="false" ht="34.3" hidden="true" customHeight="false" outlineLevel="0" collapsed="false">
      <c r="A611" s="332" t="n">
        <v>2512</v>
      </c>
      <c r="B611" s="34" t="s">
        <v>522</v>
      </c>
      <c r="C611" s="34" t="s">
        <v>523</v>
      </c>
      <c r="D611" s="44"/>
      <c r="E611" s="25" t="n">
        <v>45359</v>
      </c>
      <c r="F611" s="25" t="n">
        <v>45526</v>
      </c>
      <c r="G611" s="72" t="n">
        <v>119</v>
      </c>
      <c r="H611" s="320" t="n">
        <v>119</v>
      </c>
      <c r="I611" s="320" t="n">
        <v>0</v>
      </c>
      <c r="J611" s="34" t="s">
        <v>1143</v>
      </c>
      <c r="K611" s="36" t="n">
        <v>250000</v>
      </c>
      <c r="L611" s="36" t="n">
        <v>680100</v>
      </c>
      <c r="M611" s="29" t="n">
        <v>28575.6302521008</v>
      </c>
      <c r="N611" s="30" t="n">
        <v>44600</v>
      </c>
      <c r="O611" s="30" t="n">
        <v>680100</v>
      </c>
      <c r="P611" s="31" t="n">
        <v>0</v>
      </c>
      <c r="Q611" s="302" t="n">
        <v>45614</v>
      </c>
    </row>
    <row r="612" customFormat="false" ht="26.1" hidden="true" customHeight="false" outlineLevel="0" collapsed="false">
      <c r="A612" s="332" t="n">
        <v>2589</v>
      </c>
      <c r="B612" s="34" t="s">
        <v>1144</v>
      </c>
      <c r="C612" s="34" t="s">
        <v>1060</v>
      </c>
      <c r="D612" s="44"/>
      <c r="E612" s="25" t="n">
        <v>45404</v>
      </c>
      <c r="F612" s="25" t="n">
        <v>45572</v>
      </c>
      <c r="G612" s="72" t="n">
        <v>120</v>
      </c>
      <c r="H612" s="320" t="n">
        <v>120</v>
      </c>
      <c r="I612" s="320" t="n">
        <v>0</v>
      </c>
      <c r="J612" s="52" t="s">
        <v>1145</v>
      </c>
      <c r="K612" s="31" t="n">
        <v>100000</v>
      </c>
      <c r="L612" s="31" t="n">
        <v>264000</v>
      </c>
      <c r="M612" s="29" t="n">
        <v>11000</v>
      </c>
      <c r="N612" s="30" t="n">
        <v>44000</v>
      </c>
      <c r="O612" s="30" t="n">
        <v>264000</v>
      </c>
      <c r="P612" s="31" t="n">
        <v>0</v>
      </c>
      <c r="Q612" s="302" t="n">
        <v>45614</v>
      </c>
    </row>
    <row r="613" customFormat="false" ht="34.3" hidden="true" customHeight="false" outlineLevel="0" collapsed="false">
      <c r="A613" s="332" t="n">
        <v>1943</v>
      </c>
      <c r="B613" s="34" t="s">
        <v>1146</v>
      </c>
      <c r="C613" s="34" t="s">
        <v>1140</v>
      </c>
      <c r="D613" s="44"/>
      <c r="E613" s="25" t="n">
        <v>44936</v>
      </c>
      <c r="F613" s="25" t="n">
        <v>45216</v>
      </c>
      <c r="G613" s="72" t="n">
        <v>200</v>
      </c>
      <c r="H613" s="320" t="n">
        <v>200</v>
      </c>
      <c r="I613" s="320" t="n">
        <v>0</v>
      </c>
      <c r="J613" s="68" t="s">
        <v>1147</v>
      </c>
      <c r="K613" s="36" t="n">
        <v>150000</v>
      </c>
      <c r="L613" s="36" t="n">
        <v>500000</v>
      </c>
      <c r="M613" s="37" t="n">
        <v>12500</v>
      </c>
      <c r="N613" s="30" t="n">
        <v>90000</v>
      </c>
      <c r="O613" s="30" t="n">
        <v>500000</v>
      </c>
      <c r="P613" s="31" t="n">
        <v>0</v>
      </c>
      <c r="Q613" s="302" t="n">
        <v>45614</v>
      </c>
    </row>
    <row r="614" customFormat="false" ht="26.1" hidden="true" customHeight="false" outlineLevel="0" collapsed="false">
      <c r="A614" s="332" t="n">
        <v>2782</v>
      </c>
      <c r="B614" s="34" t="s">
        <v>1148</v>
      </c>
      <c r="C614" s="34"/>
      <c r="D614" s="44"/>
      <c r="E614" s="25" t="n">
        <v>45532</v>
      </c>
      <c r="F614" s="25" t="n">
        <v>45630</v>
      </c>
      <c r="G614" s="72" t="n">
        <v>70</v>
      </c>
      <c r="H614" s="320" t="n">
        <v>70</v>
      </c>
      <c r="I614" s="320" t="n">
        <v>0</v>
      </c>
      <c r="J614" s="68" t="s">
        <v>1149</v>
      </c>
      <c r="K614" s="36" t="n">
        <v>50000</v>
      </c>
      <c r="L614" s="36" t="n">
        <v>108500</v>
      </c>
      <c r="M614" s="37" t="n">
        <v>7750</v>
      </c>
      <c r="N614" s="30" t="n">
        <v>15500</v>
      </c>
      <c r="O614" s="30" t="n">
        <v>108500</v>
      </c>
      <c r="P614" s="31" t="n">
        <v>0</v>
      </c>
      <c r="Q614" s="302" t="n">
        <v>45614</v>
      </c>
    </row>
    <row r="615" customFormat="false" ht="26.1" hidden="true" customHeight="false" outlineLevel="0" collapsed="false">
      <c r="A615" s="332" t="n">
        <v>2472</v>
      </c>
      <c r="B615" s="34" t="s">
        <v>291</v>
      </c>
      <c r="C615" s="34" t="s">
        <v>292</v>
      </c>
      <c r="D615" s="44"/>
      <c r="E615" s="25" t="n">
        <v>45335</v>
      </c>
      <c r="F615" s="25" t="n">
        <v>45587</v>
      </c>
      <c r="G615" s="72" t="n">
        <v>180</v>
      </c>
      <c r="H615" s="320" t="n">
        <v>180</v>
      </c>
      <c r="I615" s="320" t="n">
        <v>0</v>
      </c>
      <c r="J615" s="52" t="s">
        <v>1150</v>
      </c>
      <c r="K615" s="36" t="n">
        <v>150000</v>
      </c>
      <c r="L615" s="36" t="n">
        <v>405000</v>
      </c>
      <c r="M615" s="37" t="n">
        <v>11250</v>
      </c>
      <c r="N615" s="30" t="n">
        <v>45000</v>
      </c>
      <c r="O615" s="30" t="n">
        <v>405000</v>
      </c>
      <c r="P615" s="31" t="n">
        <v>0</v>
      </c>
      <c r="Q615" s="302" t="n">
        <v>45621</v>
      </c>
    </row>
    <row r="616" customFormat="false" ht="26.1" hidden="true" customHeight="false" outlineLevel="0" collapsed="false">
      <c r="A616" s="332" t="n">
        <v>2751</v>
      </c>
      <c r="B616" s="34" t="s">
        <v>380</v>
      </c>
      <c r="C616" s="34" t="s">
        <v>292</v>
      </c>
      <c r="D616" s="44"/>
      <c r="E616" s="25" t="n">
        <v>45514</v>
      </c>
      <c r="F616" s="25" t="n">
        <v>45615</v>
      </c>
      <c r="G616" s="50" t="n">
        <v>72</v>
      </c>
      <c r="H616" s="320" t="n">
        <v>72</v>
      </c>
      <c r="I616" s="320" t="n">
        <v>0</v>
      </c>
      <c r="J616" s="34" t="s">
        <v>381</v>
      </c>
      <c r="K616" s="36" t="n">
        <v>50000</v>
      </c>
      <c r="L616" s="36" t="n">
        <v>108000</v>
      </c>
      <c r="M616" s="37" t="n">
        <v>7500</v>
      </c>
      <c r="N616" s="30" t="n">
        <v>10500</v>
      </c>
      <c r="O616" s="30" t="n">
        <v>108000</v>
      </c>
      <c r="P616" s="31" t="n">
        <v>0</v>
      </c>
      <c r="Q616" s="302" t="n">
        <v>45621</v>
      </c>
    </row>
    <row r="617" customFormat="false" ht="42.5" hidden="true" customHeight="false" outlineLevel="0" collapsed="false">
      <c r="A617" s="332" t="n">
        <v>2337</v>
      </c>
      <c r="B617" s="340" t="s">
        <v>1151</v>
      </c>
      <c r="C617" s="34" t="s">
        <v>1152</v>
      </c>
      <c r="D617" s="44"/>
      <c r="E617" s="25" t="n">
        <v>45243</v>
      </c>
      <c r="F617" s="25" t="n">
        <v>45418</v>
      </c>
      <c r="G617" s="72" t="n">
        <v>125</v>
      </c>
      <c r="H617" s="320" t="n">
        <v>125</v>
      </c>
      <c r="I617" s="320" t="n">
        <v>0</v>
      </c>
      <c r="J617" s="34" t="s">
        <v>1153</v>
      </c>
      <c r="K617" s="36" t="n">
        <v>500000</v>
      </c>
      <c r="L617" s="36" t="n">
        <v>1375000</v>
      </c>
      <c r="M617" s="29" t="n">
        <v>55000</v>
      </c>
      <c r="N617" s="30" t="n">
        <v>50000</v>
      </c>
      <c r="O617" s="30" t="n">
        <v>1375000</v>
      </c>
      <c r="P617" s="31" t="n">
        <v>0</v>
      </c>
      <c r="Q617" s="302" t="n">
        <v>45621</v>
      </c>
    </row>
    <row r="618" customFormat="false" ht="17.9" hidden="true" customHeight="false" outlineLevel="0" collapsed="false">
      <c r="A618" s="332" t="n">
        <v>2877</v>
      </c>
      <c r="B618" s="34" t="s">
        <v>429</v>
      </c>
      <c r="C618" s="34"/>
      <c r="D618" s="44"/>
      <c r="E618" s="25" t="n">
        <v>45588</v>
      </c>
      <c r="F618" s="25" t="n">
        <v>45582</v>
      </c>
      <c r="G618" s="72" t="n">
        <v>5</v>
      </c>
      <c r="H618" s="320" t="e">
        <f aca="false">#DIV/0!</f>
        <v>#DIV/0!</v>
      </c>
      <c r="I618" s="320" t="e">
        <f aca="false">#DIV/0!</f>
        <v>#DIV/0!</v>
      </c>
      <c r="J618" s="52" t="s">
        <v>580</v>
      </c>
      <c r="K618" s="45" t="n">
        <v>30000</v>
      </c>
      <c r="L618" s="31" t="n">
        <v>84000</v>
      </c>
      <c r="M618" s="29"/>
      <c r="N618" s="30" t="n">
        <v>39000</v>
      </c>
      <c r="O618" s="30" t="n">
        <v>84000</v>
      </c>
      <c r="P618" s="31" t="n">
        <v>0</v>
      </c>
      <c r="Q618" s="302" t="n">
        <v>45621</v>
      </c>
    </row>
    <row r="619" customFormat="false" ht="17.9" hidden="true" customHeight="false" outlineLevel="0" collapsed="false">
      <c r="A619" s="332" t="n">
        <v>2922</v>
      </c>
      <c r="B619" s="34" t="s">
        <v>429</v>
      </c>
      <c r="C619" s="34"/>
      <c r="D619" s="44"/>
      <c r="E619" s="25" t="n">
        <v>45618</v>
      </c>
      <c r="F619" s="25" t="n">
        <v>45582</v>
      </c>
      <c r="G619" s="72" t="n">
        <v>5</v>
      </c>
      <c r="H619" s="320" t="e">
        <f aca="false">#DIV/0!</f>
        <v>#DIV/0!</v>
      </c>
      <c r="I619" s="320" t="e">
        <f aca="false">#DIV/0!</f>
        <v>#DIV/0!</v>
      </c>
      <c r="J619" s="52" t="s">
        <v>580</v>
      </c>
      <c r="K619" s="36" t="n">
        <v>60000</v>
      </c>
      <c r="L619" s="36" t="n">
        <v>78000</v>
      </c>
      <c r="M619" s="37"/>
      <c r="N619" s="30" t="n">
        <v>78000</v>
      </c>
      <c r="O619" s="30" t="n">
        <v>78000</v>
      </c>
      <c r="P619" s="31" t="n">
        <v>0</v>
      </c>
      <c r="Q619" s="302" t="n">
        <v>45621</v>
      </c>
    </row>
    <row r="620" customFormat="false" ht="26.1" hidden="true" customHeight="false" outlineLevel="0" collapsed="false">
      <c r="A620" s="332" t="n">
        <v>2803</v>
      </c>
      <c r="B620" s="34" t="s">
        <v>1154</v>
      </c>
      <c r="C620" s="34" t="s">
        <v>1155</v>
      </c>
      <c r="D620" s="44"/>
      <c r="E620" s="25" t="n">
        <v>45547</v>
      </c>
      <c r="F620" s="25" t="n">
        <v>45624</v>
      </c>
      <c r="G620" s="72" t="n">
        <v>55</v>
      </c>
      <c r="H620" s="320" t="n">
        <v>55</v>
      </c>
      <c r="I620" s="320" t="n">
        <v>0</v>
      </c>
      <c r="J620" s="34" t="s">
        <v>1156</v>
      </c>
      <c r="K620" s="31" t="n">
        <v>60000</v>
      </c>
      <c r="L620" s="31" t="n">
        <v>105050</v>
      </c>
      <c r="M620" s="37" t="n">
        <v>9550</v>
      </c>
      <c r="N620" s="30" t="n">
        <v>9550</v>
      </c>
      <c r="O620" s="30" t="n">
        <v>105050</v>
      </c>
      <c r="P620" s="31" t="n">
        <v>0</v>
      </c>
      <c r="Q620" s="302" t="n">
        <v>45621</v>
      </c>
    </row>
    <row r="621" customFormat="false" ht="17.9" hidden="true" customHeight="false" outlineLevel="0" collapsed="false">
      <c r="A621" s="332" t="n">
        <v>2680</v>
      </c>
      <c r="B621" s="34" t="s">
        <v>224</v>
      </c>
      <c r="C621" s="21"/>
      <c r="D621" s="44" t="n">
        <v>22375673</v>
      </c>
      <c r="E621" s="25" t="n">
        <v>45464</v>
      </c>
      <c r="F621" s="25" t="n">
        <v>45632</v>
      </c>
      <c r="G621" s="72" t="n">
        <v>120</v>
      </c>
      <c r="H621" s="320" t="n">
        <v>120</v>
      </c>
      <c r="I621" s="320" t="n">
        <v>0</v>
      </c>
      <c r="J621" s="52" t="s">
        <v>340</v>
      </c>
      <c r="K621" s="36" t="n">
        <v>100000</v>
      </c>
      <c r="L621" s="36" t="n">
        <v>264000</v>
      </c>
      <c r="M621" s="37" t="n">
        <v>11000</v>
      </c>
      <c r="N621" s="30" t="n">
        <v>44000</v>
      </c>
      <c r="O621" s="30" t="n">
        <v>264000</v>
      </c>
      <c r="P621" s="31" t="n">
        <v>0</v>
      </c>
      <c r="Q621" s="302" t="n">
        <v>45628</v>
      </c>
    </row>
    <row r="622" customFormat="false" ht="17.9" hidden="true" customHeight="false" outlineLevel="0" collapsed="false">
      <c r="A622" s="332" t="n">
        <v>2774</v>
      </c>
      <c r="B622" s="34" t="s">
        <v>264</v>
      </c>
      <c r="C622" s="21" t="s">
        <v>265</v>
      </c>
      <c r="D622" s="44"/>
      <c r="E622" s="25" t="n">
        <v>45526</v>
      </c>
      <c r="F622" s="25" t="n">
        <v>45628</v>
      </c>
      <c r="G622" s="72" t="n">
        <v>72</v>
      </c>
      <c r="H622" s="320" t="n">
        <v>72</v>
      </c>
      <c r="I622" s="320" t="n">
        <v>0</v>
      </c>
      <c r="J622" s="34" t="s">
        <v>266</v>
      </c>
      <c r="K622" s="31" t="n">
        <v>100000</v>
      </c>
      <c r="L622" s="31" t="n">
        <v>216000</v>
      </c>
      <c r="M622" s="37" t="n">
        <v>15000</v>
      </c>
      <c r="N622" s="30" t="n">
        <v>6000</v>
      </c>
      <c r="O622" s="30" t="n">
        <v>216000</v>
      </c>
      <c r="P622" s="31" t="n">
        <v>0</v>
      </c>
      <c r="Q622" s="302" t="n">
        <v>45628</v>
      </c>
    </row>
    <row r="623" customFormat="false" ht="14.9" hidden="true" customHeight="false" outlineLevel="0" collapsed="false">
      <c r="A623" s="332" t="n">
        <v>2775</v>
      </c>
      <c r="B623" s="21" t="s">
        <v>323</v>
      </c>
      <c r="C623" s="21" t="s">
        <v>324</v>
      </c>
      <c r="D623" s="44" t="n">
        <v>14154231</v>
      </c>
      <c r="E623" s="25" t="n">
        <v>45526</v>
      </c>
      <c r="F623" s="25" t="n">
        <v>45628</v>
      </c>
      <c r="G623" s="72" t="n">
        <v>72</v>
      </c>
      <c r="H623" s="320" t="n">
        <v>72</v>
      </c>
      <c r="I623" s="320" t="n">
        <v>0</v>
      </c>
      <c r="J623" s="34" t="s">
        <v>788</v>
      </c>
      <c r="K623" s="36" t="n">
        <v>15000</v>
      </c>
      <c r="L623" s="36" t="n">
        <v>32400</v>
      </c>
      <c r="M623" s="37" t="n">
        <v>2250</v>
      </c>
      <c r="N623" s="30" t="n">
        <v>8200</v>
      </c>
      <c r="O623" s="30" t="n">
        <v>32400</v>
      </c>
      <c r="P623" s="31" t="n">
        <v>0</v>
      </c>
      <c r="Q623" s="302" t="n">
        <v>45628</v>
      </c>
    </row>
    <row r="624" customFormat="false" ht="14.9" hidden="true" customHeight="false" outlineLevel="0" collapsed="false">
      <c r="A624" s="332" t="n">
        <v>2934</v>
      </c>
      <c r="B624" s="21" t="s">
        <v>429</v>
      </c>
      <c r="C624" s="21"/>
      <c r="D624" s="44"/>
      <c r="E624" s="25" t="n">
        <v>45624</v>
      </c>
      <c r="F624" s="25" t="n">
        <v>45631</v>
      </c>
      <c r="G624" s="72" t="n">
        <v>5</v>
      </c>
      <c r="H624" s="320" t="e">
        <f aca="false">#DIV/0!</f>
        <v>#DIV/0!</v>
      </c>
      <c r="I624" s="320" t="e">
        <f aca="false">#DIV/0!</f>
        <v>#DIV/0!</v>
      </c>
      <c r="J624" s="52" t="s">
        <v>580</v>
      </c>
      <c r="K624" s="46" t="n">
        <v>30000</v>
      </c>
      <c r="L624" s="36" t="n">
        <v>39000</v>
      </c>
      <c r="M624" s="37"/>
      <c r="N624" s="30" t="n">
        <v>39000</v>
      </c>
      <c r="O624" s="30" t="n">
        <v>39000</v>
      </c>
      <c r="P624" s="31" t="n">
        <v>0</v>
      </c>
      <c r="Q624" s="302" t="n">
        <v>45628</v>
      </c>
    </row>
    <row r="625" customFormat="false" ht="35.05" hidden="true" customHeight="false" outlineLevel="0" collapsed="false">
      <c r="A625" s="332" t="n">
        <v>2660</v>
      </c>
      <c r="B625" s="21" t="s">
        <v>1055</v>
      </c>
      <c r="C625" s="21" t="s">
        <v>464</v>
      </c>
      <c r="D625" s="44"/>
      <c r="E625" s="25" t="n">
        <v>45451</v>
      </c>
      <c r="F625" s="25" t="n">
        <v>45618</v>
      </c>
      <c r="G625" s="72" t="n">
        <v>120</v>
      </c>
      <c r="H625" s="320" t="n">
        <v>120</v>
      </c>
      <c r="I625" s="320" t="n">
        <v>0</v>
      </c>
      <c r="J625" s="68" t="s">
        <v>1157</v>
      </c>
      <c r="K625" s="57" t="n">
        <v>150000</v>
      </c>
      <c r="L625" s="36" t="n">
        <v>396000</v>
      </c>
      <c r="M625" s="37" t="n">
        <v>16500</v>
      </c>
      <c r="N625" s="30" t="n">
        <v>33000</v>
      </c>
      <c r="O625" s="30" t="n">
        <v>396000</v>
      </c>
      <c r="P625" s="31" t="n">
        <v>0</v>
      </c>
      <c r="Q625" s="302" t="n">
        <v>45628</v>
      </c>
    </row>
    <row r="626" customFormat="false" ht="48.5" hidden="true" customHeight="false" outlineLevel="0" collapsed="false">
      <c r="A626" s="332" t="n">
        <v>2772</v>
      </c>
      <c r="B626" s="21" t="s">
        <v>466</v>
      </c>
      <c r="C626" s="21" t="s">
        <v>467</v>
      </c>
      <c r="D626" s="44" t="n">
        <v>27249921551</v>
      </c>
      <c r="E626" s="25" t="n">
        <v>45525</v>
      </c>
      <c r="F626" s="25" t="n">
        <v>45625</v>
      </c>
      <c r="G626" s="72" t="n">
        <v>72</v>
      </c>
      <c r="H626" s="320" t="n">
        <v>72</v>
      </c>
      <c r="I626" s="320" t="n">
        <v>0</v>
      </c>
      <c r="J626" s="34" t="s">
        <v>381</v>
      </c>
      <c r="K626" s="36" t="n">
        <v>50000</v>
      </c>
      <c r="L626" s="36" t="n">
        <v>108000</v>
      </c>
      <c r="M626" s="37" t="n">
        <v>7500</v>
      </c>
      <c r="N626" s="30" t="n">
        <v>10500</v>
      </c>
      <c r="O626" s="30" t="n">
        <v>108000</v>
      </c>
      <c r="P626" s="31" t="n">
        <v>0</v>
      </c>
      <c r="Q626" s="302" t="n">
        <v>45628</v>
      </c>
    </row>
    <row r="627" customFormat="false" ht="14.25" hidden="true" customHeight="false" outlineLevel="0" collapsed="false">
      <c r="A627" s="332" t="n">
        <v>2841</v>
      </c>
      <c r="B627" s="21" t="s">
        <v>1106</v>
      </c>
      <c r="C627" s="21"/>
      <c r="D627" s="44"/>
      <c r="E627" s="25" t="n">
        <v>45566</v>
      </c>
      <c r="F627" s="25" t="n">
        <v>45587</v>
      </c>
      <c r="G627" s="72" t="n">
        <v>15</v>
      </c>
      <c r="H627" s="320" t="e">
        <f aca="false">#DIV/0!</f>
        <v>#DIV/0!</v>
      </c>
      <c r="I627" s="320" t="e">
        <f aca="false">#DIV/0!</f>
        <v>#DIV/0!</v>
      </c>
      <c r="J627" s="52" t="s">
        <v>580</v>
      </c>
      <c r="K627" s="36" t="n">
        <v>40000</v>
      </c>
      <c r="L627" s="36" t="n">
        <v>60000</v>
      </c>
      <c r="M627" s="29"/>
      <c r="N627" s="30" t="n">
        <v>60000</v>
      </c>
      <c r="O627" s="30" t="n">
        <v>60000</v>
      </c>
      <c r="P627" s="31" t="n">
        <v>0</v>
      </c>
      <c r="Q627" s="302" t="n">
        <v>45628</v>
      </c>
    </row>
    <row r="628" customFormat="false" ht="28.35" hidden="true" customHeight="false" outlineLevel="0" collapsed="false">
      <c r="A628" s="332" t="n">
        <v>2764</v>
      </c>
      <c r="B628" s="21" t="s">
        <v>973</v>
      </c>
      <c r="C628" s="21" t="s">
        <v>974</v>
      </c>
      <c r="D628" s="44" t="n">
        <v>27242809519</v>
      </c>
      <c r="E628" s="25" t="n">
        <v>45519</v>
      </c>
      <c r="F628" s="25" t="n">
        <v>45631</v>
      </c>
      <c r="G628" s="72" t="n">
        <v>80</v>
      </c>
      <c r="H628" s="320" t="n">
        <v>80.3703703703704</v>
      </c>
      <c r="I628" s="320" t="n">
        <v>-0.370370370370367</v>
      </c>
      <c r="J628" s="52" t="s">
        <v>1158</v>
      </c>
      <c r="K628" s="36" t="n">
        <v>60000</v>
      </c>
      <c r="L628" s="36" t="n">
        <v>129600</v>
      </c>
      <c r="M628" s="37" t="n">
        <v>8100</v>
      </c>
      <c r="N628" s="30" t="n">
        <v>32400</v>
      </c>
      <c r="O628" s="30" t="n">
        <v>130200</v>
      </c>
      <c r="P628" s="31" t="n">
        <v>-600</v>
      </c>
      <c r="Q628" s="302" t="n">
        <v>45628</v>
      </c>
    </row>
    <row r="629" customFormat="false" ht="28.35" hidden="true" customHeight="false" outlineLevel="0" collapsed="false">
      <c r="A629" s="332" t="n">
        <v>2644</v>
      </c>
      <c r="B629" s="21" t="s">
        <v>779</v>
      </c>
      <c r="C629" s="21"/>
      <c r="D629" s="44"/>
      <c r="E629" s="25" t="n">
        <v>45440</v>
      </c>
      <c r="F629" s="25" t="n">
        <v>45608</v>
      </c>
      <c r="G629" s="72" t="n">
        <v>120</v>
      </c>
      <c r="H629" s="320" t="n">
        <v>120</v>
      </c>
      <c r="I629" s="320" t="n">
        <v>0</v>
      </c>
      <c r="J629" s="52" t="s">
        <v>1159</v>
      </c>
      <c r="K629" s="36" t="n">
        <v>50000</v>
      </c>
      <c r="L629" s="36" t="n">
        <v>132000</v>
      </c>
      <c r="M629" s="37" t="n">
        <v>5500</v>
      </c>
      <c r="N629" s="30" t="n">
        <v>22000</v>
      </c>
      <c r="O629" s="30" t="n">
        <v>132000</v>
      </c>
      <c r="P629" s="31" t="n">
        <v>0</v>
      </c>
      <c r="Q629" s="302" t="n">
        <v>45628</v>
      </c>
    </row>
    <row r="630" customFormat="false" ht="14.9" hidden="true" customHeight="false" outlineLevel="0" collapsed="false">
      <c r="A630" s="332" t="n">
        <v>2766</v>
      </c>
      <c r="B630" s="21" t="s">
        <v>560</v>
      </c>
      <c r="C630" s="21" t="s">
        <v>933</v>
      </c>
      <c r="D630" s="34" t="n">
        <v>24324078</v>
      </c>
      <c r="E630" s="25" t="n">
        <v>45520</v>
      </c>
      <c r="F630" s="25" t="n">
        <v>45618</v>
      </c>
      <c r="G630" s="72" t="n">
        <v>70</v>
      </c>
      <c r="H630" s="320" t="n">
        <v>70</v>
      </c>
      <c r="I630" s="320" t="n">
        <v>0</v>
      </c>
      <c r="J630" s="68" t="s">
        <v>1160</v>
      </c>
      <c r="K630" s="36" t="n">
        <v>50000</v>
      </c>
      <c r="L630" s="36" t="n">
        <v>108150</v>
      </c>
      <c r="M630" s="29" t="n">
        <v>7725</v>
      </c>
      <c r="N630" s="30" t="n">
        <v>15450</v>
      </c>
      <c r="O630" s="30" t="n">
        <v>108150</v>
      </c>
      <c r="P630" s="31" t="n">
        <v>0</v>
      </c>
      <c r="Q630" s="302" t="n">
        <v>45628</v>
      </c>
    </row>
    <row r="631" customFormat="false" ht="26.1" hidden="true" customHeight="false" outlineLevel="0" collapsed="false">
      <c r="A631" s="332" t="n">
        <v>2944</v>
      </c>
      <c r="B631" s="34" t="s">
        <v>249</v>
      </c>
      <c r="C631" s="21" t="s">
        <v>250</v>
      </c>
      <c r="D631" s="44" t="n">
        <v>27252034574</v>
      </c>
      <c r="E631" s="25" t="n">
        <v>45630</v>
      </c>
      <c r="F631" s="25" t="n">
        <v>45635</v>
      </c>
      <c r="G631" s="72" t="n">
        <v>3</v>
      </c>
      <c r="H631" s="320" t="e">
        <f aca="false">#DIV/0!</f>
        <v>#DIV/0!</v>
      </c>
      <c r="I631" s="320" t="e">
        <f aca="false">#DIV/0!</f>
        <v>#DIV/0!</v>
      </c>
      <c r="J631" s="52" t="s">
        <v>538</v>
      </c>
      <c r="K631" s="36" t="n">
        <v>20000</v>
      </c>
      <c r="L631" s="36" t="n">
        <v>26000</v>
      </c>
      <c r="M631" s="37"/>
      <c r="N631" s="30" t="n">
        <v>26000</v>
      </c>
      <c r="O631" s="30" t="n">
        <v>26000</v>
      </c>
      <c r="P631" s="31" t="n">
        <v>0</v>
      </c>
      <c r="Q631" s="302" t="n">
        <v>45628</v>
      </c>
    </row>
    <row r="632" customFormat="false" ht="26.1" hidden="true" customHeight="false" outlineLevel="0" collapsed="false">
      <c r="A632" s="332" t="n">
        <v>2794</v>
      </c>
      <c r="B632" s="34" t="s">
        <v>744</v>
      </c>
      <c r="C632" s="21" t="s">
        <v>745</v>
      </c>
      <c r="D632" s="44"/>
      <c r="E632" s="25" t="n">
        <v>45542</v>
      </c>
      <c r="F632" s="25" t="n">
        <v>45643</v>
      </c>
      <c r="G632" s="72" t="n">
        <v>72</v>
      </c>
      <c r="H632" s="320" t="n">
        <v>77</v>
      </c>
      <c r="I632" s="320" t="n">
        <v>-5</v>
      </c>
      <c r="J632" s="34" t="s">
        <v>769</v>
      </c>
      <c r="K632" s="31" t="n">
        <v>10000</v>
      </c>
      <c r="L632" s="31" t="n">
        <v>21600</v>
      </c>
      <c r="M632" s="37" t="n">
        <v>1500</v>
      </c>
      <c r="N632" s="30" t="n">
        <v>5100</v>
      </c>
      <c r="O632" s="30" t="n">
        <v>23100</v>
      </c>
      <c r="P632" s="31" t="n">
        <v>-1500</v>
      </c>
      <c r="Q632" s="302" t="n">
        <v>45635</v>
      </c>
    </row>
    <row r="633" customFormat="false" ht="35.05" hidden="true" customHeight="false" outlineLevel="0" collapsed="false">
      <c r="A633" s="332" t="n">
        <v>2763</v>
      </c>
      <c r="B633" s="34" t="s">
        <v>280</v>
      </c>
      <c r="C633" s="21" t="s">
        <v>281</v>
      </c>
      <c r="D633" s="44" t="n">
        <v>20386454729</v>
      </c>
      <c r="E633" s="25" t="n">
        <v>45519</v>
      </c>
      <c r="F633" s="25" t="n">
        <v>45631</v>
      </c>
      <c r="G633" s="50" t="n">
        <v>80</v>
      </c>
      <c r="H633" s="320" t="n">
        <v>80</v>
      </c>
      <c r="I633" s="320" t="n">
        <v>0</v>
      </c>
      <c r="J633" s="52" t="s">
        <v>606</v>
      </c>
      <c r="K633" s="31" t="n">
        <v>100000</v>
      </c>
      <c r="L633" s="31" t="n">
        <v>216000</v>
      </c>
      <c r="M633" s="37" t="n">
        <v>13500</v>
      </c>
      <c r="N633" s="30" t="n">
        <v>54000</v>
      </c>
      <c r="O633" s="30" t="n">
        <v>216000</v>
      </c>
      <c r="P633" s="31" t="n">
        <v>0</v>
      </c>
      <c r="Q633" s="302" t="n">
        <v>45635</v>
      </c>
    </row>
    <row r="634" customFormat="false" ht="21.6" hidden="true" customHeight="false" outlineLevel="0" collapsed="false">
      <c r="A634" s="332" t="n">
        <v>2725</v>
      </c>
      <c r="B634" s="21" t="s">
        <v>345</v>
      </c>
      <c r="C634" s="21" t="s">
        <v>346</v>
      </c>
      <c r="D634" s="44" t="n">
        <v>27212523</v>
      </c>
      <c r="E634" s="25" t="n">
        <v>45497</v>
      </c>
      <c r="F634" s="25" t="n">
        <v>45597</v>
      </c>
      <c r="G634" s="72" t="n">
        <v>72</v>
      </c>
      <c r="H634" s="320" t="n">
        <v>72</v>
      </c>
      <c r="I634" s="320" t="n">
        <v>0</v>
      </c>
      <c r="J634" s="68" t="s">
        <v>381</v>
      </c>
      <c r="K634" s="31" t="n">
        <v>50000</v>
      </c>
      <c r="L634" s="31" t="n">
        <v>108000</v>
      </c>
      <c r="M634" s="37" t="n">
        <v>7500</v>
      </c>
      <c r="N634" s="30" t="n">
        <v>3250</v>
      </c>
      <c r="O634" s="30" t="n">
        <v>108000</v>
      </c>
      <c r="P634" s="31" t="n">
        <v>0</v>
      </c>
      <c r="Q634" s="302" t="n">
        <v>45635</v>
      </c>
    </row>
    <row r="635" customFormat="false" ht="21.6" hidden="true" customHeight="false" outlineLevel="0" collapsed="false">
      <c r="A635" s="332" t="n">
        <v>2893</v>
      </c>
      <c r="B635" s="21" t="s">
        <v>369</v>
      </c>
      <c r="C635" s="21" t="s">
        <v>370</v>
      </c>
      <c r="D635" s="44"/>
      <c r="E635" s="25" t="n">
        <v>45598</v>
      </c>
      <c r="F635" s="25" t="n">
        <v>45632</v>
      </c>
      <c r="G635" s="72" t="n">
        <v>25</v>
      </c>
      <c r="H635" s="320" t="e">
        <f aca="false">#DIV/0!</f>
        <v>#DIV/0!</v>
      </c>
      <c r="I635" s="320" t="e">
        <f aca="false">#DIV/0!</f>
        <v>#DIV/0!</v>
      </c>
      <c r="J635" s="52" t="s">
        <v>538</v>
      </c>
      <c r="K635" s="36" t="n">
        <v>100000</v>
      </c>
      <c r="L635" s="36" t="n">
        <v>150000</v>
      </c>
      <c r="M635" s="37"/>
      <c r="N635" s="30" t="n">
        <v>150000</v>
      </c>
      <c r="O635" s="30" t="n">
        <v>150000</v>
      </c>
      <c r="P635" s="31" t="n">
        <v>0</v>
      </c>
      <c r="Q635" s="302" t="n">
        <v>45635</v>
      </c>
    </row>
    <row r="636" customFormat="false" ht="14.9" hidden="true" customHeight="false" outlineLevel="0" collapsed="false">
      <c r="A636" s="332" t="n">
        <v>2674</v>
      </c>
      <c r="B636" s="21" t="s">
        <v>392</v>
      </c>
      <c r="C636" s="21" t="s">
        <v>393</v>
      </c>
      <c r="D636" s="44"/>
      <c r="E636" s="25" t="n">
        <v>45462</v>
      </c>
      <c r="F636" s="25" t="n">
        <v>45630</v>
      </c>
      <c r="G636" s="72" t="n">
        <v>120</v>
      </c>
      <c r="H636" s="320" t="n">
        <v>120</v>
      </c>
      <c r="I636" s="320" t="n">
        <v>0</v>
      </c>
      <c r="J636" s="68" t="s">
        <v>1145</v>
      </c>
      <c r="K636" s="36" t="n">
        <v>100000</v>
      </c>
      <c r="L636" s="36" t="n">
        <v>264000</v>
      </c>
      <c r="M636" s="37" t="n">
        <v>11000</v>
      </c>
      <c r="N636" s="30" t="n">
        <v>44000</v>
      </c>
      <c r="O636" s="30" t="n">
        <v>264000</v>
      </c>
      <c r="P636" s="31" t="n">
        <v>0</v>
      </c>
      <c r="Q636" s="302" t="n">
        <v>45635</v>
      </c>
    </row>
    <row r="637" customFormat="false" ht="14.9" hidden="true" customHeight="false" outlineLevel="0" collapsed="false">
      <c r="A637" s="332" t="n">
        <v>2524</v>
      </c>
      <c r="B637" s="21" t="s">
        <v>413</v>
      </c>
      <c r="C637" s="21" t="s">
        <v>414</v>
      </c>
      <c r="D637" s="44" t="n">
        <v>37095915</v>
      </c>
      <c r="E637" s="25" t="n">
        <v>45367</v>
      </c>
      <c r="F637" s="25" t="n">
        <v>45618</v>
      </c>
      <c r="G637" s="72" t="n">
        <v>180</v>
      </c>
      <c r="H637" s="320" t="n">
        <v>180</v>
      </c>
      <c r="I637" s="320" t="n">
        <v>0</v>
      </c>
      <c r="J637" s="52" t="s">
        <v>1161</v>
      </c>
      <c r="K637" s="31" t="n">
        <v>200000</v>
      </c>
      <c r="L637" s="31" t="n">
        <v>612000</v>
      </c>
      <c r="M637" s="37" t="n">
        <v>17000</v>
      </c>
      <c r="N637" s="30" t="n">
        <v>68000</v>
      </c>
      <c r="O637" s="30" t="n">
        <v>612000</v>
      </c>
      <c r="P637" s="31" t="n">
        <v>0</v>
      </c>
      <c r="Q637" s="302" t="n">
        <v>45635</v>
      </c>
    </row>
    <row r="638" customFormat="false" ht="14.9" hidden="true" customHeight="false" outlineLevel="0" collapsed="false">
      <c r="A638" s="332" t="n">
        <v>2626</v>
      </c>
      <c r="B638" s="21" t="s">
        <v>416</v>
      </c>
      <c r="C638" s="21" t="s">
        <v>417</v>
      </c>
      <c r="D638" s="44" t="n">
        <v>13589728</v>
      </c>
      <c r="E638" s="25" t="n">
        <v>45428</v>
      </c>
      <c r="F638" s="25" t="n">
        <v>45629</v>
      </c>
      <c r="G638" s="72" t="n">
        <v>143</v>
      </c>
      <c r="H638" s="320" t="n">
        <v>143</v>
      </c>
      <c r="I638" s="320" t="n">
        <v>0</v>
      </c>
      <c r="J638" s="52" t="s">
        <v>1162</v>
      </c>
      <c r="K638" s="36" t="n">
        <v>100000</v>
      </c>
      <c r="L638" s="36" t="n">
        <v>264600</v>
      </c>
      <c r="M638" s="37" t="n">
        <v>9251.74825174825</v>
      </c>
      <c r="N638" s="30" t="n">
        <v>37800</v>
      </c>
      <c r="O638" s="30" t="n">
        <v>264600</v>
      </c>
      <c r="P638" s="31" t="n">
        <v>0</v>
      </c>
      <c r="Q638" s="302" t="n">
        <v>45635</v>
      </c>
    </row>
    <row r="639" customFormat="false" ht="28.35" hidden="true" customHeight="false" outlineLevel="0" collapsed="false">
      <c r="A639" s="332" t="n">
        <v>2718</v>
      </c>
      <c r="B639" s="21" t="s">
        <v>507</v>
      </c>
      <c r="C639" s="21" t="s">
        <v>508</v>
      </c>
      <c r="D639" s="44"/>
      <c r="E639" s="25" t="n">
        <v>45491</v>
      </c>
      <c r="F639" s="25" t="n">
        <v>45631</v>
      </c>
      <c r="G639" s="72" t="n">
        <v>100</v>
      </c>
      <c r="H639" s="320" t="n">
        <v>100</v>
      </c>
      <c r="I639" s="320" t="n">
        <v>0</v>
      </c>
      <c r="J639" s="52" t="s">
        <v>1064</v>
      </c>
      <c r="K639" s="36" t="n">
        <v>200000</v>
      </c>
      <c r="L639" s="36" t="n">
        <v>432000</v>
      </c>
      <c r="M639" s="37" t="n">
        <v>21600</v>
      </c>
      <c r="N639" s="30" t="n">
        <v>86400</v>
      </c>
      <c r="O639" s="30" t="n">
        <v>432000</v>
      </c>
      <c r="P639" s="31" t="n">
        <v>0</v>
      </c>
      <c r="Q639" s="302" t="n">
        <v>45635</v>
      </c>
    </row>
    <row r="640" customFormat="false" ht="28.35" hidden="true" customHeight="false" outlineLevel="0" collapsed="false">
      <c r="A640" s="332" t="n">
        <v>2734</v>
      </c>
      <c r="B640" s="21" t="s">
        <v>507</v>
      </c>
      <c r="C640" s="21" t="s">
        <v>508</v>
      </c>
      <c r="D640" s="44"/>
      <c r="E640" s="25" t="n">
        <v>45502</v>
      </c>
      <c r="F640" s="25" t="n">
        <v>45642</v>
      </c>
      <c r="G640" s="72" t="n">
        <v>100</v>
      </c>
      <c r="H640" s="320" t="n">
        <v>100</v>
      </c>
      <c r="I640" s="320" t="n">
        <v>0</v>
      </c>
      <c r="J640" s="52" t="s">
        <v>1163</v>
      </c>
      <c r="K640" s="36" t="n">
        <v>100000</v>
      </c>
      <c r="L640" s="36" t="n">
        <v>216000</v>
      </c>
      <c r="M640" s="37" t="n">
        <v>10800</v>
      </c>
      <c r="N640" s="30" t="n">
        <v>43200</v>
      </c>
      <c r="O640" s="30" t="n">
        <v>216000</v>
      </c>
      <c r="P640" s="31" t="n">
        <v>0</v>
      </c>
      <c r="Q640" s="302" t="n">
        <v>45635</v>
      </c>
    </row>
    <row r="641" customFormat="false" ht="14.9" hidden="true" customHeight="false" outlineLevel="0" collapsed="false">
      <c r="A641" s="332" t="n">
        <v>2779</v>
      </c>
      <c r="B641" s="21" t="s">
        <v>519</v>
      </c>
      <c r="C641" s="21" t="s">
        <v>520</v>
      </c>
      <c r="D641" s="44"/>
      <c r="E641" s="25" t="n">
        <v>45528</v>
      </c>
      <c r="F641" s="25" t="n">
        <v>45629</v>
      </c>
      <c r="G641" s="72" t="n">
        <v>72</v>
      </c>
      <c r="H641" s="320" t="n">
        <v>72</v>
      </c>
      <c r="I641" s="320" t="n">
        <v>0</v>
      </c>
      <c r="J641" s="34" t="s">
        <v>381</v>
      </c>
      <c r="K641" s="36" t="n">
        <v>50000</v>
      </c>
      <c r="L641" s="36" t="n">
        <v>108000</v>
      </c>
      <c r="M641" s="37" t="n">
        <v>7500</v>
      </c>
      <c r="N641" s="30" t="n">
        <v>1500</v>
      </c>
      <c r="O641" s="30" t="n">
        <v>108000</v>
      </c>
      <c r="P641" s="31" t="n">
        <v>0</v>
      </c>
      <c r="Q641" s="302" t="n">
        <v>45635</v>
      </c>
    </row>
    <row r="642" customFormat="false" ht="28.35" hidden="true" customHeight="false" outlineLevel="0" collapsed="false">
      <c r="A642" s="332" t="n">
        <v>2769</v>
      </c>
      <c r="B642" s="21" t="s">
        <v>885</v>
      </c>
      <c r="C642" s="21" t="s">
        <v>886</v>
      </c>
      <c r="D642" s="44" t="s">
        <v>526</v>
      </c>
      <c r="E642" s="25" t="n">
        <v>45523</v>
      </c>
      <c r="F642" s="25" t="n">
        <v>45623</v>
      </c>
      <c r="G642" s="72" t="n">
        <v>72</v>
      </c>
      <c r="H642" s="320" t="n">
        <v>72</v>
      </c>
      <c r="I642" s="320" t="n">
        <v>0</v>
      </c>
      <c r="J642" s="34" t="s">
        <v>266</v>
      </c>
      <c r="K642" s="57" t="n">
        <v>100000</v>
      </c>
      <c r="L642" s="36" t="n">
        <v>216000</v>
      </c>
      <c r="M642" s="37" t="n">
        <v>15000</v>
      </c>
      <c r="N642" s="30" t="n">
        <v>6000</v>
      </c>
      <c r="O642" s="30" t="n">
        <v>216000</v>
      </c>
      <c r="P642" s="31" t="n">
        <v>0</v>
      </c>
      <c r="Q642" s="302" t="n">
        <v>45635</v>
      </c>
    </row>
    <row r="643" customFormat="false" ht="14.25" hidden="true" customHeight="false" outlineLevel="0" collapsed="false">
      <c r="A643" s="332" t="n">
        <v>2917</v>
      </c>
      <c r="B643" s="21" t="s">
        <v>984</v>
      </c>
      <c r="C643" s="21"/>
      <c r="D643" s="44"/>
      <c r="E643" s="25" t="n">
        <v>45614</v>
      </c>
      <c r="F643" s="25" t="n">
        <v>45642</v>
      </c>
      <c r="G643" s="72" t="n">
        <v>20</v>
      </c>
      <c r="H643" s="320" t="e">
        <f aca="false">#VALUE!</f>
        <v>#VALUE!</v>
      </c>
      <c r="I643" s="320" t="e">
        <f aca="false">#VALUE!</f>
        <v>#VALUE!</v>
      </c>
      <c r="J643" s="52" t="s">
        <v>580</v>
      </c>
      <c r="K643" s="341" t="n">
        <v>40000</v>
      </c>
      <c r="L643" s="31" t="n">
        <v>60000</v>
      </c>
      <c r="M643" s="37" t="s">
        <v>214</v>
      </c>
      <c r="N643" s="30" t="n">
        <v>60000</v>
      </c>
      <c r="O643" s="30" t="n">
        <v>60000</v>
      </c>
      <c r="P643" s="31" t="n">
        <v>0</v>
      </c>
      <c r="Q643" s="302" t="n">
        <v>45635</v>
      </c>
    </row>
    <row r="644" customFormat="false" ht="14.25" hidden="true" customHeight="false" outlineLevel="0" collapsed="false">
      <c r="A644" s="332" t="n">
        <v>2918</v>
      </c>
      <c r="B644" s="21" t="s">
        <v>984</v>
      </c>
      <c r="C644" s="21"/>
      <c r="D644" s="44"/>
      <c r="E644" s="25" t="n">
        <v>45645</v>
      </c>
      <c r="F644" s="25" t="n">
        <v>45673</v>
      </c>
      <c r="G644" s="72" t="n">
        <v>20</v>
      </c>
      <c r="H644" s="320" t="e">
        <f aca="false">#DIV/0!</f>
        <v>#DIV/0!</v>
      </c>
      <c r="I644" s="320" t="e">
        <f aca="false">#DIV/0!</f>
        <v>#DIV/0!</v>
      </c>
      <c r="J644" s="52" t="s">
        <v>580</v>
      </c>
      <c r="K644" s="36" t="n">
        <v>20000</v>
      </c>
      <c r="L644" s="36" t="n">
        <v>30000</v>
      </c>
      <c r="M644" s="37"/>
      <c r="N644" s="30" t="n">
        <v>30000</v>
      </c>
      <c r="O644" s="30" t="n">
        <v>30000</v>
      </c>
      <c r="P644" s="31" t="n">
        <v>0</v>
      </c>
      <c r="Q644" s="302" t="n">
        <v>45635</v>
      </c>
    </row>
    <row r="645" customFormat="false" ht="14.9" hidden="true" customHeight="false" outlineLevel="0" collapsed="false">
      <c r="A645" s="332" t="n">
        <v>2757</v>
      </c>
      <c r="B645" s="21" t="s">
        <v>638</v>
      </c>
      <c r="C645" s="21" t="s">
        <v>639</v>
      </c>
      <c r="D645" s="44" t="n">
        <v>2034839888</v>
      </c>
      <c r="E645" s="25" t="n">
        <v>45517</v>
      </c>
      <c r="F645" s="25" t="n">
        <v>45629</v>
      </c>
      <c r="G645" s="72" t="n">
        <v>80</v>
      </c>
      <c r="H645" s="320" t="n">
        <v>80</v>
      </c>
      <c r="I645" s="320" t="n">
        <v>0</v>
      </c>
      <c r="J645" s="52" t="s">
        <v>923</v>
      </c>
      <c r="K645" s="36" t="n">
        <v>30000</v>
      </c>
      <c r="L645" s="36" t="n">
        <v>64800</v>
      </c>
      <c r="M645" s="37" t="n">
        <v>4050</v>
      </c>
      <c r="N645" s="30" t="n">
        <v>16200</v>
      </c>
      <c r="O645" s="30" t="n">
        <v>64800</v>
      </c>
      <c r="P645" s="31" t="n">
        <v>0</v>
      </c>
      <c r="Q645" s="302" t="n">
        <v>45635</v>
      </c>
    </row>
    <row r="646" customFormat="false" ht="17.9" hidden="true" customHeight="false" outlineLevel="0" collapsed="false">
      <c r="A646" s="332" t="n">
        <v>2685</v>
      </c>
      <c r="B646" s="34" t="s">
        <v>236</v>
      </c>
      <c r="C646" s="21" t="s">
        <v>237</v>
      </c>
      <c r="D646" s="44"/>
      <c r="E646" s="25" t="n">
        <v>45470</v>
      </c>
      <c r="F646" s="25" t="n">
        <v>45624</v>
      </c>
      <c r="G646" s="72" t="n">
        <v>110</v>
      </c>
      <c r="H646" s="320" t="n">
        <v>111.111111111111</v>
      </c>
      <c r="I646" s="320" t="n">
        <v>-1.11111111111111</v>
      </c>
      <c r="J646" s="68" t="s">
        <v>1164</v>
      </c>
      <c r="K646" s="36" t="n">
        <v>150000</v>
      </c>
      <c r="L646" s="36" t="n">
        <v>396000</v>
      </c>
      <c r="M646" s="37" t="n">
        <v>18000</v>
      </c>
      <c r="N646" s="30" t="n">
        <v>85000</v>
      </c>
      <c r="O646" s="30" t="n">
        <v>400000</v>
      </c>
      <c r="P646" s="31" t="n">
        <v>-4000</v>
      </c>
      <c r="Q646" s="302" t="n">
        <v>45642</v>
      </c>
    </row>
    <row r="647" customFormat="false" ht="26.1" hidden="true" customHeight="false" outlineLevel="0" collapsed="false">
      <c r="A647" s="332" t="n">
        <v>2780</v>
      </c>
      <c r="B647" s="34" t="s">
        <v>744</v>
      </c>
      <c r="C647" s="21" t="s">
        <v>745</v>
      </c>
      <c r="D647" s="44"/>
      <c r="E647" s="25" t="n">
        <v>45531</v>
      </c>
      <c r="F647" s="25" t="n">
        <v>45631</v>
      </c>
      <c r="G647" s="72" t="n">
        <v>72</v>
      </c>
      <c r="H647" s="320" t="n">
        <v>72.0833333333333</v>
      </c>
      <c r="I647" s="320" t="n">
        <v>-0.0833333333333286</v>
      </c>
      <c r="J647" s="34" t="s">
        <v>749</v>
      </c>
      <c r="K647" s="36" t="n">
        <v>20000</v>
      </c>
      <c r="L647" s="36" t="n">
        <v>43200</v>
      </c>
      <c r="M647" s="37" t="n">
        <v>3000</v>
      </c>
      <c r="N647" s="30" t="n">
        <v>4000</v>
      </c>
      <c r="O647" s="30" t="n">
        <v>43250</v>
      </c>
      <c r="P647" s="31" t="n">
        <v>-50</v>
      </c>
      <c r="Q647" s="302" t="n">
        <v>45642</v>
      </c>
    </row>
    <row r="648" customFormat="false" ht="28.35" hidden="true" customHeight="false" outlineLevel="0" collapsed="false">
      <c r="A648" s="332" t="n">
        <v>2582</v>
      </c>
      <c r="B648" s="21" t="s">
        <v>326</v>
      </c>
      <c r="C648" s="21" t="s">
        <v>327</v>
      </c>
      <c r="D648" s="44" t="s">
        <v>328</v>
      </c>
      <c r="E648" s="25" t="n">
        <v>45400</v>
      </c>
      <c r="F648" s="25" t="n">
        <v>45596</v>
      </c>
      <c r="G648" s="72" t="n">
        <v>140</v>
      </c>
      <c r="H648" s="320" t="n">
        <v>140.373333333333</v>
      </c>
      <c r="I648" s="320" t="n">
        <v>-0.373333333333335</v>
      </c>
      <c r="J648" s="52" t="s">
        <v>1165</v>
      </c>
      <c r="K648" s="36" t="n">
        <v>200000</v>
      </c>
      <c r="L648" s="36" t="n">
        <v>525000</v>
      </c>
      <c r="M648" s="37" t="n">
        <v>18750</v>
      </c>
      <c r="N648" s="30" t="n">
        <v>25000</v>
      </c>
      <c r="O648" s="30" t="n">
        <v>526400</v>
      </c>
      <c r="P648" s="31" t="n">
        <v>-1400</v>
      </c>
      <c r="Q648" s="302" t="n">
        <v>45642</v>
      </c>
    </row>
    <row r="649" customFormat="false" ht="28.35" hidden="true" customHeight="false" outlineLevel="0" collapsed="false">
      <c r="A649" s="332" t="n">
        <v>2929</v>
      </c>
      <c r="B649" s="21" t="s">
        <v>396</v>
      </c>
      <c r="C649" s="21" t="s">
        <v>397</v>
      </c>
      <c r="D649" s="44"/>
      <c r="E649" s="342" t="n">
        <v>45621</v>
      </c>
      <c r="F649" s="25" t="n">
        <v>45649</v>
      </c>
      <c r="G649" s="72" t="n">
        <v>20</v>
      </c>
      <c r="H649" s="320" t="e">
        <f aca="false">#DIV/0!</f>
        <v>#DIV/0!</v>
      </c>
      <c r="I649" s="320" t="e">
        <f aca="false">#DIV/0!</f>
        <v>#DIV/0!</v>
      </c>
      <c r="J649" s="52" t="s">
        <v>1166</v>
      </c>
      <c r="K649" s="36" t="n">
        <v>100000</v>
      </c>
      <c r="L649" s="36" t="n">
        <v>150000</v>
      </c>
      <c r="M649" s="37"/>
      <c r="N649" s="30" t="n">
        <v>150000</v>
      </c>
      <c r="O649" s="30" t="n">
        <v>150000</v>
      </c>
      <c r="P649" s="31" t="n">
        <v>0</v>
      </c>
      <c r="Q649" s="302" t="n">
        <v>45642</v>
      </c>
    </row>
    <row r="650" customFormat="false" ht="14.9" hidden="true" customHeight="false" outlineLevel="0" collapsed="false">
      <c r="A650" s="332" t="n">
        <v>2933</v>
      </c>
      <c r="B650" s="21" t="s">
        <v>429</v>
      </c>
      <c r="C650" s="21"/>
      <c r="D650" s="44"/>
      <c r="E650" s="25" t="n">
        <v>45624</v>
      </c>
      <c r="F650" s="25" t="n">
        <v>45631</v>
      </c>
      <c r="G650" s="72" t="n">
        <v>5</v>
      </c>
      <c r="H650" s="320" t="e">
        <f aca="false">#DIV/0!</f>
        <v>#DIV/0!</v>
      </c>
      <c r="I650" s="320" t="e">
        <f aca="false">#DIV/0!</f>
        <v>#DIV/0!</v>
      </c>
      <c r="J650" s="52" t="s">
        <v>580</v>
      </c>
      <c r="K650" s="46" t="n">
        <v>30000</v>
      </c>
      <c r="L650" s="36" t="n">
        <v>39000</v>
      </c>
      <c r="M650" s="37"/>
      <c r="N650" s="30" t="n">
        <v>39000</v>
      </c>
      <c r="O650" s="30" t="n">
        <v>39000</v>
      </c>
      <c r="P650" s="31" t="n">
        <v>0</v>
      </c>
      <c r="Q650" s="302" t="n">
        <v>45642</v>
      </c>
    </row>
    <row r="651" customFormat="false" ht="28.35" hidden="true" customHeight="false" outlineLevel="0" collapsed="false">
      <c r="A651" s="332" t="n">
        <v>2627</v>
      </c>
      <c r="B651" s="21" t="s">
        <v>971</v>
      </c>
      <c r="C651" s="21" t="s">
        <v>972</v>
      </c>
      <c r="D651" s="44"/>
      <c r="E651" s="25" t="n">
        <v>45428</v>
      </c>
      <c r="F651" s="25" t="n">
        <v>45530</v>
      </c>
      <c r="G651" s="72" t="n">
        <v>72</v>
      </c>
      <c r="H651" s="320" t="n">
        <v>88.5654135338346</v>
      </c>
      <c r="I651" s="320" t="n">
        <v>-16.5654135338346</v>
      </c>
      <c r="J651" s="68" t="s">
        <v>1167</v>
      </c>
      <c r="K651" s="36" t="n">
        <v>30000</v>
      </c>
      <c r="L651" s="36" t="n">
        <v>66500</v>
      </c>
      <c r="M651" s="37" t="n">
        <v>4618.05555555556</v>
      </c>
      <c r="N651" s="30" t="n">
        <v>24800</v>
      </c>
      <c r="O651" s="30" t="n">
        <v>81800</v>
      </c>
      <c r="P651" s="31" t="n">
        <v>-15300</v>
      </c>
      <c r="Q651" s="302" t="n">
        <v>45642</v>
      </c>
    </row>
    <row r="652" customFormat="false" ht="14.25" hidden="true" customHeight="false" outlineLevel="0" collapsed="false">
      <c r="A652" s="332" t="n">
        <v>2927</v>
      </c>
      <c r="B652" s="21" t="s">
        <v>861</v>
      </c>
      <c r="C652" s="21"/>
      <c r="D652" s="44"/>
      <c r="E652" s="25" t="n">
        <v>45619</v>
      </c>
      <c r="F652" s="25" t="n">
        <v>45646</v>
      </c>
      <c r="G652" s="72" t="n">
        <v>20</v>
      </c>
      <c r="H652" s="320" t="e">
        <f aca="false">#DIV/0!</f>
        <v>#DIV/0!</v>
      </c>
      <c r="I652" s="320" t="e">
        <f aca="false">#DIV/0!</f>
        <v>#DIV/0!</v>
      </c>
      <c r="J652" s="52" t="s">
        <v>580</v>
      </c>
      <c r="K652" s="31" t="n">
        <v>20000</v>
      </c>
      <c r="L652" s="31" t="n">
        <v>30000</v>
      </c>
      <c r="M652" s="37"/>
      <c r="N652" s="30" t="n">
        <v>30000</v>
      </c>
      <c r="O652" s="30" t="n">
        <v>30000</v>
      </c>
      <c r="P652" s="31" t="n">
        <v>0</v>
      </c>
      <c r="Q652" s="302" t="n">
        <v>45642</v>
      </c>
    </row>
    <row r="653" customFormat="false" ht="14.25" hidden="true" customHeight="false" outlineLevel="0" collapsed="false">
      <c r="A653" s="332" t="n">
        <v>2937</v>
      </c>
      <c r="B653" s="21" t="s">
        <v>861</v>
      </c>
      <c r="C653" s="21"/>
      <c r="D653" s="44"/>
      <c r="E653" s="25" t="n">
        <v>45624</v>
      </c>
      <c r="F653" s="25" t="n">
        <v>45652</v>
      </c>
      <c r="G653" s="72" t="n">
        <v>20</v>
      </c>
      <c r="H653" s="320" t="e">
        <f aca="false">#DIV/0!</f>
        <v>#DIV/0!</v>
      </c>
      <c r="I653" s="320" t="e">
        <f aca="false">#DIV/0!</f>
        <v>#DIV/0!</v>
      </c>
      <c r="J653" s="52" t="s">
        <v>580</v>
      </c>
      <c r="K653" s="36" t="n">
        <v>20000</v>
      </c>
      <c r="L653" s="36" t="n">
        <v>30000</v>
      </c>
      <c r="M653" s="37"/>
      <c r="N653" s="30" t="n">
        <v>30000</v>
      </c>
      <c r="O653" s="30" t="n">
        <v>30000</v>
      </c>
      <c r="P653" s="31" t="n">
        <v>0</v>
      </c>
      <c r="Q653" s="302" t="n">
        <v>45642</v>
      </c>
    </row>
    <row r="654" customFormat="false" ht="14.9" hidden="true" customHeight="false" outlineLevel="0" collapsed="false">
      <c r="A654" s="332" t="n">
        <v>2527</v>
      </c>
      <c r="B654" s="21" t="s">
        <v>510</v>
      </c>
      <c r="C654" s="21"/>
      <c r="D654" s="44"/>
      <c r="E654" s="25" t="n">
        <v>45369</v>
      </c>
      <c r="F654" s="25" t="n">
        <v>45649</v>
      </c>
      <c r="G654" s="72" t="n">
        <v>200</v>
      </c>
      <c r="H654" s="320" t="n">
        <v>200</v>
      </c>
      <c r="I654" s="320" t="n">
        <v>0</v>
      </c>
      <c r="J654" s="52" t="s">
        <v>1168</v>
      </c>
      <c r="K654" s="36" t="n">
        <v>100000</v>
      </c>
      <c r="L654" s="36" t="n">
        <v>308000</v>
      </c>
      <c r="M654" s="37" t="n">
        <v>7700</v>
      </c>
      <c r="N654" s="30" t="n">
        <v>30800</v>
      </c>
      <c r="O654" s="30" t="n">
        <v>308000</v>
      </c>
      <c r="P654" s="31" t="n">
        <v>0</v>
      </c>
      <c r="Q654" s="302" t="n">
        <v>45642</v>
      </c>
    </row>
    <row r="655" customFormat="false" ht="21.6" hidden="true" customHeight="false" outlineLevel="0" collapsed="false">
      <c r="A655" s="332" t="n">
        <v>2384</v>
      </c>
      <c r="B655" s="21" t="s">
        <v>565</v>
      </c>
      <c r="C655" s="21" t="s">
        <v>566</v>
      </c>
      <c r="D655" s="44"/>
      <c r="E655" s="25" t="n">
        <v>45281</v>
      </c>
      <c r="F655" s="25" t="n">
        <v>45589</v>
      </c>
      <c r="G655" s="72" t="n">
        <v>220</v>
      </c>
      <c r="H655" s="320" t="n">
        <v>220</v>
      </c>
      <c r="I655" s="320" t="n">
        <v>0</v>
      </c>
      <c r="J655" s="68" t="s">
        <v>1169</v>
      </c>
      <c r="K655" s="36" t="n">
        <v>200000</v>
      </c>
      <c r="L655" s="36" t="n">
        <v>600160</v>
      </c>
      <c r="M655" s="29" t="n">
        <v>13640</v>
      </c>
      <c r="N655" s="30" t="n">
        <v>54560</v>
      </c>
      <c r="O655" s="30" t="n">
        <v>600160</v>
      </c>
      <c r="P655" s="31" t="n">
        <v>0</v>
      </c>
      <c r="Q655" s="302" t="n">
        <v>45642</v>
      </c>
    </row>
    <row r="656" customFormat="false" ht="14.9" hidden="true" customHeight="false" outlineLevel="0" collapsed="false">
      <c r="A656" s="332" t="n">
        <v>2957</v>
      </c>
      <c r="B656" s="21" t="s">
        <v>429</v>
      </c>
      <c r="C656" s="21"/>
      <c r="D656" s="44"/>
      <c r="E656" s="25" t="n">
        <v>45642</v>
      </c>
      <c r="F656" s="25" t="n">
        <v>45649</v>
      </c>
      <c r="G656" s="72" t="n">
        <v>5</v>
      </c>
      <c r="H656" s="320" t="e">
        <f aca="false">#DIV/0!</f>
        <v>#DIV/0!</v>
      </c>
      <c r="I656" s="320" t="e">
        <f aca="false">#DIV/0!</f>
        <v>#DIV/0!</v>
      </c>
      <c r="J656" s="52" t="s">
        <v>580</v>
      </c>
      <c r="K656" s="46" t="n">
        <v>30000</v>
      </c>
      <c r="L656" s="36" t="n">
        <v>39000</v>
      </c>
      <c r="M656" s="37"/>
      <c r="N656" s="30" t="n">
        <v>39000</v>
      </c>
      <c r="O656" s="30" t="n">
        <v>39000</v>
      </c>
      <c r="P656" s="31" t="n">
        <v>0</v>
      </c>
      <c r="Q656" s="302" t="n">
        <v>45642</v>
      </c>
    </row>
    <row r="657" customFormat="false" ht="26.1" hidden="true" customHeight="false" outlineLevel="0" collapsed="false">
      <c r="A657" s="332" t="n">
        <v>2790</v>
      </c>
      <c r="B657" s="34" t="s">
        <v>744</v>
      </c>
      <c r="C657" s="21" t="s">
        <v>745</v>
      </c>
      <c r="D657" s="44"/>
      <c r="E657" s="25" t="n">
        <v>45539</v>
      </c>
      <c r="F657" s="25" t="n">
        <v>45639</v>
      </c>
      <c r="G657" s="72" t="n">
        <v>72</v>
      </c>
      <c r="H657" s="320" t="n">
        <v>72</v>
      </c>
      <c r="I657" s="320" t="n">
        <v>0</v>
      </c>
      <c r="J657" s="34" t="s">
        <v>788</v>
      </c>
      <c r="K657" s="36" t="n">
        <v>15000</v>
      </c>
      <c r="L657" s="36" t="n">
        <v>32400</v>
      </c>
      <c r="M657" s="37" t="n">
        <v>2250</v>
      </c>
      <c r="N657" s="30" t="n">
        <v>650</v>
      </c>
      <c r="O657" s="30" t="n">
        <v>32400</v>
      </c>
      <c r="P657" s="31" t="n">
        <v>0</v>
      </c>
      <c r="Q657" s="302" t="n">
        <v>45649</v>
      </c>
    </row>
    <row r="658" customFormat="false" ht="17.9" hidden="true" customHeight="false" outlineLevel="0" collapsed="false">
      <c r="A658" s="332" t="n">
        <v>2851</v>
      </c>
      <c r="B658" s="34" t="s">
        <v>291</v>
      </c>
      <c r="C658" s="21" t="s">
        <v>292</v>
      </c>
      <c r="D658" s="44"/>
      <c r="E658" s="25" t="n">
        <v>45575</v>
      </c>
      <c r="F658" s="25" t="n">
        <v>45677</v>
      </c>
      <c r="G658" s="72" t="n">
        <v>72</v>
      </c>
      <c r="H658" s="320" t="n">
        <v>72</v>
      </c>
      <c r="I658" s="320" t="n">
        <v>0</v>
      </c>
      <c r="J658" s="34" t="s">
        <v>381</v>
      </c>
      <c r="K658" s="36" t="n">
        <v>50000</v>
      </c>
      <c r="L658" s="36" t="n">
        <v>108000</v>
      </c>
      <c r="M658" s="37" t="n">
        <v>7500</v>
      </c>
      <c r="N658" s="30" t="n">
        <v>3000</v>
      </c>
      <c r="O658" s="30" t="n">
        <v>108000</v>
      </c>
      <c r="P658" s="31" t="n">
        <v>0</v>
      </c>
      <c r="Q658" s="302" t="n">
        <v>45649</v>
      </c>
    </row>
    <row r="659" customFormat="false" ht="14.9" hidden="true" customHeight="false" outlineLevel="0" collapsed="false">
      <c r="A659" s="332" t="n">
        <v>2936</v>
      </c>
      <c r="B659" s="21" t="s">
        <v>333</v>
      </c>
      <c r="C659" s="21" t="s">
        <v>334</v>
      </c>
      <c r="D659" s="44"/>
      <c r="E659" s="25" t="n">
        <v>45625</v>
      </c>
      <c r="F659" s="25" t="n">
        <v>45653</v>
      </c>
      <c r="G659" s="72" t="n">
        <v>20</v>
      </c>
      <c r="H659" s="320" t="e">
        <f aca="false">#VALUE!</f>
        <v>#VALUE!</v>
      </c>
      <c r="I659" s="320" t="e">
        <f aca="false">#VALUE!</f>
        <v>#VALUE!</v>
      </c>
      <c r="J659" s="52" t="s">
        <v>580</v>
      </c>
      <c r="K659" s="36" t="n">
        <v>400000</v>
      </c>
      <c r="L659" s="36" t="n">
        <v>550000</v>
      </c>
      <c r="M659" s="37" t="s">
        <v>214</v>
      </c>
      <c r="N659" s="30" t="n">
        <v>550000</v>
      </c>
      <c r="O659" s="30" t="n">
        <v>550000</v>
      </c>
      <c r="P659" s="31" t="n">
        <v>0</v>
      </c>
      <c r="Q659" s="302" t="n">
        <v>45649</v>
      </c>
    </row>
    <row r="660" customFormat="false" ht="14.9" hidden="true" customHeight="false" outlineLevel="0" collapsed="false">
      <c r="A660" s="332" t="n">
        <v>2966</v>
      </c>
      <c r="B660" s="21" t="s">
        <v>429</v>
      </c>
      <c r="C660" s="21"/>
      <c r="D660" s="44"/>
      <c r="E660" s="25" t="n">
        <v>45647</v>
      </c>
      <c r="F660" s="25" t="n">
        <v>45653</v>
      </c>
      <c r="G660" s="72" t="n">
        <v>5</v>
      </c>
      <c r="H660" s="320" t="e">
        <f aca="false">#DIV/0!</f>
        <v>#DIV/0!</v>
      </c>
      <c r="I660" s="320" t="e">
        <f aca="false">#DIV/0!</f>
        <v>#DIV/0!</v>
      </c>
      <c r="J660" s="52" t="s">
        <v>580</v>
      </c>
      <c r="K660" s="46" t="n">
        <v>30000</v>
      </c>
      <c r="L660" s="36" t="n">
        <v>39000</v>
      </c>
      <c r="M660" s="37"/>
      <c r="N660" s="30" t="n">
        <v>39000</v>
      </c>
      <c r="O660" s="30" t="n">
        <v>39000</v>
      </c>
      <c r="P660" s="31" t="n">
        <v>0</v>
      </c>
      <c r="Q660" s="302" t="n">
        <v>45649</v>
      </c>
    </row>
    <row r="661" customFormat="false" ht="21.6" hidden="true" customHeight="false" outlineLevel="0" collapsed="false">
      <c r="A661" s="332" t="n">
        <v>2767</v>
      </c>
      <c r="B661" s="21" t="s">
        <v>450</v>
      </c>
      <c r="C661" s="21" t="s">
        <v>451</v>
      </c>
      <c r="D661" s="44"/>
      <c r="E661" s="25" t="n">
        <v>45521</v>
      </c>
      <c r="F661" s="25" t="n">
        <v>45622</v>
      </c>
      <c r="G661" s="72" t="n">
        <v>72</v>
      </c>
      <c r="H661" s="320" t="n">
        <v>72</v>
      </c>
      <c r="I661" s="320" t="n">
        <v>0</v>
      </c>
      <c r="J661" s="34" t="s">
        <v>788</v>
      </c>
      <c r="K661" s="36" t="n">
        <v>15000</v>
      </c>
      <c r="L661" s="36" t="n">
        <v>32400</v>
      </c>
      <c r="M661" s="37" t="n">
        <v>2250</v>
      </c>
      <c r="N661" s="30" t="n">
        <v>9900</v>
      </c>
      <c r="O661" s="30" t="n">
        <v>32400</v>
      </c>
      <c r="P661" s="31" t="n">
        <v>0</v>
      </c>
      <c r="Q661" s="302" t="n">
        <v>45649</v>
      </c>
    </row>
    <row r="662" customFormat="false" ht="21.6" hidden="true" customHeight="false" outlineLevel="0" collapsed="false">
      <c r="A662" s="332" t="n">
        <v>2689</v>
      </c>
      <c r="B662" s="21" t="s">
        <v>607</v>
      </c>
      <c r="C662" s="21" t="s">
        <v>608</v>
      </c>
      <c r="D662" s="44" t="n">
        <v>35869349</v>
      </c>
      <c r="E662" s="25" t="n">
        <v>45472</v>
      </c>
      <c r="F662" s="25" t="n">
        <v>45625</v>
      </c>
      <c r="G662" s="72" t="n">
        <v>110</v>
      </c>
      <c r="H662" s="320" t="n">
        <v>110</v>
      </c>
      <c r="I662" s="320" t="n">
        <v>0</v>
      </c>
      <c r="J662" s="68" t="s">
        <v>1170</v>
      </c>
      <c r="K662" s="36" t="n">
        <v>110000</v>
      </c>
      <c r="L662" s="36" t="n">
        <v>290400</v>
      </c>
      <c r="M662" s="37" t="n">
        <v>13200</v>
      </c>
      <c r="N662" s="30" t="n">
        <v>26200</v>
      </c>
      <c r="O662" s="30" t="n">
        <v>290400</v>
      </c>
      <c r="P662" s="31" t="n">
        <v>0</v>
      </c>
      <c r="Q662" s="302" t="n">
        <v>45649</v>
      </c>
    </row>
    <row r="663" customFormat="false" ht="14.9" hidden="true" customHeight="false" outlineLevel="0" collapsed="false">
      <c r="A663" s="332" t="n">
        <v>2745</v>
      </c>
      <c r="B663" s="21" t="s">
        <v>385</v>
      </c>
      <c r="C663" s="21" t="s">
        <v>796</v>
      </c>
      <c r="D663" s="44"/>
      <c r="E663" s="25" t="n">
        <v>45511</v>
      </c>
      <c r="F663" s="25" t="n">
        <v>45623</v>
      </c>
      <c r="G663" s="72" t="n">
        <v>80</v>
      </c>
      <c r="H663" s="320" t="n">
        <v>80</v>
      </c>
      <c r="I663" s="320" t="n">
        <v>0</v>
      </c>
      <c r="J663" s="52" t="s">
        <v>389</v>
      </c>
      <c r="K663" s="36" t="n">
        <v>70000</v>
      </c>
      <c r="L663" s="36" t="n">
        <v>151200</v>
      </c>
      <c r="M663" s="37" t="n">
        <v>9450</v>
      </c>
      <c r="N663" s="30" t="n">
        <v>37800</v>
      </c>
      <c r="O663" s="30" t="n">
        <v>151200</v>
      </c>
      <c r="P663" s="31" t="n">
        <v>0</v>
      </c>
      <c r="Q663" s="302" t="n">
        <v>45656</v>
      </c>
    </row>
    <row r="664" customFormat="false" ht="14.9" hidden="true" customHeight="false" outlineLevel="0" collapsed="false">
      <c r="A664" s="332" t="n">
        <v>2977</v>
      </c>
      <c r="B664" s="21" t="s">
        <v>429</v>
      </c>
      <c r="C664" s="21"/>
      <c r="D664" s="44"/>
      <c r="E664" s="25" t="n">
        <v>45654</v>
      </c>
      <c r="F664" s="25" t="n">
        <v>45660</v>
      </c>
      <c r="G664" s="72" t="n">
        <v>5</v>
      </c>
      <c r="H664" s="320" t="e">
        <f aca="false">#DIV/0!</f>
        <v>#DIV/0!</v>
      </c>
      <c r="I664" s="320" t="e">
        <f aca="false">#DIV/0!</f>
        <v>#DIV/0!</v>
      </c>
      <c r="J664" s="52" t="s">
        <v>580</v>
      </c>
      <c r="K664" s="46" t="n">
        <v>30000</v>
      </c>
      <c r="L664" s="36" t="n">
        <v>39000</v>
      </c>
      <c r="M664" s="37"/>
      <c r="N664" s="30" t="n">
        <v>39000</v>
      </c>
      <c r="O664" s="30" t="n">
        <v>39000</v>
      </c>
      <c r="P664" s="31" t="n">
        <v>0</v>
      </c>
      <c r="Q664" s="302" t="n">
        <v>45656</v>
      </c>
    </row>
    <row r="665" customFormat="false" ht="14.9" hidden="true" customHeight="false" outlineLevel="0" collapsed="false">
      <c r="A665" s="332" t="n">
        <v>2791</v>
      </c>
      <c r="B665" s="21" t="s">
        <v>519</v>
      </c>
      <c r="C665" s="21" t="s">
        <v>520</v>
      </c>
      <c r="D665" s="44"/>
      <c r="E665" s="25" t="n">
        <v>45541</v>
      </c>
      <c r="F665" s="25" t="n">
        <v>45643</v>
      </c>
      <c r="G665" s="72" t="n">
        <v>72</v>
      </c>
      <c r="H665" s="320" t="n">
        <v>72</v>
      </c>
      <c r="I665" s="320" t="n">
        <v>0</v>
      </c>
      <c r="J665" s="34" t="s">
        <v>452</v>
      </c>
      <c r="K665" s="36" t="n">
        <v>30000</v>
      </c>
      <c r="L665" s="36" t="n">
        <v>64800</v>
      </c>
      <c r="M665" s="37" t="n">
        <v>4500</v>
      </c>
      <c r="N665" s="30" t="n">
        <v>14800</v>
      </c>
      <c r="O665" s="30" t="n">
        <v>64800</v>
      </c>
      <c r="P665" s="31" t="n">
        <v>0</v>
      </c>
      <c r="Q665" s="302" t="n">
        <v>45656</v>
      </c>
    </row>
    <row r="666" customFormat="false" ht="17.9" hidden="false" customHeight="false" outlineLevel="0" collapsed="false">
      <c r="A666" s="332" t="n">
        <v>2716</v>
      </c>
      <c r="B666" s="21" t="s">
        <v>568</v>
      </c>
      <c r="C666" s="21" t="s">
        <v>569</v>
      </c>
      <c r="D666" s="44"/>
      <c r="E666" s="25" t="n">
        <v>45490</v>
      </c>
      <c r="F666" s="25" t="n">
        <v>45658</v>
      </c>
      <c r="G666" s="72" t="n">
        <v>120</v>
      </c>
      <c r="H666" s="320" t="n">
        <v>120</v>
      </c>
      <c r="I666" s="320" t="n">
        <v>0</v>
      </c>
      <c r="J666" s="52" t="s">
        <v>1171</v>
      </c>
      <c r="K666" s="36" t="n">
        <v>80000</v>
      </c>
      <c r="L666" s="36" t="n">
        <v>211200</v>
      </c>
      <c r="M666" s="37" t="n">
        <v>8800</v>
      </c>
      <c r="N666" s="30" t="n">
        <v>35200</v>
      </c>
      <c r="O666" s="30" t="n">
        <v>211200</v>
      </c>
      <c r="P666" s="31" t="n">
        <v>0</v>
      </c>
      <c r="Q666" s="302" t="n">
        <v>45656</v>
      </c>
    </row>
    <row r="667" customFormat="false" ht="17.9" hidden="false" customHeight="false" outlineLevel="0" collapsed="false">
      <c r="A667" s="332" t="n">
        <v>2765</v>
      </c>
      <c r="B667" s="21" t="s">
        <v>568</v>
      </c>
      <c r="C667" s="21" t="s">
        <v>569</v>
      </c>
      <c r="D667" s="44"/>
      <c r="E667" s="25" t="n">
        <v>45520</v>
      </c>
      <c r="F667" s="25" t="n">
        <v>45688</v>
      </c>
      <c r="G667" s="72" t="n">
        <v>120</v>
      </c>
      <c r="H667" s="320" t="n">
        <v>120</v>
      </c>
      <c r="I667" s="320" t="n">
        <v>0</v>
      </c>
      <c r="J667" s="52" t="s">
        <v>1171</v>
      </c>
      <c r="K667" s="31" t="n">
        <v>80000</v>
      </c>
      <c r="L667" s="31" t="n">
        <v>211200</v>
      </c>
      <c r="M667" s="29" t="n">
        <v>8800</v>
      </c>
      <c r="N667" s="30" t="n">
        <v>70400</v>
      </c>
      <c r="O667" s="30" t="n">
        <v>211200</v>
      </c>
      <c r="P667" s="31" t="n">
        <v>0</v>
      </c>
      <c r="Q667" s="302" t="n">
        <v>45656</v>
      </c>
    </row>
    <row r="668" customFormat="false" ht="14.9" hidden="true" customHeight="false" outlineLevel="0" collapsed="false">
      <c r="A668" s="332" t="n">
        <v>2868</v>
      </c>
      <c r="B668" s="21" t="s">
        <v>599</v>
      </c>
      <c r="C668" s="21"/>
      <c r="D668" s="44"/>
      <c r="E668" s="25" t="n">
        <v>45583</v>
      </c>
      <c r="F668" s="25" t="n">
        <v>45681</v>
      </c>
      <c r="G668" s="72" t="n">
        <v>70</v>
      </c>
      <c r="H668" s="320" t="n">
        <v>70</v>
      </c>
      <c r="I668" s="320" t="n">
        <v>0</v>
      </c>
      <c r="J668" s="68" t="s">
        <v>1172</v>
      </c>
      <c r="K668" s="36" t="n">
        <v>40000</v>
      </c>
      <c r="L668" s="36" t="n">
        <v>86450</v>
      </c>
      <c r="M668" s="29" t="n">
        <v>6175</v>
      </c>
      <c r="N668" s="30" t="n">
        <v>12350</v>
      </c>
      <c r="O668" s="30" t="n">
        <v>86450</v>
      </c>
      <c r="P668" s="31" t="n">
        <v>0</v>
      </c>
      <c r="Q668" s="302" t="n">
        <v>45656</v>
      </c>
    </row>
    <row r="669" customFormat="false" ht="21.6" hidden="true" customHeight="false" outlineLevel="0" collapsed="false">
      <c r="A669" s="332" t="n">
        <v>2832</v>
      </c>
      <c r="B669" s="21" t="s">
        <v>628</v>
      </c>
      <c r="C669" s="21" t="s">
        <v>629</v>
      </c>
      <c r="D669" s="34"/>
      <c r="E669" s="25" t="n">
        <v>45562</v>
      </c>
      <c r="F669" s="25" t="n">
        <v>45660</v>
      </c>
      <c r="G669" s="72" t="n">
        <v>70</v>
      </c>
      <c r="H669" s="320" t="n">
        <v>70</v>
      </c>
      <c r="I669" s="320" t="n">
        <v>0</v>
      </c>
      <c r="J669" s="68" t="s">
        <v>1173</v>
      </c>
      <c r="K669" s="36" t="n">
        <v>100000</v>
      </c>
      <c r="L669" s="36" t="n">
        <v>217000</v>
      </c>
      <c r="M669" s="37" t="n">
        <v>15500</v>
      </c>
      <c r="N669" s="30" t="n">
        <v>43000</v>
      </c>
      <c r="O669" s="30" t="n">
        <v>217000</v>
      </c>
      <c r="P669" s="31" t="n">
        <v>0</v>
      </c>
      <c r="Q669" s="302" t="n">
        <v>45656</v>
      </c>
    </row>
    <row r="670" customFormat="false" ht="28.35" hidden="true" customHeight="false" outlineLevel="0" collapsed="false">
      <c r="A670" s="332" t="n">
        <v>2601</v>
      </c>
      <c r="B670" s="34" t="s">
        <v>227</v>
      </c>
      <c r="C670" s="21" t="s">
        <v>228</v>
      </c>
      <c r="D670" s="44"/>
      <c r="E670" s="25" t="n">
        <v>45411</v>
      </c>
      <c r="F670" s="25" t="n">
        <v>45635</v>
      </c>
      <c r="G670" s="72" t="n">
        <v>160</v>
      </c>
      <c r="H670" s="320" t="n">
        <v>160</v>
      </c>
      <c r="I670" s="320" t="n">
        <v>0</v>
      </c>
      <c r="J670" s="52" t="s">
        <v>1174</v>
      </c>
      <c r="K670" s="31" t="n">
        <v>250000</v>
      </c>
      <c r="L670" s="31" t="n">
        <v>660000</v>
      </c>
      <c r="M670" s="37" t="n">
        <v>20625</v>
      </c>
      <c r="N670" s="30" t="n">
        <v>78100</v>
      </c>
      <c r="O670" s="30" t="n">
        <v>660000</v>
      </c>
      <c r="P670" s="31" t="n">
        <v>0</v>
      </c>
      <c r="Q670" s="302" t="n">
        <v>45663</v>
      </c>
    </row>
    <row r="671" customFormat="false" ht="28.35" hidden="true" customHeight="false" outlineLevel="0" collapsed="false">
      <c r="A671" s="332" t="n">
        <v>2719</v>
      </c>
      <c r="B671" s="34" t="s">
        <v>227</v>
      </c>
      <c r="C671" s="21" t="s">
        <v>228</v>
      </c>
      <c r="D671" s="44"/>
      <c r="E671" s="25" t="n">
        <v>45493</v>
      </c>
      <c r="F671" s="25" t="n">
        <v>45660</v>
      </c>
      <c r="G671" s="72" t="n">
        <v>120</v>
      </c>
      <c r="H671" s="320" t="n">
        <v>120</v>
      </c>
      <c r="I671" s="320" t="n">
        <v>0</v>
      </c>
      <c r="J671" s="52" t="s">
        <v>1175</v>
      </c>
      <c r="K671" s="31" t="n">
        <v>50000</v>
      </c>
      <c r="L671" s="31" t="n">
        <v>132000</v>
      </c>
      <c r="M671" s="37" t="n">
        <v>5500</v>
      </c>
      <c r="N671" s="30" t="n">
        <v>22000</v>
      </c>
      <c r="O671" s="30" t="n">
        <v>132000</v>
      </c>
      <c r="P671" s="31" t="n">
        <v>0</v>
      </c>
      <c r="Q671" s="302" t="n">
        <v>45663</v>
      </c>
    </row>
    <row r="672" customFormat="false" ht="17.9" hidden="true" customHeight="false" outlineLevel="0" collapsed="false">
      <c r="A672" s="332" t="n">
        <v>2818</v>
      </c>
      <c r="B672" s="34" t="s">
        <v>811</v>
      </c>
      <c r="C672" s="21"/>
      <c r="D672" s="44"/>
      <c r="E672" s="25" t="n">
        <v>45556</v>
      </c>
      <c r="F672" s="25" t="n">
        <v>45667</v>
      </c>
      <c r="G672" s="72" t="n">
        <v>80</v>
      </c>
      <c r="H672" s="320" t="n">
        <v>80</v>
      </c>
      <c r="I672" s="320" t="n">
        <v>0</v>
      </c>
      <c r="J672" s="52" t="s">
        <v>1104</v>
      </c>
      <c r="K672" s="36" t="n">
        <v>50000</v>
      </c>
      <c r="L672" s="36" t="n">
        <v>108000</v>
      </c>
      <c r="M672" s="37" t="n">
        <v>6750</v>
      </c>
      <c r="N672" s="30" t="n">
        <v>34000</v>
      </c>
      <c r="O672" s="30" t="n">
        <v>108000</v>
      </c>
      <c r="P672" s="31" t="n">
        <v>0</v>
      </c>
      <c r="Q672" s="302" t="n">
        <v>45663</v>
      </c>
    </row>
    <row r="673" customFormat="false" ht="21.6" hidden="true" customHeight="false" outlineLevel="0" collapsed="false">
      <c r="A673" s="332" t="n">
        <v>2787</v>
      </c>
      <c r="B673" s="21" t="s">
        <v>319</v>
      </c>
      <c r="C673" s="21" t="s">
        <v>320</v>
      </c>
      <c r="D673" s="44"/>
      <c r="E673" s="25" t="n">
        <v>45535</v>
      </c>
      <c r="F673" s="25" t="n">
        <v>45646</v>
      </c>
      <c r="G673" s="72" t="n">
        <v>80</v>
      </c>
      <c r="H673" s="320" t="n">
        <v>80</v>
      </c>
      <c r="I673" s="320" t="n">
        <v>0</v>
      </c>
      <c r="J673" s="52" t="s">
        <v>1176</v>
      </c>
      <c r="K673" s="31" t="n">
        <v>200000</v>
      </c>
      <c r="L673" s="31" t="n">
        <v>432000</v>
      </c>
      <c r="M673" s="37" t="n">
        <v>27000</v>
      </c>
      <c r="N673" s="30" t="n">
        <v>108000</v>
      </c>
      <c r="O673" s="30" t="n">
        <v>432000</v>
      </c>
      <c r="P673" s="31" t="n">
        <v>0</v>
      </c>
      <c r="Q673" s="302" t="n">
        <v>45663</v>
      </c>
    </row>
    <row r="674" customFormat="false" ht="28.35" hidden="true" customHeight="false" outlineLevel="0" collapsed="false">
      <c r="A674" s="332" t="n">
        <v>2619</v>
      </c>
      <c r="B674" s="21" t="s">
        <v>407</v>
      </c>
      <c r="C674" s="21" t="s">
        <v>397</v>
      </c>
      <c r="D674" s="44"/>
      <c r="E674" s="25" t="n">
        <v>45423</v>
      </c>
      <c r="F674" s="25" t="n">
        <v>45590</v>
      </c>
      <c r="G674" s="72" t="n">
        <v>120</v>
      </c>
      <c r="H674" s="320" t="n">
        <v>121.900666262871</v>
      </c>
      <c r="I674" s="320" t="n">
        <v>-1.900666262871</v>
      </c>
      <c r="J674" s="68" t="s">
        <v>1177</v>
      </c>
      <c r="K674" s="31" t="n">
        <v>250000</v>
      </c>
      <c r="L674" s="31" t="n">
        <v>660400</v>
      </c>
      <c r="M674" s="37" t="n">
        <v>27516.6666666667</v>
      </c>
      <c r="N674" s="30" t="n">
        <v>5230</v>
      </c>
      <c r="O674" s="30" t="n">
        <v>670860</v>
      </c>
      <c r="P674" s="31" t="n">
        <v>-10460</v>
      </c>
      <c r="Q674" s="302" t="n">
        <v>45663</v>
      </c>
    </row>
    <row r="675" customFormat="false" ht="14.9" hidden="true" customHeight="false" outlineLevel="0" collapsed="false">
      <c r="A675" s="332" t="n">
        <v>2783</v>
      </c>
      <c r="B675" s="21" t="s">
        <v>416</v>
      </c>
      <c r="C675" s="21" t="s">
        <v>417</v>
      </c>
      <c r="D675" s="44" t="n">
        <v>13589728</v>
      </c>
      <c r="E675" s="25" t="n">
        <v>45534</v>
      </c>
      <c r="F675" s="25" t="n">
        <v>45646</v>
      </c>
      <c r="G675" s="72" t="n">
        <v>80</v>
      </c>
      <c r="H675" s="320" t="n">
        <v>80</v>
      </c>
      <c r="I675" s="320" t="n">
        <v>0</v>
      </c>
      <c r="J675" s="52" t="s">
        <v>1178</v>
      </c>
      <c r="K675" s="36" t="n">
        <v>200000</v>
      </c>
      <c r="L675" s="36" t="n">
        <v>432000</v>
      </c>
      <c r="M675" s="37" t="n">
        <v>27000</v>
      </c>
      <c r="N675" s="30" t="n">
        <v>108000</v>
      </c>
      <c r="O675" s="30" t="n">
        <v>432000</v>
      </c>
      <c r="P675" s="31" t="n">
        <v>0</v>
      </c>
      <c r="Q675" s="302" t="n">
        <v>45663</v>
      </c>
    </row>
    <row r="676" customFormat="false" ht="14.9" hidden="true" customHeight="false" outlineLevel="0" collapsed="false">
      <c r="A676" s="332" t="n">
        <v>2986</v>
      </c>
      <c r="B676" s="21" t="s">
        <v>429</v>
      </c>
      <c r="C676" s="21"/>
      <c r="D676" s="44"/>
      <c r="E676" s="25" t="n">
        <v>45661</v>
      </c>
      <c r="F676" s="25" t="n">
        <v>45667</v>
      </c>
      <c r="G676" s="72" t="n">
        <v>5</v>
      </c>
      <c r="H676" s="320" t="e">
        <f aca="false">#DIV/0!</f>
        <v>#DIV/0!</v>
      </c>
      <c r="I676" s="320" t="e">
        <f aca="false">#DIV/0!</f>
        <v>#DIV/0!</v>
      </c>
      <c r="J676" s="52" t="s">
        <v>580</v>
      </c>
      <c r="K676" s="46" t="n">
        <v>30000</v>
      </c>
      <c r="L676" s="36" t="n">
        <v>39000</v>
      </c>
      <c r="M676" s="37"/>
      <c r="N676" s="30" t="n">
        <v>39000</v>
      </c>
      <c r="O676" s="30" t="n">
        <v>39000</v>
      </c>
      <c r="P676" s="31" t="n">
        <v>0</v>
      </c>
      <c r="Q676" s="302" t="n">
        <v>45663</v>
      </c>
    </row>
    <row r="677" customFormat="false" ht="14.9" hidden="true" customHeight="false" outlineLevel="0" collapsed="false">
      <c r="A677" s="332" t="n">
        <v>2987</v>
      </c>
      <c r="B677" s="21" t="s">
        <v>429</v>
      </c>
      <c r="C677" s="21"/>
      <c r="D677" s="44"/>
      <c r="E677" s="25" t="n">
        <v>45661</v>
      </c>
      <c r="F677" s="25" t="n">
        <v>45667</v>
      </c>
      <c r="G677" s="72" t="n">
        <v>5</v>
      </c>
      <c r="H677" s="320" t="e">
        <f aca="false">#DIV/0!</f>
        <v>#DIV/0!</v>
      </c>
      <c r="I677" s="320" t="e">
        <f aca="false">#DIV/0!</f>
        <v>#DIV/0!</v>
      </c>
      <c r="J677" s="52" t="s">
        <v>580</v>
      </c>
      <c r="K677" s="46" t="n">
        <v>100000</v>
      </c>
      <c r="L677" s="36" t="n">
        <v>130000</v>
      </c>
      <c r="M677" s="37"/>
      <c r="N677" s="30" t="n">
        <v>139000</v>
      </c>
      <c r="O677" s="30" t="n">
        <v>139000</v>
      </c>
      <c r="P677" s="31" t="n">
        <v>-9000</v>
      </c>
      <c r="Q677" s="302" t="n">
        <v>45663</v>
      </c>
    </row>
    <row r="678" customFormat="false" ht="21.6" hidden="true" customHeight="false" outlineLevel="0" collapsed="false">
      <c r="A678" s="332" t="n">
        <v>2830</v>
      </c>
      <c r="B678" s="21" t="s">
        <v>503</v>
      </c>
      <c r="C678" s="21" t="s">
        <v>241</v>
      </c>
      <c r="D678" s="44"/>
      <c r="E678" s="25" t="n">
        <v>45560</v>
      </c>
      <c r="F678" s="25" t="n">
        <v>45660</v>
      </c>
      <c r="G678" s="72" t="n">
        <v>72</v>
      </c>
      <c r="H678" s="320" t="n">
        <v>72</v>
      </c>
      <c r="I678" s="320" t="n">
        <v>0</v>
      </c>
      <c r="J678" s="34" t="s">
        <v>266</v>
      </c>
      <c r="K678" s="36" t="n">
        <v>100000</v>
      </c>
      <c r="L678" s="36" t="n">
        <v>216000</v>
      </c>
      <c r="M678" s="37" t="n">
        <v>15000</v>
      </c>
      <c r="N678" s="30" t="n">
        <v>6000</v>
      </c>
      <c r="O678" s="30" t="n">
        <v>216000</v>
      </c>
      <c r="P678" s="31" t="n">
        <v>0</v>
      </c>
      <c r="Q678" s="302" t="n">
        <v>45663</v>
      </c>
    </row>
    <row r="679" customFormat="false" ht="28.35" hidden="true" customHeight="false" outlineLevel="0" collapsed="false">
      <c r="A679" s="332" t="n">
        <v>2701</v>
      </c>
      <c r="B679" s="21" t="s">
        <v>779</v>
      </c>
      <c r="C679" s="21"/>
      <c r="D679" s="44"/>
      <c r="E679" s="25" t="n">
        <v>45482</v>
      </c>
      <c r="F679" s="25" t="n">
        <v>45650</v>
      </c>
      <c r="G679" s="72" t="n">
        <v>120</v>
      </c>
      <c r="H679" s="320" t="n">
        <v>120</v>
      </c>
      <c r="I679" s="320" t="n">
        <v>0</v>
      </c>
      <c r="J679" s="52" t="s">
        <v>1159</v>
      </c>
      <c r="K679" s="36" t="n">
        <v>50000</v>
      </c>
      <c r="L679" s="36" t="n">
        <v>132000</v>
      </c>
      <c r="M679" s="29" t="n">
        <v>5500</v>
      </c>
      <c r="N679" s="30" t="n">
        <v>22000</v>
      </c>
      <c r="O679" s="30" t="n">
        <v>132000</v>
      </c>
      <c r="P679" s="31" t="n">
        <v>0</v>
      </c>
      <c r="Q679" s="302" t="n">
        <v>45663</v>
      </c>
    </row>
    <row r="680" customFormat="false" ht="14.9" hidden="true" customHeight="false" outlineLevel="0" collapsed="false">
      <c r="A680" s="332" t="n">
        <v>2960</v>
      </c>
      <c r="B680" s="21" t="s">
        <v>1179</v>
      </c>
      <c r="C680" s="21" t="s">
        <v>579</v>
      </c>
      <c r="D680" s="44"/>
      <c r="E680" s="25" t="n">
        <v>45645</v>
      </c>
      <c r="F680" s="25" t="n">
        <v>45671</v>
      </c>
      <c r="G680" s="72" t="n">
        <v>18</v>
      </c>
      <c r="H680" s="320"/>
      <c r="I680" s="320"/>
      <c r="J680" s="52" t="s">
        <v>580</v>
      </c>
      <c r="K680" s="31" t="n">
        <v>250000</v>
      </c>
      <c r="L680" s="31" t="n">
        <v>350000</v>
      </c>
      <c r="M680" s="37"/>
      <c r="N680" s="30" t="n">
        <v>350000</v>
      </c>
      <c r="O680" s="30" t="n">
        <v>350000</v>
      </c>
      <c r="P680" s="31" t="n">
        <v>0</v>
      </c>
      <c r="Q680" s="302" t="n">
        <v>45663</v>
      </c>
    </row>
    <row r="681" customFormat="false" ht="14.9" hidden="true" customHeight="false" outlineLevel="0" collapsed="false">
      <c r="A681" s="332" t="n">
        <v>2793</v>
      </c>
      <c r="B681" s="21" t="s">
        <v>638</v>
      </c>
      <c r="C681" s="21" t="s">
        <v>639</v>
      </c>
      <c r="D681" s="44" t="n">
        <v>2034839888</v>
      </c>
      <c r="E681" s="25" t="n">
        <v>45542</v>
      </c>
      <c r="F681" s="25" t="n">
        <v>45653</v>
      </c>
      <c r="G681" s="72" t="n">
        <v>80</v>
      </c>
      <c r="H681" s="320" t="n">
        <v>80</v>
      </c>
      <c r="I681" s="320" t="n">
        <v>0</v>
      </c>
      <c r="J681" s="52" t="s">
        <v>1180</v>
      </c>
      <c r="K681" s="36" t="n">
        <v>65000</v>
      </c>
      <c r="L681" s="36" t="n">
        <v>140400</v>
      </c>
      <c r="M681" s="37" t="n">
        <v>8775</v>
      </c>
      <c r="N681" s="30" t="n">
        <v>35100</v>
      </c>
      <c r="O681" s="30" t="n">
        <v>140400</v>
      </c>
      <c r="P681" s="31" t="n">
        <v>0</v>
      </c>
      <c r="Q681" s="302" t="n">
        <v>45663</v>
      </c>
    </row>
    <row r="682" customFormat="false" ht="14.9" hidden="true" customHeight="false" outlineLevel="0" collapsed="false">
      <c r="A682" s="332" t="n">
        <v>2809</v>
      </c>
      <c r="B682" s="21" t="s">
        <v>638</v>
      </c>
      <c r="C682" s="21" t="s">
        <v>639</v>
      </c>
      <c r="D682" s="44" t="n">
        <v>2034839888</v>
      </c>
      <c r="E682" s="25" t="n">
        <v>45551</v>
      </c>
      <c r="F682" s="25" t="n">
        <v>45663</v>
      </c>
      <c r="G682" s="72" t="n">
        <v>80</v>
      </c>
      <c r="H682" s="320" t="n">
        <v>80</v>
      </c>
      <c r="I682" s="320" t="n">
        <v>0</v>
      </c>
      <c r="J682" s="343" t="s">
        <v>923</v>
      </c>
      <c r="K682" s="36" t="n">
        <v>30000</v>
      </c>
      <c r="L682" s="31" t="n">
        <v>64800</v>
      </c>
      <c r="M682" s="29" t="n">
        <v>4050</v>
      </c>
      <c r="N682" s="30" t="n">
        <v>16200</v>
      </c>
      <c r="O682" s="30" t="n">
        <v>64800</v>
      </c>
      <c r="P682" s="31" t="n">
        <v>0</v>
      </c>
      <c r="Q682" s="302" t="n">
        <v>45663</v>
      </c>
    </row>
    <row r="683" customFormat="false" ht="28.35" hidden="true" customHeight="false" outlineLevel="0" collapsed="false">
      <c r="A683" s="332" t="n">
        <v>2679</v>
      </c>
      <c r="B683" s="34" t="s">
        <v>313</v>
      </c>
      <c r="C683" s="50" t="s">
        <v>314</v>
      </c>
      <c r="D683" s="25" t="n">
        <v>45464</v>
      </c>
      <c r="E683" s="25" t="n">
        <v>45744</v>
      </c>
      <c r="F683" s="72" t="n">
        <v>200</v>
      </c>
      <c r="G683" s="320" t="n">
        <v>200</v>
      </c>
      <c r="H683" s="320" t="n">
        <v>0</v>
      </c>
      <c r="I683" s="52" t="s">
        <v>1181</v>
      </c>
      <c r="J683" s="36" t="n">
        <v>350000</v>
      </c>
      <c r="K683" s="36" t="n">
        <v>1050000</v>
      </c>
      <c r="L683" s="37" t="n">
        <v>26250</v>
      </c>
      <c r="M683" s="30" t="n">
        <v>440000</v>
      </c>
      <c r="N683" s="30"/>
      <c r="O683" s="30" t="n">
        <v>1050000</v>
      </c>
      <c r="P683" s="31" t="n">
        <v>0</v>
      </c>
      <c r="Q683" s="302" t="n">
        <v>45670</v>
      </c>
    </row>
    <row r="684" customFormat="false" ht="14.9" hidden="true" customHeight="false" outlineLevel="0" collapsed="false">
      <c r="A684" s="332" t="n">
        <v>2729</v>
      </c>
      <c r="B684" s="21" t="s">
        <v>333</v>
      </c>
      <c r="C684" s="21" t="s">
        <v>334</v>
      </c>
      <c r="D684" s="25" t="n">
        <v>45498</v>
      </c>
      <c r="E684" s="25" t="n">
        <v>45666</v>
      </c>
      <c r="F684" s="72" t="n">
        <v>120</v>
      </c>
      <c r="G684" s="320" t="n">
        <v>120</v>
      </c>
      <c r="H684" s="320" t="n">
        <v>0</v>
      </c>
      <c r="I684" s="34" t="s">
        <v>1067</v>
      </c>
      <c r="J684" s="36" t="n">
        <v>150000</v>
      </c>
      <c r="K684" s="36" t="n">
        <v>379000</v>
      </c>
      <c r="L684" s="37" t="n">
        <v>15791.6666666667</v>
      </c>
      <c r="M684" s="30" t="n">
        <v>33000</v>
      </c>
      <c r="N684" s="30"/>
      <c r="O684" s="30" t="n">
        <v>379000</v>
      </c>
      <c r="P684" s="31" t="n">
        <v>0</v>
      </c>
      <c r="Q684" s="302" t="n">
        <v>45670</v>
      </c>
    </row>
    <row r="685" customFormat="false" ht="14.25" hidden="true" customHeight="false" outlineLevel="0" collapsed="false">
      <c r="A685" s="332" t="n">
        <v>2816</v>
      </c>
      <c r="B685" s="21" t="s">
        <v>1182</v>
      </c>
      <c r="C685" s="21"/>
      <c r="D685" s="25" t="n">
        <v>45555</v>
      </c>
      <c r="E685" s="25" t="n">
        <v>45653</v>
      </c>
      <c r="F685" s="72" t="n">
        <v>70</v>
      </c>
      <c r="G685" s="320" t="n">
        <v>70</v>
      </c>
      <c r="H685" s="320" t="n">
        <v>0</v>
      </c>
      <c r="I685" s="68" t="s">
        <v>1183</v>
      </c>
      <c r="J685" s="36" t="n">
        <v>50000</v>
      </c>
      <c r="K685" s="36" t="n">
        <v>108150</v>
      </c>
      <c r="L685" s="37" t="n">
        <v>7725</v>
      </c>
      <c r="M685" s="30" t="n">
        <v>18150</v>
      </c>
      <c r="N685" s="30"/>
      <c r="O685" s="30" t="n">
        <v>108150</v>
      </c>
      <c r="P685" s="31" t="n">
        <v>0</v>
      </c>
      <c r="Q685" s="302" t="n">
        <v>45670</v>
      </c>
    </row>
    <row r="686" customFormat="false" ht="14.9" hidden="true" customHeight="false" outlineLevel="0" collapsed="false">
      <c r="A686" s="337" t="n">
        <v>2999</v>
      </c>
      <c r="B686" s="21" t="s">
        <v>429</v>
      </c>
      <c r="C686" s="21"/>
      <c r="D686" s="25" t="n">
        <v>45668</v>
      </c>
      <c r="E686" s="25" t="n">
        <v>45674</v>
      </c>
      <c r="F686" s="72" t="n">
        <v>5</v>
      </c>
      <c r="G686" s="320" t="e">
        <f aca="false">#DIV/0!</f>
        <v>#DIV/0!</v>
      </c>
      <c r="H686" s="320" t="e">
        <f aca="false">#DIV/0!</f>
        <v>#DIV/0!</v>
      </c>
      <c r="I686" s="52" t="s">
        <v>580</v>
      </c>
      <c r="J686" s="45" t="n">
        <v>30000</v>
      </c>
      <c r="K686" s="31" t="n">
        <v>39000</v>
      </c>
      <c r="L686" s="37"/>
      <c r="M686" s="30" t="n">
        <v>39000</v>
      </c>
      <c r="N686" s="30"/>
      <c r="O686" s="30" t="n">
        <v>39000</v>
      </c>
      <c r="P686" s="31" t="n">
        <v>0</v>
      </c>
      <c r="Q686" s="302" t="n">
        <v>45670</v>
      </c>
    </row>
    <row r="687" customFormat="false" ht="14.25" hidden="true" customHeight="false" outlineLevel="0" collapsed="false">
      <c r="A687" s="332" t="n">
        <v>2954</v>
      </c>
      <c r="B687" s="21" t="s">
        <v>861</v>
      </c>
      <c r="C687" s="21"/>
      <c r="D687" s="25" t="n">
        <v>45642</v>
      </c>
      <c r="E687" s="25" t="n">
        <v>45670</v>
      </c>
      <c r="F687" s="72" t="n">
        <v>20</v>
      </c>
      <c r="G687" s="320" t="e">
        <f aca="false">#DIV/0!</f>
        <v>#DIV/0!</v>
      </c>
      <c r="H687" s="320" t="e">
        <f aca="false">#DIV/0!</f>
        <v>#DIV/0!</v>
      </c>
      <c r="I687" s="52" t="s">
        <v>580</v>
      </c>
      <c r="J687" s="36" t="n">
        <v>30000</v>
      </c>
      <c r="K687" s="36" t="n">
        <v>48000</v>
      </c>
      <c r="L687" s="37"/>
      <c r="M687" s="30" t="n">
        <v>48000</v>
      </c>
      <c r="N687" s="30"/>
      <c r="O687" s="30" t="n">
        <v>48000</v>
      </c>
      <c r="P687" s="31" t="n">
        <v>0</v>
      </c>
      <c r="Q687" s="302" t="n">
        <v>45670</v>
      </c>
    </row>
    <row r="688" customFormat="false" ht="14.25" hidden="true" customHeight="false" outlineLevel="0" collapsed="false">
      <c r="A688" s="332" t="n">
        <v>2955</v>
      </c>
      <c r="B688" s="21" t="s">
        <v>861</v>
      </c>
      <c r="C688" s="21"/>
      <c r="D688" s="25" t="n">
        <v>45642</v>
      </c>
      <c r="E688" s="25" t="n">
        <v>45670</v>
      </c>
      <c r="F688" s="72" t="n">
        <v>20</v>
      </c>
      <c r="G688" s="320" t="e">
        <f aca="false">#DIV/0!</f>
        <v>#DIV/0!</v>
      </c>
      <c r="H688" s="320" t="e">
        <f aca="false">#DIV/0!</f>
        <v>#DIV/0!</v>
      </c>
      <c r="I688" s="52" t="s">
        <v>580</v>
      </c>
      <c r="J688" s="36" t="n">
        <v>30000</v>
      </c>
      <c r="K688" s="36" t="n">
        <v>48000</v>
      </c>
      <c r="L688" s="37"/>
      <c r="M688" s="30" t="n">
        <v>48000</v>
      </c>
      <c r="N688" s="30"/>
      <c r="O688" s="30" t="n">
        <v>48000</v>
      </c>
      <c r="P688" s="31" t="n">
        <v>0</v>
      </c>
      <c r="Q688" s="302" t="n">
        <v>45670</v>
      </c>
    </row>
    <row r="689" customFormat="false" ht="14.25" hidden="true" customHeight="false" outlineLevel="0" collapsed="false">
      <c r="A689" s="332" t="n">
        <v>2973</v>
      </c>
      <c r="B689" s="21" t="s">
        <v>861</v>
      </c>
      <c r="C689" s="21"/>
      <c r="D689" s="25" t="n">
        <v>45652</v>
      </c>
      <c r="E689" s="25" t="n">
        <v>45680</v>
      </c>
      <c r="F689" s="72" t="n">
        <v>20</v>
      </c>
      <c r="G689" s="320" t="e">
        <f aca="false">#VALUE!</f>
        <v>#VALUE!</v>
      </c>
      <c r="H689" s="320" t="e">
        <f aca="false">#VALUE!</f>
        <v>#VALUE!</v>
      </c>
      <c r="I689" s="52" t="s">
        <v>580</v>
      </c>
      <c r="J689" s="36" t="n">
        <v>70000</v>
      </c>
      <c r="K689" s="36" t="n">
        <v>105000</v>
      </c>
      <c r="L689" s="37" t="s">
        <v>214</v>
      </c>
      <c r="M689" s="30" t="n">
        <v>105000</v>
      </c>
      <c r="N689" s="30"/>
      <c r="O689" s="30" t="n">
        <v>105000</v>
      </c>
      <c r="P689" s="31" t="n">
        <v>0</v>
      </c>
      <c r="Q689" s="302" t="n">
        <v>45670</v>
      </c>
    </row>
    <row r="690" customFormat="false" ht="28.35" hidden="true" customHeight="false" outlineLevel="0" collapsed="false">
      <c r="A690" s="332" t="n">
        <v>2749</v>
      </c>
      <c r="B690" s="21" t="s">
        <v>779</v>
      </c>
      <c r="C690" s="21"/>
      <c r="D690" s="25" t="n">
        <v>45513</v>
      </c>
      <c r="E690" s="25" t="n">
        <v>45681</v>
      </c>
      <c r="F690" s="72" t="n">
        <v>120</v>
      </c>
      <c r="G690" s="320" t="n">
        <v>120</v>
      </c>
      <c r="H690" s="320" t="n">
        <v>0</v>
      </c>
      <c r="I690" s="52" t="s">
        <v>1184</v>
      </c>
      <c r="J690" s="31" t="n">
        <v>70000</v>
      </c>
      <c r="K690" s="31" t="n">
        <v>184800</v>
      </c>
      <c r="L690" s="37" t="n">
        <v>7700</v>
      </c>
      <c r="M690" s="30" t="n">
        <v>30800</v>
      </c>
      <c r="N690" s="30"/>
      <c r="O690" s="30" t="n">
        <v>184800</v>
      </c>
      <c r="P690" s="31" t="n">
        <v>0</v>
      </c>
      <c r="Q690" s="302" t="n">
        <v>45670</v>
      </c>
    </row>
    <row r="691" customFormat="false" ht="14.25" hidden="true" customHeight="false" outlineLevel="0" collapsed="false">
      <c r="A691" s="332" t="n">
        <v>2924</v>
      </c>
      <c r="B691" s="21" t="s">
        <v>984</v>
      </c>
      <c r="C691" s="21"/>
      <c r="D691" s="25" t="n">
        <v>45619</v>
      </c>
      <c r="E691" s="25" t="n">
        <v>45646</v>
      </c>
      <c r="F691" s="72" t="n">
        <v>20</v>
      </c>
      <c r="G691" s="320" t="e">
        <f aca="false">#DIV/0!</f>
        <v>#DIV/0!</v>
      </c>
      <c r="H691" s="320" t="e">
        <f aca="false">#DIV/0!</f>
        <v>#DIV/0!</v>
      </c>
      <c r="I691" s="52" t="s">
        <v>580</v>
      </c>
      <c r="J691" s="36" t="n">
        <v>20000</v>
      </c>
      <c r="K691" s="36" t="n">
        <v>35000</v>
      </c>
      <c r="L691" s="37"/>
      <c r="M691" s="30" t="n">
        <v>15000</v>
      </c>
      <c r="N691" s="30"/>
      <c r="O691" s="30" t="n">
        <v>35000</v>
      </c>
      <c r="P691" s="31" t="n">
        <v>0</v>
      </c>
      <c r="Q691" s="302" t="n">
        <v>45670</v>
      </c>
    </row>
    <row r="692" customFormat="false" ht="14.25" hidden="true" customHeight="false" outlineLevel="0" collapsed="false">
      <c r="A692" s="332" t="n">
        <v>2965</v>
      </c>
      <c r="B692" s="21" t="s">
        <v>984</v>
      </c>
      <c r="C692" s="21"/>
      <c r="D692" s="25" t="n">
        <v>45647</v>
      </c>
      <c r="E692" s="25" t="n">
        <v>45674</v>
      </c>
      <c r="F692" s="72" t="n">
        <v>20</v>
      </c>
      <c r="G692" s="320" t="e">
        <f aca="false">#DIV/0!</f>
        <v>#DIV/0!</v>
      </c>
      <c r="H692" s="320" t="e">
        <f aca="false">#DIV/0!</f>
        <v>#DIV/0!</v>
      </c>
      <c r="I692" s="52" t="s">
        <v>580</v>
      </c>
      <c r="J692" s="36" t="n">
        <v>20000</v>
      </c>
      <c r="K692" s="36" t="n">
        <v>30000</v>
      </c>
      <c r="L692" s="29"/>
      <c r="M692" s="30" t="n">
        <v>30000</v>
      </c>
      <c r="N692" s="30"/>
      <c r="O692" s="30" t="n">
        <v>30000</v>
      </c>
      <c r="P692" s="31" t="n">
        <v>0</v>
      </c>
      <c r="Q692" s="302" t="n">
        <v>45670</v>
      </c>
    </row>
    <row r="693" customFormat="false" ht="14.25" hidden="true" customHeight="false" outlineLevel="0" collapsed="false">
      <c r="A693" s="344" t="n">
        <v>2969</v>
      </c>
      <c r="B693" s="21" t="s">
        <v>984</v>
      </c>
      <c r="C693" s="21"/>
      <c r="D693" s="25" t="n">
        <v>45649</v>
      </c>
      <c r="E693" s="25" t="n">
        <v>45677</v>
      </c>
      <c r="F693" s="72" t="n">
        <v>20</v>
      </c>
      <c r="G693" s="320" t="e">
        <f aca="false">#DIV/0!</f>
        <v>#DIV/0!</v>
      </c>
      <c r="H693" s="320" t="e">
        <f aca="false">#DIV/0!</f>
        <v>#DIV/0!</v>
      </c>
      <c r="I693" s="52" t="s">
        <v>580</v>
      </c>
      <c r="J693" s="31" t="n">
        <v>40000</v>
      </c>
      <c r="K693" s="31" t="n">
        <v>60000</v>
      </c>
      <c r="L693" s="29"/>
      <c r="M693" s="30" t="n">
        <v>60000</v>
      </c>
      <c r="N693" s="30"/>
      <c r="O693" s="30" t="n">
        <v>60000</v>
      </c>
      <c r="P693" s="31" t="n">
        <v>0</v>
      </c>
      <c r="Q693" s="302" t="n">
        <v>45670</v>
      </c>
    </row>
    <row r="694" customFormat="false" ht="14.25" hidden="true" customHeight="false" outlineLevel="0" collapsed="false">
      <c r="A694" s="344" t="n">
        <v>2971</v>
      </c>
      <c r="B694" s="21" t="s">
        <v>984</v>
      </c>
      <c r="C694" s="21"/>
      <c r="D694" s="25" t="n">
        <v>45650</v>
      </c>
      <c r="E694" s="25" t="n">
        <v>45678</v>
      </c>
      <c r="F694" s="72" t="n">
        <v>20</v>
      </c>
      <c r="G694" s="320" t="e">
        <f aca="false">#DIV/0!</f>
        <v>#DIV/0!</v>
      </c>
      <c r="H694" s="320" t="e">
        <f aca="false">#DIV/0!</f>
        <v>#DIV/0!</v>
      </c>
      <c r="I694" s="52" t="s">
        <v>580</v>
      </c>
      <c r="J694" s="31" t="n">
        <v>30000</v>
      </c>
      <c r="K694" s="31" t="n">
        <v>45000</v>
      </c>
      <c r="L694" s="37"/>
      <c r="M694" s="30" t="n">
        <v>45000</v>
      </c>
      <c r="N694" s="30"/>
      <c r="O694" s="30" t="n">
        <v>45000</v>
      </c>
      <c r="P694" s="31" t="n">
        <v>0</v>
      </c>
      <c r="Q694" s="302" t="n">
        <v>45670</v>
      </c>
    </row>
    <row r="695" customFormat="false" ht="14.25" hidden="true" customHeight="false" outlineLevel="0" collapsed="false">
      <c r="A695" s="344" t="n">
        <v>2981</v>
      </c>
      <c r="B695" s="21" t="s">
        <v>984</v>
      </c>
      <c r="C695" s="21"/>
      <c r="D695" s="25" t="n">
        <v>45656</v>
      </c>
      <c r="E695" s="25" t="n">
        <v>45684</v>
      </c>
      <c r="F695" s="72" t="n">
        <v>20</v>
      </c>
      <c r="G695" s="320" t="e">
        <f aca="false">#DIV/0!</f>
        <v>#DIV/0!</v>
      </c>
      <c r="H695" s="320" t="e">
        <f aca="false">#DIV/0!</f>
        <v>#DIV/0!</v>
      </c>
      <c r="I695" s="52" t="s">
        <v>580</v>
      </c>
      <c r="J695" s="31" t="n">
        <v>15000</v>
      </c>
      <c r="K695" s="36" t="n">
        <v>22500</v>
      </c>
      <c r="L695" s="29"/>
      <c r="M695" s="41" t="n">
        <v>22500</v>
      </c>
      <c r="N695" s="30"/>
      <c r="O695" s="30" t="n">
        <v>22500</v>
      </c>
      <c r="P695" s="31" t="n">
        <v>0</v>
      </c>
      <c r="Q695" s="302" t="n">
        <v>45670</v>
      </c>
    </row>
    <row r="696" customFormat="false" ht="17.9" hidden="true" customHeight="false" outlineLevel="0" collapsed="false">
      <c r="A696" s="332" t="n">
        <v>2750</v>
      </c>
      <c r="B696" s="34" t="s">
        <v>1185</v>
      </c>
      <c r="C696" s="21" t="s">
        <v>1186</v>
      </c>
      <c r="D696" s="25" t="s">
        <v>214</v>
      </c>
      <c r="E696" s="25" t="n">
        <v>45514</v>
      </c>
      <c r="F696" s="25" t="n">
        <v>45615</v>
      </c>
      <c r="G696" s="50" t="n">
        <v>72</v>
      </c>
      <c r="H696" s="320" t="n">
        <v>72</v>
      </c>
      <c r="I696" s="320" t="n">
        <v>0</v>
      </c>
      <c r="J696" s="34" t="s">
        <v>627</v>
      </c>
      <c r="K696" s="36" t="n">
        <v>40000</v>
      </c>
      <c r="L696" s="36" t="n">
        <v>86400</v>
      </c>
      <c r="M696" s="37" t="n">
        <v>6000</v>
      </c>
      <c r="N696" s="30" t="n">
        <v>2400</v>
      </c>
      <c r="O696" s="30" t="n">
        <v>86400</v>
      </c>
      <c r="P696" s="31" t="n">
        <v>0</v>
      </c>
      <c r="Q696" s="302" t="n">
        <v>45677</v>
      </c>
    </row>
    <row r="697" customFormat="false" ht="26.1" hidden="true" customHeight="false" outlineLevel="0" collapsed="false">
      <c r="A697" s="332" t="n">
        <v>2826</v>
      </c>
      <c r="B697" s="34" t="s">
        <v>744</v>
      </c>
      <c r="C697" s="21" t="s">
        <v>745</v>
      </c>
      <c r="D697" s="25" t="s">
        <v>530</v>
      </c>
      <c r="E697" s="25" t="n">
        <v>45559</v>
      </c>
      <c r="F697" s="25" t="n">
        <v>45659</v>
      </c>
      <c r="G697" s="72" t="n">
        <v>72</v>
      </c>
      <c r="H697" s="320" t="n">
        <v>72</v>
      </c>
      <c r="I697" s="320" t="n">
        <v>0</v>
      </c>
      <c r="J697" s="34" t="s">
        <v>381</v>
      </c>
      <c r="K697" s="31" t="n">
        <v>50000</v>
      </c>
      <c r="L697" s="31" t="n">
        <v>108000</v>
      </c>
      <c r="M697" s="37" t="n">
        <v>7500</v>
      </c>
      <c r="N697" s="30" t="n">
        <v>3250</v>
      </c>
      <c r="O697" s="30" t="n">
        <v>108000</v>
      </c>
      <c r="P697" s="31" t="n">
        <v>0</v>
      </c>
      <c r="Q697" s="302" t="n">
        <v>45677</v>
      </c>
    </row>
    <row r="698" customFormat="false" ht="14.9" hidden="true" customHeight="false" outlineLevel="0" collapsed="false">
      <c r="A698" s="332" t="n">
        <v>2781</v>
      </c>
      <c r="B698" s="21" t="s">
        <v>333</v>
      </c>
      <c r="C698" s="21" t="s">
        <v>334</v>
      </c>
      <c r="D698" s="25" t="s">
        <v>214</v>
      </c>
      <c r="E698" s="25" t="n">
        <v>45531</v>
      </c>
      <c r="F698" s="25" t="n">
        <v>45699</v>
      </c>
      <c r="G698" s="72" t="n">
        <v>120</v>
      </c>
      <c r="H698" s="320" t="n">
        <v>120</v>
      </c>
      <c r="I698" s="320" t="n">
        <v>0</v>
      </c>
      <c r="J698" s="34" t="s">
        <v>1187</v>
      </c>
      <c r="K698" s="36" t="n">
        <v>200000</v>
      </c>
      <c r="L698" s="36" t="n">
        <v>528000</v>
      </c>
      <c r="M698" s="37" t="n">
        <v>22000</v>
      </c>
      <c r="N698" s="30" t="n">
        <v>110000</v>
      </c>
      <c r="O698" s="30" t="n">
        <v>528000</v>
      </c>
      <c r="P698" s="31" t="n">
        <v>0</v>
      </c>
      <c r="Q698" s="302" t="n">
        <v>45677</v>
      </c>
    </row>
    <row r="699" customFormat="false" ht="14.9" hidden="true" customHeight="false" outlineLevel="0" collapsed="false">
      <c r="A699" s="332" t="n">
        <v>2733</v>
      </c>
      <c r="B699" s="21" t="s">
        <v>336</v>
      </c>
      <c r="C699" s="21" t="s">
        <v>337</v>
      </c>
      <c r="D699" s="25" t="s">
        <v>214</v>
      </c>
      <c r="E699" s="25" t="n">
        <v>45500</v>
      </c>
      <c r="F699" s="25" t="n">
        <v>45667</v>
      </c>
      <c r="G699" s="72" t="n">
        <v>120</v>
      </c>
      <c r="H699" s="320" t="n">
        <v>120</v>
      </c>
      <c r="I699" s="320" t="n">
        <v>0</v>
      </c>
      <c r="J699" s="52" t="s">
        <v>1188</v>
      </c>
      <c r="K699" s="36" t="n">
        <v>50000</v>
      </c>
      <c r="L699" s="36" t="n">
        <v>132000</v>
      </c>
      <c r="M699" s="37" t="n">
        <v>5500</v>
      </c>
      <c r="N699" s="30" t="n">
        <v>22000</v>
      </c>
      <c r="O699" s="30" t="n">
        <v>132000</v>
      </c>
      <c r="P699" s="31" t="n">
        <v>0</v>
      </c>
      <c r="Q699" s="302" t="n">
        <v>45677</v>
      </c>
    </row>
    <row r="700" customFormat="false" ht="14.9" hidden="true" customHeight="false" outlineLevel="0" collapsed="false">
      <c r="A700" s="332" t="n">
        <v>2842</v>
      </c>
      <c r="B700" s="21" t="s">
        <v>336</v>
      </c>
      <c r="C700" s="21" t="s">
        <v>337</v>
      </c>
      <c r="D700" s="25" t="s">
        <v>214</v>
      </c>
      <c r="E700" s="25" t="n">
        <v>45566</v>
      </c>
      <c r="F700" s="25" t="n">
        <v>45678</v>
      </c>
      <c r="G700" s="72" t="n">
        <v>80</v>
      </c>
      <c r="H700" s="320" t="n">
        <v>80</v>
      </c>
      <c r="I700" s="320" t="n">
        <v>0</v>
      </c>
      <c r="J700" s="52" t="s">
        <v>1094</v>
      </c>
      <c r="K700" s="36" t="n">
        <v>10000</v>
      </c>
      <c r="L700" s="36" t="n">
        <v>21600</v>
      </c>
      <c r="M700" s="37" t="n">
        <v>1350</v>
      </c>
      <c r="N700" s="30" t="n">
        <v>5400</v>
      </c>
      <c r="O700" s="30" t="n">
        <v>21600</v>
      </c>
      <c r="P700" s="31" t="n">
        <v>0</v>
      </c>
      <c r="Q700" s="302" t="n">
        <v>45677</v>
      </c>
    </row>
    <row r="701" customFormat="false" ht="14.9" hidden="true" customHeight="false" outlineLevel="0" collapsed="false">
      <c r="A701" s="332" t="n">
        <v>3009</v>
      </c>
      <c r="B701" s="21" t="s">
        <v>429</v>
      </c>
      <c r="C701" s="21"/>
      <c r="D701" s="25" t="s">
        <v>214</v>
      </c>
      <c r="E701" s="25" t="n">
        <v>45675</v>
      </c>
      <c r="F701" s="25" t="n">
        <v>45681</v>
      </c>
      <c r="G701" s="72" t="n">
        <v>5</v>
      </c>
      <c r="H701" s="320" t="e">
        <f aca="false">#DIV/0!</f>
        <v>#DIV/0!</v>
      </c>
      <c r="I701" s="320" t="e">
        <f aca="false">#DIV/0!</f>
        <v>#DIV/0!</v>
      </c>
      <c r="J701" s="52" t="s">
        <v>580</v>
      </c>
      <c r="K701" s="46" t="n">
        <v>50000</v>
      </c>
      <c r="L701" s="36" t="n">
        <v>65000</v>
      </c>
      <c r="M701" s="37"/>
      <c r="N701" s="30" t="n">
        <v>65000</v>
      </c>
      <c r="O701" s="30" t="n">
        <v>65000</v>
      </c>
      <c r="P701" s="31" t="n">
        <v>0</v>
      </c>
      <c r="Q701" s="302" t="n">
        <v>45677</v>
      </c>
    </row>
    <row r="702" customFormat="false" ht="28.35" hidden="true" customHeight="false" outlineLevel="0" collapsed="false">
      <c r="A702" s="332" t="n">
        <v>2712</v>
      </c>
      <c r="B702" s="21" t="s">
        <v>430</v>
      </c>
      <c r="C702" s="21" t="s">
        <v>431</v>
      </c>
      <c r="D702" s="25" t="s">
        <v>214</v>
      </c>
      <c r="E702" s="25" t="n">
        <v>45488</v>
      </c>
      <c r="F702" s="25" t="n">
        <v>45656</v>
      </c>
      <c r="G702" s="72" t="n">
        <v>120</v>
      </c>
      <c r="H702" s="320" t="n">
        <v>120</v>
      </c>
      <c r="I702" s="320" t="n">
        <v>0</v>
      </c>
      <c r="J702" s="330" t="s">
        <v>1189</v>
      </c>
      <c r="K702" s="31" t="n">
        <v>100000</v>
      </c>
      <c r="L702" s="31" t="n">
        <v>264000</v>
      </c>
      <c r="M702" s="37" t="n">
        <v>11000</v>
      </c>
      <c r="N702" s="30" t="n">
        <v>9000</v>
      </c>
      <c r="O702" s="30" t="n">
        <v>264000</v>
      </c>
      <c r="P702" s="31" t="n">
        <v>0</v>
      </c>
      <c r="Q702" s="302" t="n">
        <v>45677</v>
      </c>
    </row>
    <row r="703" customFormat="false" ht="21.6" hidden="true" customHeight="false" outlineLevel="0" collapsed="false">
      <c r="A703" s="332" t="n">
        <v>2799</v>
      </c>
      <c r="B703" s="21" t="s">
        <v>455</v>
      </c>
      <c r="C703" s="21" t="s">
        <v>451</v>
      </c>
      <c r="D703" s="25" t="s">
        <v>214</v>
      </c>
      <c r="E703" s="25" t="n">
        <v>45544</v>
      </c>
      <c r="F703" s="25" t="n">
        <v>45644</v>
      </c>
      <c r="G703" s="72" t="n">
        <v>72</v>
      </c>
      <c r="H703" s="320" t="n">
        <v>72</v>
      </c>
      <c r="I703" s="320" t="n">
        <v>0</v>
      </c>
      <c r="J703" s="34" t="s">
        <v>749</v>
      </c>
      <c r="K703" s="36" t="n">
        <v>20000</v>
      </c>
      <c r="L703" s="36" t="n">
        <v>43200</v>
      </c>
      <c r="M703" s="37" t="n">
        <v>3000</v>
      </c>
      <c r="N703" s="30" t="n">
        <v>1200</v>
      </c>
      <c r="O703" s="30" t="n">
        <v>43200</v>
      </c>
      <c r="P703" s="31" t="n">
        <v>0</v>
      </c>
      <c r="Q703" s="302" t="n">
        <v>45677</v>
      </c>
    </row>
    <row r="704" customFormat="false" ht="21.6" hidden="true" customHeight="false" outlineLevel="0" collapsed="false">
      <c r="A704" s="332" t="n">
        <v>2807</v>
      </c>
      <c r="B704" s="21" t="s">
        <v>752</v>
      </c>
      <c r="C704" s="21" t="s">
        <v>753</v>
      </c>
      <c r="D704" s="25" t="s">
        <v>214</v>
      </c>
      <c r="E704" s="25" t="n">
        <v>45549</v>
      </c>
      <c r="F704" s="25" t="n">
        <v>45660</v>
      </c>
      <c r="G704" s="72" t="n">
        <v>80</v>
      </c>
      <c r="H704" s="320" t="n">
        <v>80.2469135802469</v>
      </c>
      <c r="I704" s="320" t="n">
        <v>-0.246913580246911</v>
      </c>
      <c r="J704" s="52" t="s">
        <v>1190</v>
      </c>
      <c r="K704" s="31" t="n">
        <v>150000</v>
      </c>
      <c r="L704" s="31" t="n">
        <v>324000</v>
      </c>
      <c r="M704" s="37" t="n">
        <v>20250</v>
      </c>
      <c r="N704" s="30" t="n">
        <v>81500</v>
      </c>
      <c r="O704" s="30" t="n">
        <v>325000</v>
      </c>
      <c r="P704" s="31" t="n">
        <v>-1000</v>
      </c>
      <c r="Q704" s="302" t="n">
        <v>45677</v>
      </c>
    </row>
    <row r="705" customFormat="false" ht="14.9" hidden="true" customHeight="false" outlineLevel="0" collapsed="false">
      <c r="A705" s="332" t="n">
        <v>2761</v>
      </c>
      <c r="B705" s="21" t="s">
        <v>480</v>
      </c>
      <c r="C705" s="21" t="s">
        <v>958</v>
      </c>
      <c r="D705" s="25" t="s">
        <v>214</v>
      </c>
      <c r="E705" s="25" t="n">
        <v>45519</v>
      </c>
      <c r="F705" s="25" t="n">
        <v>45621</v>
      </c>
      <c r="G705" s="72" t="n">
        <v>72</v>
      </c>
      <c r="H705" s="320" t="n">
        <v>72</v>
      </c>
      <c r="I705" s="320" t="n">
        <v>0</v>
      </c>
      <c r="J705" s="34" t="s">
        <v>266</v>
      </c>
      <c r="K705" s="36" t="n">
        <v>100000</v>
      </c>
      <c r="L705" s="36" t="n">
        <v>216000</v>
      </c>
      <c r="M705" s="37" t="n">
        <v>15000</v>
      </c>
      <c r="N705" s="30" t="n">
        <v>21000</v>
      </c>
      <c r="O705" s="30" t="n">
        <v>216000</v>
      </c>
      <c r="P705" s="31" t="n">
        <v>0</v>
      </c>
      <c r="Q705" s="302" t="n">
        <v>45677</v>
      </c>
    </row>
    <row r="706" customFormat="false" ht="21.6" hidden="true" customHeight="false" outlineLevel="0" collapsed="false">
      <c r="A706" s="332" t="n">
        <v>2785</v>
      </c>
      <c r="B706" s="21" t="s">
        <v>491</v>
      </c>
      <c r="C706" s="21" t="s">
        <v>1191</v>
      </c>
      <c r="D706" s="25" t="s">
        <v>214</v>
      </c>
      <c r="E706" s="25" t="n">
        <v>45534</v>
      </c>
      <c r="F706" s="25" t="n">
        <v>45646</v>
      </c>
      <c r="G706" s="50" t="n">
        <v>80</v>
      </c>
      <c r="H706" s="320" t="n">
        <v>80</v>
      </c>
      <c r="I706" s="320" t="n">
        <v>0</v>
      </c>
      <c r="J706" s="52" t="s">
        <v>1192</v>
      </c>
      <c r="K706" s="36" t="n">
        <v>40000</v>
      </c>
      <c r="L706" s="36" t="n">
        <v>86400</v>
      </c>
      <c r="M706" s="29" t="n">
        <v>5400</v>
      </c>
      <c r="N706" s="30" t="n">
        <v>5400</v>
      </c>
      <c r="O706" s="30" t="n">
        <v>86400</v>
      </c>
      <c r="P706" s="31" t="n">
        <v>0</v>
      </c>
      <c r="Q706" s="302" t="n">
        <v>45677</v>
      </c>
    </row>
    <row r="707" customFormat="false" ht="14.9" hidden="true" customHeight="false" outlineLevel="0" collapsed="false">
      <c r="A707" s="332" t="n">
        <v>2825</v>
      </c>
      <c r="B707" s="21" t="s">
        <v>519</v>
      </c>
      <c r="C707" s="21" t="s">
        <v>520</v>
      </c>
      <c r="D707" s="25" t="s">
        <v>214</v>
      </c>
      <c r="E707" s="25" t="n">
        <v>45559</v>
      </c>
      <c r="F707" s="25" t="n">
        <v>45659</v>
      </c>
      <c r="G707" s="72" t="n">
        <v>72</v>
      </c>
      <c r="H707" s="320" t="n">
        <v>72</v>
      </c>
      <c r="I707" s="320" t="n">
        <v>0</v>
      </c>
      <c r="J707" s="34" t="s">
        <v>381</v>
      </c>
      <c r="K707" s="36" t="n">
        <v>50000</v>
      </c>
      <c r="L707" s="36" t="n">
        <v>108000</v>
      </c>
      <c r="M707" s="37" t="n">
        <v>7500</v>
      </c>
      <c r="N707" s="30" t="n">
        <v>4500</v>
      </c>
      <c r="O707" s="30" t="n">
        <v>108000</v>
      </c>
      <c r="P707" s="31" t="n">
        <v>0</v>
      </c>
      <c r="Q707" s="302" t="n">
        <v>45677</v>
      </c>
    </row>
    <row r="708" customFormat="false" ht="28.35" hidden="true" customHeight="false" outlineLevel="0" collapsed="false">
      <c r="A708" s="332" t="n">
        <v>2773</v>
      </c>
      <c r="B708" s="21" t="s">
        <v>548</v>
      </c>
      <c r="C708" s="21" t="s">
        <v>549</v>
      </c>
      <c r="D708" s="25" t="s">
        <v>214</v>
      </c>
      <c r="E708" s="25" t="n">
        <v>45525</v>
      </c>
      <c r="F708" s="25" t="n">
        <v>45665</v>
      </c>
      <c r="G708" s="72" t="n">
        <v>100</v>
      </c>
      <c r="H708" s="320" t="n">
        <v>100</v>
      </c>
      <c r="I708" s="320" t="n">
        <v>0</v>
      </c>
      <c r="J708" s="52" t="s">
        <v>1193</v>
      </c>
      <c r="K708" s="36" t="n">
        <v>250000</v>
      </c>
      <c r="L708" s="36" t="n">
        <v>540000</v>
      </c>
      <c r="M708" s="37" t="n">
        <v>27000</v>
      </c>
      <c r="N708" s="30" t="n">
        <v>108000</v>
      </c>
      <c r="O708" s="30" t="n">
        <v>540000</v>
      </c>
      <c r="P708" s="31" t="n">
        <v>0</v>
      </c>
      <c r="Q708" s="302" t="n">
        <v>45677</v>
      </c>
    </row>
    <row r="709" customFormat="false" ht="35.05" hidden="true" customHeight="false" outlineLevel="0" collapsed="false">
      <c r="A709" s="345" t="n">
        <v>2373</v>
      </c>
      <c r="B709" s="346" t="s">
        <v>584</v>
      </c>
      <c r="C709" s="346" t="s">
        <v>585</v>
      </c>
      <c r="D709" s="347" t="s">
        <v>214</v>
      </c>
      <c r="E709" s="122" t="n">
        <v>45275</v>
      </c>
      <c r="F709" s="122" t="n">
        <v>45611</v>
      </c>
      <c r="G709" s="348" t="n">
        <v>240</v>
      </c>
      <c r="H709" s="334" t="n">
        <v>245.434482758621</v>
      </c>
      <c r="I709" s="334" t="n">
        <v>-5.4344827586207</v>
      </c>
      <c r="J709" s="349" t="s">
        <v>1194</v>
      </c>
      <c r="K709" s="127" t="n">
        <v>250000</v>
      </c>
      <c r="L709" s="127" t="n">
        <v>696000</v>
      </c>
      <c r="M709" s="128" t="n">
        <v>14500</v>
      </c>
      <c r="N709" s="129" t="n">
        <v>14500</v>
      </c>
      <c r="O709" s="129" t="n">
        <v>711760</v>
      </c>
      <c r="P709" s="127" t="n">
        <v>-15760</v>
      </c>
      <c r="Q709" s="302" t="n">
        <v>45677</v>
      </c>
    </row>
    <row r="710" customFormat="false" ht="36.75" hidden="true" customHeight="false" outlineLevel="0" collapsed="false">
      <c r="A710" s="303" t="n">
        <v>2984</v>
      </c>
      <c r="B710" s="22" t="s">
        <v>1195</v>
      </c>
      <c r="C710" s="22" t="s">
        <v>212</v>
      </c>
      <c r="D710" s="23"/>
      <c r="E710" s="24" t="n">
        <v>45657</v>
      </c>
      <c r="F710" s="24" t="n">
        <v>45671</v>
      </c>
      <c r="G710" s="70" t="n">
        <v>10</v>
      </c>
      <c r="H710" s="316" t="e">
        <f aca="false">#VALUE!</f>
        <v>#VALUE!</v>
      </c>
      <c r="I710" s="316" t="e">
        <f aca="false">#VALUE!</f>
        <v>#VALUE!</v>
      </c>
      <c r="J710" s="350" t="s">
        <v>1196</v>
      </c>
      <c r="K710" s="28" t="n">
        <v>200000</v>
      </c>
      <c r="L710" s="28" t="n">
        <v>260000</v>
      </c>
      <c r="M710" s="308" t="s">
        <v>214</v>
      </c>
      <c r="N710" s="305" t="n">
        <v>130000</v>
      </c>
      <c r="O710" s="305" t="n">
        <v>260000</v>
      </c>
      <c r="P710" s="307" t="n">
        <v>0</v>
      </c>
      <c r="Q710" s="302" t="n">
        <v>45684</v>
      </c>
    </row>
    <row r="711" customFormat="false" ht="46.25" hidden="true" customHeight="false" outlineLevel="0" collapsed="false">
      <c r="A711" s="303" t="n">
        <v>2703</v>
      </c>
      <c r="B711" s="22" t="s">
        <v>385</v>
      </c>
      <c r="C711" s="22" t="s">
        <v>386</v>
      </c>
      <c r="D711" s="23"/>
      <c r="E711" s="24" t="n">
        <v>45482</v>
      </c>
      <c r="F711" s="24" t="n">
        <v>45650</v>
      </c>
      <c r="G711" s="70" t="n">
        <v>120</v>
      </c>
      <c r="H711" s="316" t="n">
        <v>120</v>
      </c>
      <c r="I711" s="316" t="n">
        <v>0</v>
      </c>
      <c r="J711" s="350" t="s">
        <v>1197</v>
      </c>
      <c r="K711" s="28" t="n">
        <v>50000</v>
      </c>
      <c r="L711" s="28" t="n">
        <v>132000</v>
      </c>
      <c r="M711" s="308" t="n">
        <v>5500</v>
      </c>
      <c r="N711" s="305" t="n">
        <v>22000</v>
      </c>
      <c r="O711" s="305" t="n">
        <v>132000</v>
      </c>
      <c r="P711" s="307" t="n">
        <v>0</v>
      </c>
      <c r="Q711" s="302" t="n">
        <v>45684</v>
      </c>
    </row>
    <row r="712" customFormat="false" ht="19.4" hidden="true" customHeight="false" outlineLevel="0" collapsed="false">
      <c r="A712" s="303" t="n">
        <v>3008</v>
      </c>
      <c r="B712" s="22" t="s">
        <v>429</v>
      </c>
      <c r="C712" s="22"/>
      <c r="D712" s="23"/>
      <c r="E712" s="24" t="n">
        <v>45675</v>
      </c>
      <c r="F712" s="24" t="n">
        <v>45681</v>
      </c>
      <c r="G712" s="70" t="n">
        <v>5</v>
      </c>
      <c r="H712" s="316" t="e">
        <f aca="false">#DIV/0!</f>
        <v>#DIV/0!</v>
      </c>
      <c r="I712" s="316" t="e">
        <f aca="false">#DIV/0!</f>
        <v>#DIV/0!</v>
      </c>
      <c r="J712" s="350" t="s">
        <v>580</v>
      </c>
      <c r="K712" s="351" t="n">
        <v>30000</v>
      </c>
      <c r="L712" s="28" t="n">
        <v>39000</v>
      </c>
      <c r="M712" s="308"/>
      <c r="N712" s="305" t="n">
        <v>48000</v>
      </c>
      <c r="O712" s="305" t="n">
        <v>48000</v>
      </c>
      <c r="P712" s="307" t="n">
        <v>-9000</v>
      </c>
      <c r="Q712" s="302" t="n">
        <v>45684</v>
      </c>
    </row>
    <row r="713" customFormat="false" ht="46.25" hidden="true" customHeight="false" outlineLevel="0" collapsed="false">
      <c r="A713" s="303" t="n">
        <v>2642</v>
      </c>
      <c r="B713" s="22" t="s">
        <v>833</v>
      </c>
      <c r="C713" s="22" t="s">
        <v>834</v>
      </c>
      <c r="D713" s="23"/>
      <c r="E713" s="24" t="n">
        <v>45439</v>
      </c>
      <c r="F713" s="24" t="n">
        <v>45607</v>
      </c>
      <c r="G713" s="70" t="n">
        <v>120</v>
      </c>
      <c r="H713" s="316" t="n">
        <v>120</v>
      </c>
      <c r="I713" s="316" t="n">
        <v>0</v>
      </c>
      <c r="J713" s="350" t="s">
        <v>340</v>
      </c>
      <c r="K713" s="28" t="n">
        <v>100000</v>
      </c>
      <c r="L713" s="28" t="n">
        <v>264000</v>
      </c>
      <c r="M713" s="308" t="n">
        <v>11000</v>
      </c>
      <c r="N713" s="305" t="n">
        <v>32000</v>
      </c>
      <c r="O713" s="305" t="n">
        <v>264000</v>
      </c>
      <c r="P713" s="307" t="n">
        <v>0</v>
      </c>
      <c r="Q713" s="302" t="n">
        <v>45684</v>
      </c>
    </row>
    <row r="714" customFormat="false" ht="28.35" hidden="false" customHeight="false" outlineLevel="0" collapsed="false">
      <c r="A714" s="303" t="n">
        <v>2928</v>
      </c>
      <c r="B714" s="22" t="s">
        <v>568</v>
      </c>
      <c r="C714" s="22" t="s">
        <v>569</v>
      </c>
      <c r="D714" s="23"/>
      <c r="E714" s="24" t="n">
        <v>45619</v>
      </c>
      <c r="F714" s="24" t="n">
        <v>45716</v>
      </c>
      <c r="G714" s="70" t="n">
        <v>70</v>
      </c>
      <c r="H714" s="316" t="n">
        <v>70</v>
      </c>
      <c r="I714" s="316" t="n">
        <v>0</v>
      </c>
      <c r="J714" s="49" t="s">
        <v>1198</v>
      </c>
      <c r="K714" s="28" t="n">
        <v>70000</v>
      </c>
      <c r="L714" s="28" t="n">
        <v>151200</v>
      </c>
      <c r="M714" s="304" t="n">
        <v>10800</v>
      </c>
      <c r="N714" s="305" t="n">
        <v>86400</v>
      </c>
      <c r="O714" s="305" t="n">
        <v>151200</v>
      </c>
      <c r="P714" s="307" t="n">
        <v>0</v>
      </c>
      <c r="Q714" s="302" t="n">
        <v>45684</v>
      </c>
    </row>
    <row r="715" customFormat="false" ht="28.35" hidden="true" customHeight="false" outlineLevel="0" collapsed="false">
      <c r="A715" s="303" t="n">
        <v>2858</v>
      </c>
      <c r="B715" s="22" t="s">
        <v>581</v>
      </c>
      <c r="C715" s="22" t="s">
        <v>582</v>
      </c>
      <c r="D715" s="23"/>
      <c r="E715" s="24" t="n">
        <v>45579</v>
      </c>
      <c r="F715" s="24" t="n">
        <v>45463</v>
      </c>
      <c r="G715" s="70" t="n">
        <v>72</v>
      </c>
      <c r="H715" s="316" t="n">
        <v>72</v>
      </c>
      <c r="I715" s="316" t="n">
        <v>0</v>
      </c>
      <c r="J715" s="22" t="s">
        <v>792</v>
      </c>
      <c r="K715" s="307" t="n">
        <v>60000</v>
      </c>
      <c r="L715" s="307" t="n">
        <v>129600</v>
      </c>
      <c r="M715" s="308" t="n">
        <v>9000</v>
      </c>
      <c r="N715" s="305" t="n">
        <v>3600</v>
      </c>
      <c r="O715" s="305" t="n">
        <v>129600</v>
      </c>
      <c r="P715" s="307" t="n">
        <v>0</v>
      </c>
      <c r="Q715" s="302" t="n">
        <v>45684</v>
      </c>
    </row>
    <row r="716" customFormat="false" ht="37.3" hidden="true" customHeight="false" outlineLevel="0" collapsed="false">
      <c r="A716" s="303" t="n">
        <v>2899</v>
      </c>
      <c r="B716" s="22" t="s">
        <v>1154</v>
      </c>
      <c r="C716" s="22" t="s">
        <v>1155</v>
      </c>
      <c r="D716" s="23"/>
      <c r="E716" s="24" t="n">
        <v>45604</v>
      </c>
      <c r="F716" s="24" t="n">
        <v>45681</v>
      </c>
      <c r="G716" s="70" t="n">
        <v>55</v>
      </c>
      <c r="H716" s="316" t="n">
        <v>55</v>
      </c>
      <c r="I716" s="316" t="n">
        <v>0</v>
      </c>
      <c r="J716" s="22" t="s">
        <v>1199</v>
      </c>
      <c r="K716" s="28" t="n">
        <v>100000</v>
      </c>
      <c r="L716" s="28" t="n">
        <v>175120</v>
      </c>
      <c r="M716" s="308" t="n">
        <v>15920</v>
      </c>
      <c r="N716" s="305" t="n">
        <v>16340</v>
      </c>
      <c r="O716" s="305" t="n">
        <v>175120</v>
      </c>
      <c r="P716" s="307" t="n">
        <v>0</v>
      </c>
      <c r="Q716" s="302" t="n">
        <v>45684</v>
      </c>
    </row>
    <row r="717" customFormat="false" ht="28.35" hidden="true" customHeight="false" outlineLevel="0" collapsed="false">
      <c r="A717" s="303" t="n">
        <v>2853</v>
      </c>
      <c r="B717" s="22" t="s">
        <v>1200</v>
      </c>
      <c r="C717" s="22" t="s">
        <v>292</v>
      </c>
      <c r="D717" s="22"/>
      <c r="E717" s="24" t="n">
        <v>45577</v>
      </c>
      <c r="F717" s="24" t="n">
        <v>45678</v>
      </c>
      <c r="G717" s="70" t="n">
        <v>72</v>
      </c>
      <c r="H717" s="316" t="n">
        <v>72</v>
      </c>
      <c r="I717" s="316" t="n">
        <v>0</v>
      </c>
      <c r="J717" s="22" t="s">
        <v>266</v>
      </c>
      <c r="K717" s="28" t="n">
        <v>100000</v>
      </c>
      <c r="L717" s="28" t="n">
        <v>216000</v>
      </c>
      <c r="M717" s="308" t="n">
        <v>15000</v>
      </c>
      <c r="N717" s="305" t="n">
        <v>6000</v>
      </c>
      <c r="O717" s="305" t="n">
        <v>216000</v>
      </c>
      <c r="P717" s="307" t="n">
        <v>0</v>
      </c>
      <c r="Q717" s="302" t="n">
        <v>45691</v>
      </c>
    </row>
    <row r="718" customFormat="false" ht="46.25" hidden="true" customHeight="false" outlineLevel="0" collapsed="false">
      <c r="A718" s="303" t="n">
        <v>2870</v>
      </c>
      <c r="B718" s="22" t="s">
        <v>430</v>
      </c>
      <c r="C718" s="22" t="s">
        <v>431</v>
      </c>
      <c r="D718" s="22"/>
      <c r="E718" s="24" t="n">
        <v>45584</v>
      </c>
      <c r="F718" s="24" t="n">
        <v>45695</v>
      </c>
      <c r="G718" s="70" t="n">
        <v>80</v>
      </c>
      <c r="H718" s="316" t="n">
        <v>80</v>
      </c>
      <c r="I718" s="316" t="n">
        <v>0</v>
      </c>
      <c r="J718" s="352" t="s">
        <v>924</v>
      </c>
      <c r="K718" s="28" t="n">
        <v>30000</v>
      </c>
      <c r="L718" s="28" t="n">
        <v>64800</v>
      </c>
      <c r="M718" s="308" t="n">
        <v>4050</v>
      </c>
      <c r="N718" s="305" t="n">
        <v>16200</v>
      </c>
      <c r="O718" s="305" t="n">
        <v>64800</v>
      </c>
      <c r="P718" s="307" t="n">
        <v>0</v>
      </c>
      <c r="Q718" s="302" t="n">
        <v>45691</v>
      </c>
    </row>
    <row r="719" customFormat="false" ht="82.05" hidden="true" customHeight="false" outlineLevel="0" collapsed="false">
      <c r="A719" s="303" t="n">
        <v>2907</v>
      </c>
      <c r="B719" s="22" t="s">
        <v>466</v>
      </c>
      <c r="C719" s="22" t="s">
        <v>467</v>
      </c>
      <c r="D719" s="22" t="n">
        <v>27249921551</v>
      </c>
      <c r="E719" s="24" t="n">
        <v>45608</v>
      </c>
      <c r="F719" s="24" t="n">
        <v>45708</v>
      </c>
      <c r="G719" s="70" t="n">
        <v>72</v>
      </c>
      <c r="H719" s="316" t="n">
        <v>72</v>
      </c>
      <c r="I719" s="316" t="n">
        <v>0</v>
      </c>
      <c r="J719" s="22" t="s">
        <v>452</v>
      </c>
      <c r="K719" s="28" t="n">
        <v>30000</v>
      </c>
      <c r="L719" s="28" t="n">
        <v>64800</v>
      </c>
      <c r="M719" s="308" t="n">
        <v>4500</v>
      </c>
      <c r="N719" s="305" t="n">
        <v>16300</v>
      </c>
      <c r="O719" s="305" t="n">
        <v>64800</v>
      </c>
      <c r="P719" s="307" t="n">
        <v>0</v>
      </c>
      <c r="Q719" s="302" t="n">
        <v>45691</v>
      </c>
    </row>
    <row r="720" customFormat="false" ht="28.35" hidden="true" customHeight="false" outlineLevel="0" collapsed="false">
      <c r="A720" s="303" t="n">
        <v>2756</v>
      </c>
      <c r="B720" s="22" t="s">
        <v>497</v>
      </c>
      <c r="C720" s="22" t="s">
        <v>498</v>
      </c>
      <c r="D720" s="22" t="n">
        <v>27352124309</v>
      </c>
      <c r="E720" s="24" t="n">
        <v>45517</v>
      </c>
      <c r="F720" s="24" t="n">
        <v>45671</v>
      </c>
      <c r="G720" s="70" t="n">
        <v>110</v>
      </c>
      <c r="H720" s="316" t="n">
        <v>110</v>
      </c>
      <c r="I720" s="316" t="n">
        <v>0</v>
      </c>
      <c r="J720" s="22" t="s">
        <v>362</v>
      </c>
      <c r="K720" s="307" t="n">
        <v>100000</v>
      </c>
      <c r="L720" s="307" t="n">
        <v>264000</v>
      </c>
      <c r="M720" s="308" t="n">
        <v>12000</v>
      </c>
      <c r="N720" s="305" t="n">
        <v>24000</v>
      </c>
      <c r="O720" s="305" t="n">
        <v>264000</v>
      </c>
      <c r="P720" s="307" t="n">
        <v>0</v>
      </c>
      <c r="Q720" s="302" t="n">
        <v>45691</v>
      </c>
    </row>
    <row r="721" customFormat="false" ht="28.35" hidden="true" customHeight="false" outlineLevel="0" collapsed="false">
      <c r="A721" s="303" t="n">
        <v>2860</v>
      </c>
      <c r="B721" s="22" t="s">
        <v>497</v>
      </c>
      <c r="C721" s="22" t="s">
        <v>498</v>
      </c>
      <c r="D721" s="22" t="n">
        <v>27352124309</v>
      </c>
      <c r="E721" s="24" t="n">
        <v>45580</v>
      </c>
      <c r="F721" s="24" t="n">
        <v>45692</v>
      </c>
      <c r="G721" s="70" t="n">
        <v>80</v>
      </c>
      <c r="H721" s="316" t="n">
        <v>80</v>
      </c>
      <c r="I721" s="316" t="n">
        <v>0</v>
      </c>
      <c r="J721" s="350" t="s">
        <v>1201</v>
      </c>
      <c r="K721" s="28" t="n">
        <v>200000</v>
      </c>
      <c r="L721" s="28" t="n">
        <v>432000</v>
      </c>
      <c r="M721" s="308" t="n">
        <v>27000</v>
      </c>
      <c r="N721" s="305" t="n">
        <v>108000</v>
      </c>
      <c r="O721" s="305" t="n">
        <v>432000</v>
      </c>
      <c r="P721" s="307" t="n">
        <v>0</v>
      </c>
      <c r="Q721" s="302" t="n">
        <v>45691</v>
      </c>
    </row>
    <row r="722" customFormat="false" ht="37.3" hidden="true" customHeight="false" outlineLevel="0" collapsed="false">
      <c r="A722" s="303" t="n">
        <v>2886</v>
      </c>
      <c r="B722" s="22" t="s">
        <v>503</v>
      </c>
      <c r="C722" s="22" t="s">
        <v>241</v>
      </c>
      <c r="D722" s="22"/>
      <c r="E722" s="24" t="n">
        <v>45593</v>
      </c>
      <c r="F722" s="24" t="n">
        <v>45693</v>
      </c>
      <c r="G722" s="70" t="n">
        <v>72</v>
      </c>
      <c r="H722" s="316" t="n">
        <v>72</v>
      </c>
      <c r="I722" s="316" t="n">
        <v>0</v>
      </c>
      <c r="J722" s="22" t="s">
        <v>381</v>
      </c>
      <c r="K722" s="28" t="n">
        <v>50000</v>
      </c>
      <c r="L722" s="28" t="n">
        <v>108000</v>
      </c>
      <c r="M722" s="308" t="n">
        <v>7500</v>
      </c>
      <c r="N722" s="305" t="n">
        <v>3000</v>
      </c>
      <c r="O722" s="305" t="n">
        <v>108000</v>
      </c>
      <c r="P722" s="307" t="n">
        <v>0</v>
      </c>
      <c r="Q722" s="302" t="n">
        <v>45691</v>
      </c>
    </row>
    <row r="723" customFormat="false" ht="37.3" hidden="true" customHeight="false" outlineLevel="0" collapsed="false">
      <c r="A723" s="303" t="n">
        <v>2859</v>
      </c>
      <c r="B723" s="22" t="s">
        <v>1202</v>
      </c>
      <c r="C723" s="22" t="s">
        <v>1203</v>
      </c>
      <c r="D723" s="22"/>
      <c r="E723" s="24" t="n">
        <v>45579</v>
      </c>
      <c r="F723" s="24" t="n">
        <v>45691</v>
      </c>
      <c r="G723" s="70" t="n">
        <v>80</v>
      </c>
      <c r="H723" s="316" t="n">
        <v>80</v>
      </c>
      <c r="I723" s="316" t="n">
        <v>0</v>
      </c>
      <c r="J723" s="350" t="s">
        <v>1204</v>
      </c>
      <c r="K723" s="28" t="n">
        <v>50000</v>
      </c>
      <c r="L723" s="28" t="n">
        <v>108000</v>
      </c>
      <c r="M723" s="308" t="n">
        <v>6750</v>
      </c>
      <c r="N723" s="305" t="n">
        <v>49000</v>
      </c>
      <c r="O723" s="305" t="n">
        <v>108000</v>
      </c>
      <c r="P723" s="307" t="n">
        <v>0</v>
      </c>
      <c r="Q723" s="302" t="n">
        <v>45691</v>
      </c>
    </row>
    <row r="724" customFormat="false" ht="28.35" hidden="true" customHeight="false" outlineLevel="0" collapsed="false">
      <c r="A724" s="303" t="n">
        <v>2837</v>
      </c>
      <c r="B724" s="22" t="s">
        <v>519</v>
      </c>
      <c r="C724" s="22" t="s">
        <v>520</v>
      </c>
      <c r="D724" s="22"/>
      <c r="E724" s="24" t="n">
        <v>45563</v>
      </c>
      <c r="F724" s="24" t="n">
        <v>45664</v>
      </c>
      <c r="G724" s="70" t="n">
        <v>72</v>
      </c>
      <c r="H724" s="316" t="n">
        <v>72</v>
      </c>
      <c r="I724" s="316" t="n">
        <v>0</v>
      </c>
      <c r="J724" s="22" t="s">
        <v>381</v>
      </c>
      <c r="K724" s="28" t="n">
        <v>50000</v>
      </c>
      <c r="L724" s="28" t="n">
        <v>108000</v>
      </c>
      <c r="M724" s="304" t="n">
        <v>7500</v>
      </c>
      <c r="N724" s="305" t="n">
        <v>7500</v>
      </c>
      <c r="O724" s="305" t="n">
        <v>108000</v>
      </c>
      <c r="P724" s="307" t="n">
        <v>0</v>
      </c>
      <c r="Q724" s="302" t="n">
        <v>45691</v>
      </c>
    </row>
    <row r="725" customFormat="false" ht="28.35" hidden="true" customHeight="false" outlineLevel="0" collapsed="false">
      <c r="A725" s="303" t="n">
        <v>2845</v>
      </c>
      <c r="B725" s="22" t="s">
        <v>631</v>
      </c>
      <c r="C725" s="22" t="s">
        <v>632</v>
      </c>
      <c r="D725" s="22"/>
      <c r="E725" s="24" t="n">
        <v>45572</v>
      </c>
      <c r="F725" s="24" t="n">
        <v>45684</v>
      </c>
      <c r="G725" s="70" t="n">
        <v>80</v>
      </c>
      <c r="H725" s="316" t="n">
        <v>80</v>
      </c>
      <c r="I725" s="316" t="n">
        <v>0</v>
      </c>
      <c r="J725" s="350" t="s">
        <v>1205</v>
      </c>
      <c r="K725" s="28" t="n">
        <v>400000</v>
      </c>
      <c r="L725" s="28" t="n">
        <v>864000</v>
      </c>
      <c r="M725" s="308" t="n">
        <v>54000</v>
      </c>
      <c r="N725" s="305" t="n">
        <v>216000</v>
      </c>
      <c r="O725" s="305" t="n">
        <v>864000</v>
      </c>
      <c r="P725" s="307" t="n">
        <v>0</v>
      </c>
      <c r="Q725" s="302" t="n">
        <v>45691</v>
      </c>
    </row>
    <row r="726" customFormat="false" ht="28.35" hidden="true" customHeight="false" outlineLevel="0" collapsed="false">
      <c r="A726" s="303" t="n">
        <v>2748</v>
      </c>
      <c r="B726" s="22" t="s">
        <v>251</v>
      </c>
      <c r="C726" s="22" t="s">
        <v>252</v>
      </c>
      <c r="D726" s="22" t="s">
        <v>253</v>
      </c>
      <c r="E726" s="24" t="n">
        <v>45513</v>
      </c>
      <c r="F726" s="24" t="n">
        <v>45681</v>
      </c>
      <c r="G726" s="70" t="n">
        <v>120</v>
      </c>
      <c r="H726" s="316" t="n">
        <v>120</v>
      </c>
      <c r="I726" s="316" t="n">
        <v>0</v>
      </c>
      <c r="J726" s="350" t="s">
        <v>295</v>
      </c>
      <c r="K726" s="307" t="n">
        <v>200000</v>
      </c>
      <c r="L726" s="307" t="n">
        <v>528000</v>
      </c>
      <c r="M726" s="308" t="n">
        <v>22000</v>
      </c>
      <c r="N726" s="305" t="n">
        <v>88000</v>
      </c>
      <c r="O726" s="305" t="n">
        <v>528000</v>
      </c>
      <c r="P726" s="307" t="n">
        <v>0</v>
      </c>
      <c r="Q726" s="302" t="n">
        <v>45698</v>
      </c>
    </row>
    <row r="727" customFormat="false" ht="28.35" hidden="true" customHeight="false" outlineLevel="0" collapsed="false">
      <c r="A727" s="303" t="n">
        <v>2848</v>
      </c>
      <c r="B727" s="22" t="s">
        <v>285</v>
      </c>
      <c r="C727" s="22" t="s">
        <v>286</v>
      </c>
      <c r="D727" s="22"/>
      <c r="E727" s="24" t="n">
        <v>45575</v>
      </c>
      <c r="F727" s="24" t="n">
        <v>45687</v>
      </c>
      <c r="G727" s="70" t="n">
        <v>80</v>
      </c>
      <c r="H727" s="316" t="n">
        <v>80</v>
      </c>
      <c r="I727" s="316" t="n">
        <v>0</v>
      </c>
      <c r="J727" s="350" t="s">
        <v>1206</v>
      </c>
      <c r="K727" s="307" t="n">
        <v>100000</v>
      </c>
      <c r="L727" s="307" t="n">
        <v>216000</v>
      </c>
      <c r="M727" s="308" t="n">
        <v>13500</v>
      </c>
      <c r="N727" s="305" t="n">
        <v>54000</v>
      </c>
      <c r="O727" s="305" t="n">
        <v>216000</v>
      </c>
      <c r="P727" s="307" t="n">
        <v>0</v>
      </c>
      <c r="Q727" s="302" t="n">
        <v>45698</v>
      </c>
    </row>
    <row r="728" customFormat="false" ht="19.4" hidden="true" customHeight="false" outlineLevel="0" collapsed="false">
      <c r="A728" s="303" t="n">
        <v>3040</v>
      </c>
      <c r="B728" s="22" t="s">
        <v>333</v>
      </c>
      <c r="C728" s="22" t="s">
        <v>334</v>
      </c>
      <c r="D728" s="22"/>
      <c r="E728" s="24" t="n">
        <v>45694</v>
      </c>
      <c r="F728" s="24" t="n">
        <v>45705</v>
      </c>
      <c r="G728" s="70" t="n">
        <v>7</v>
      </c>
      <c r="H728" s="316" t="e">
        <f aca="false">#DIV/0!</f>
        <v>#DIV/0!</v>
      </c>
      <c r="I728" s="316" t="e">
        <f aca="false">#DIV/0!</f>
        <v>#DIV/0!</v>
      </c>
      <c r="J728" s="350" t="s">
        <v>580</v>
      </c>
      <c r="K728" s="307" t="n">
        <v>150000</v>
      </c>
      <c r="L728" s="307" t="n">
        <v>200000</v>
      </c>
      <c r="M728" s="308"/>
      <c r="N728" s="305" t="n">
        <v>200000</v>
      </c>
      <c r="O728" s="305" t="n">
        <v>200000</v>
      </c>
      <c r="P728" s="307" t="n">
        <v>0</v>
      </c>
      <c r="Q728" s="302" t="n">
        <v>45698</v>
      </c>
    </row>
    <row r="729" customFormat="false" ht="46.25" hidden="true" customHeight="false" outlineLevel="0" collapsed="false">
      <c r="A729" s="303" t="n">
        <v>2891</v>
      </c>
      <c r="B729" s="22" t="s">
        <v>1052</v>
      </c>
      <c r="C729" s="22" t="s">
        <v>796</v>
      </c>
      <c r="D729" s="22"/>
      <c r="E729" s="24" t="n">
        <v>45597</v>
      </c>
      <c r="F729" s="24" t="n">
        <v>45709</v>
      </c>
      <c r="G729" s="70" t="n">
        <v>80</v>
      </c>
      <c r="H729" s="316" t="n">
        <v>97.5308641975309</v>
      </c>
      <c r="I729" s="316" t="n">
        <v>-17.5308641975309</v>
      </c>
      <c r="J729" s="350" t="s">
        <v>390</v>
      </c>
      <c r="K729" s="28" t="n">
        <v>30000</v>
      </c>
      <c r="L729" s="28" t="n">
        <v>64800</v>
      </c>
      <c r="M729" s="308" t="n">
        <v>4050</v>
      </c>
      <c r="N729" s="305" t="n">
        <v>16200</v>
      </c>
      <c r="O729" s="305" t="n">
        <v>79000</v>
      </c>
      <c r="P729" s="307" t="n">
        <v>-14200</v>
      </c>
      <c r="Q729" s="302" t="n">
        <v>45698</v>
      </c>
    </row>
    <row r="730" customFormat="false" ht="46.25" hidden="true" customHeight="false" outlineLevel="0" collapsed="false">
      <c r="A730" s="303" t="n">
        <v>3035</v>
      </c>
      <c r="B730" s="22" t="s">
        <v>396</v>
      </c>
      <c r="C730" s="22" t="s">
        <v>397</v>
      </c>
      <c r="D730" s="22"/>
      <c r="E730" s="24" t="n">
        <v>45684</v>
      </c>
      <c r="F730" s="24" t="n">
        <v>45698</v>
      </c>
      <c r="G730" s="70" t="n">
        <v>10</v>
      </c>
      <c r="H730" s="316" t="e">
        <f aca="false">#DIV/0!</f>
        <v>#DIV/0!</v>
      </c>
      <c r="I730" s="316" t="e">
        <f aca="false">#DIV/0!</f>
        <v>#DIV/0!</v>
      </c>
      <c r="J730" s="350" t="s">
        <v>1207</v>
      </c>
      <c r="K730" s="28" t="n">
        <v>80000</v>
      </c>
      <c r="L730" s="28" t="n">
        <v>120000</v>
      </c>
      <c r="M730" s="308"/>
      <c r="N730" s="305" t="n">
        <v>120000</v>
      </c>
      <c r="O730" s="305" t="n">
        <v>120000</v>
      </c>
      <c r="P730" s="307" t="n">
        <v>0</v>
      </c>
      <c r="Q730" s="302" t="n">
        <v>45698</v>
      </c>
    </row>
    <row r="731" customFormat="false" ht="46.25" hidden="true" customHeight="false" outlineLevel="0" collapsed="false">
      <c r="A731" s="303" t="n">
        <v>2747</v>
      </c>
      <c r="B731" s="22" t="s">
        <v>407</v>
      </c>
      <c r="C731" s="22" t="s">
        <v>397</v>
      </c>
      <c r="D731" s="22"/>
      <c r="E731" s="24" t="n">
        <v>45513</v>
      </c>
      <c r="F731" s="24" t="n">
        <v>45611</v>
      </c>
      <c r="G731" s="70" t="n">
        <v>70</v>
      </c>
      <c r="H731" s="316" t="n">
        <v>81.5741935483871</v>
      </c>
      <c r="I731" s="316" t="n">
        <v>-11.5741935483871</v>
      </c>
      <c r="J731" s="49" t="s">
        <v>1208</v>
      </c>
      <c r="K731" s="307" t="n">
        <v>50000</v>
      </c>
      <c r="L731" s="307" t="n">
        <v>108500</v>
      </c>
      <c r="M731" s="308" t="n">
        <v>7750</v>
      </c>
      <c r="N731" s="305" t="n">
        <v>30000</v>
      </c>
      <c r="O731" s="305" t="n">
        <v>126440</v>
      </c>
      <c r="P731" s="307" t="n">
        <v>-17940</v>
      </c>
      <c r="Q731" s="302" t="n">
        <v>45698</v>
      </c>
    </row>
    <row r="732" customFormat="false" ht="19.4" hidden="true" customHeight="false" outlineLevel="0" collapsed="false">
      <c r="A732" s="303" t="n">
        <v>3037</v>
      </c>
      <c r="B732" s="22" t="s">
        <v>429</v>
      </c>
      <c r="C732" s="22"/>
      <c r="D732" s="22"/>
      <c r="E732" s="24" t="n">
        <v>45689</v>
      </c>
      <c r="F732" s="24" t="n">
        <v>45695</v>
      </c>
      <c r="G732" s="70" t="n">
        <v>5</v>
      </c>
      <c r="H732" s="316" t="e">
        <f aca="false">#DIV/0!</f>
        <v>#DIV/0!</v>
      </c>
      <c r="I732" s="316" t="e">
        <f aca="false">#DIV/0!</f>
        <v>#DIV/0!</v>
      </c>
      <c r="J732" s="350" t="s">
        <v>580</v>
      </c>
      <c r="K732" s="351" t="n">
        <v>30000</v>
      </c>
      <c r="L732" s="28" t="n">
        <v>39000</v>
      </c>
      <c r="M732" s="304"/>
      <c r="N732" s="305" t="n">
        <v>39000</v>
      </c>
      <c r="O732" s="305" t="n">
        <v>39000</v>
      </c>
      <c r="P732" s="307" t="n">
        <v>0</v>
      </c>
      <c r="Q732" s="302" t="n">
        <v>45698</v>
      </c>
    </row>
    <row r="733" customFormat="false" ht="28.35" hidden="true" customHeight="false" outlineLevel="0" collapsed="false">
      <c r="A733" s="303" t="n">
        <v>2892</v>
      </c>
      <c r="B733" s="22" t="s">
        <v>440</v>
      </c>
      <c r="C733" s="22" t="s">
        <v>441</v>
      </c>
      <c r="D733" s="22"/>
      <c r="E733" s="24" t="n">
        <v>45598</v>
      </c>
      <c r="F733" s="24" t="n">
        <v>45709</v>
      </c>
      <c r="G733" s="70" t="n">
        <v>80</v>
      </c>
      <c r="H733" s="316" t="n">
        <v>80</v>
      </c>
      <c r="I733" s="316" t="n">
        <v>0</v>
      </c>
      <c r="J733" s="350" t="s">
        <v>511</v>
      </c>
      <c r="K733" s="307" t="n">
        <v>200000</v>
      </c>
      <c r="L733" s="307" t="n">
        <v>432000</v>
      </c>
      <c r="M733" s="308" t="n">
        <v>27000</v>
      </c>
      <c r="N733" s="305" t="n">
        <v>108000</v>
      </c>
      <c r="O733" s="305" t="n">
        <v>432000</v>
      </c>
      <c r="P733" s="307" t="n">
        <v>0</v>
      </c>
      <c r="Q733" s="302" t="n">
        <v>45698</v>
      </c>
    </row>
    <row r="734" customFormat="false" ht="37.3" hidden="true" customHeight="false" outlineLevel="0" collapsed="false">
      <c r="A734" s="303" t="n">
        <v>2884</v>
      </c>
      <c r="B734" s="22" t="s">
        <v>1116</v>
      </c>
      <c r="C734" s="22" t="s">
        <v>1117</v>
      </c>
      <c r="D734" s="22"/>
      <c r="E734" s="24" t="n">
        <v>45591</v>
      </c>
      <c r="F734" s="24" t="n">
        <v>45688</v>
      </c>
      <c r="G734" s="70" t="n">
        <v>70</v>
      </c>
      <c r="H734" s="316" t="n">
        <v>70</v>
      </c>
      <c r="I734" s="316" t="n">
        <v>0</v>
      </c>
      <c r="J734" s="49" t="s">
        <v>1118</v>
      </c>
      <c r="K734" s="307" t="n">
        <v>30000</v>
      </c>
      <c r="L734" s="307" t="n">
        <v>66500</v>
      </c>
      <c r="M734" s="308" t="n">
        <v>4750</v>
      </c>
      <c r="N734" s="305" t="n">
        <v>9500</v>
      </c>
      <c r="O734" s="305" t="n">
        <v>66500</v>
      </c>
      <c r="P734" s="307" t="n">
        <v>0</v>
      </c>
      <c r="Q734" s="302" t="n">
        <v>45698</v>
      </c>
    </row>
    <row r="735" customFormat="false" ht="37.3" hidden="true" customHeight="false" outlineLevel="0" collapsed="false">
      <c r="A735" s="303" t="n">
        <v>2795</v>
      </c>
      <c r="B735" s="22" t="s">
        <v>483</v>
      </c>
      <c r="C735" s="22" t="s">
        <v>484</v>
      </c>
      <c r="D735" s="22"/>
      <c r="E735" s="24" t="n">
        <v>45542</v>
      </c>
      <c r="F735" s="24" t="n">
        <v>45643</v>
      </c>
      <c r="G735" s="70" t="n">
        <v>72</v>
      </c>
      <c r="H735" s="316" t="n">
        <v>73.3333333333333</v>
      </c>
      <c r="I735" s="316" t="n">
        <v>-1.33333333333333</v>
      </c>
      <c r="J735" s="22" t="s">
        <v>1209</v>
      </c>
      <c r="K735" s="307" t="n">
        <v>70000</v>
      </c>
      <c r="L735" s="307" t="n">
        <v>151200</v>
      </c>
      <c r="M735" s="308" t="n">
        <v>10500</v>
      </c>
      <c r="N735" s="305" t="n">
        <v>10500</v>
      </c>
      <c r="O735" s="305" t="n">
        <v>154000</v>
      </c>
      <c r="P735" s="307" t="n">
        <v>-2800</v>
      </c>
      <c r="Q735" s="302" t="n">
        <v>45698</v>
      </c>
    </row>
    <row r="736" customFormat="false" ht="19.4" hidden="true" customHeight="false" outlineLevel="0" collapsed="false">
      <c r="A736" s="303" t="n">
        <v>2989</v>
      </c>
      <c r="B736" s="22" t="s">
        <v>1106</v>
      </c>
      <c r="C736" s="22" t="s">
        <v>489</v>
      </c>
      <c r="D736" s="22"/>
      <c r="E736" s="24" t="n">
        <v>45661</v>
      </c>
      <c r="F736" s="24" t="n">
        <v>45688</v>
      </c>
      <c r="G736" s="70" t="n">
        <v>20</v>
      </c>
      <c r="H736" s="316" t="e">
        <f aca="false">#VALUE!</f>
        <v>#VALUE!</v>
      </c>
      <c r="I736" s="316" t="e">
        <f aca="false">#VALUE!</f>
        <v>#VALUE!</v>
      </c>
      <c r="J736" s="350" t="s">
        <v>490</v>
      </c>
      <c r="K736" s="28" t="n">
        <v>50000</v>
      </c>
      <c r="L736" s="28" t="n">
        <v>75000</v>
      </c>
      <c r="M736" s="308" t="s">
        <v>214</v>
      </c>
      <c r="N736" s="305" t="n">
        <v>75000</v>
      </c>
      <c r="O736" s="305" t="n">
        <v>75000</v>
      </c>
      <c r="P736" s="307" t="n">
        <v>0</v>
      </c>
      <c r="Q736" s="302" t="n">
        <v>45698</v>
      </c>
    </row>
    <row r="737" customFormat="false" ht="14.25" hidden="true" customHeight="false" outlineLevel="0" collapsed="false">
      <c r="A737" s="303" t="n">
        <v>2972</v>
      </c>
      <c r="B737" s="22" t="s">
        <v>861</v>
      </c>
      <c r="C737" s="22"/>
      <c r="D737" s="22"/>
      <c r="E737" s="24" t="n">
        <v>45650</v>
      </c>
      <c r="F737" s="24" t="n">
        <v>45678</v>
      </c>
      <c r="G737" s="70" t="n">
        <v>20</v>
      </c>
      <c r="H737" s="316" t="e">
        <f aca="false">#DIV/0!</f>
        <v>#DIV/0!</v>
      </c>
      <c r="I737" s="316" t="e">
        <f aca="false">#DIV/0!</f>
        <v>#DIV/0!</v>
      </c>
      <c r="J737" s="350" t="s">
        <v>580</v>
      </c>
      <c r="K737" s="307" t="n">
        <v>20000</v>
      </c>
      <c r="L737" s="307" t="n">
        <v>43000</v>
      </c>
      <c r="M737" s="308"/>
      <c r="N737" s="305" t="n">
        <v>39000</v>
      </c>
      <c r="O737" s="305" t="n">
        <v>43000</v>
      </c>
      <c r="P737" s="307" t="n">
        <v>0</v>
      </c>
      <c r="Q737" s="302" t="n">
        <v>45698</v>
      </c>
    </row>
    <row r="738" customFormat="false" ht="19.4" hidden="true" customHeight="false" outlineLevel="0" collapsed="false">
      <c r="A738" s="303" t="n">
        <v>3007</v>
      </c>
      <c r="B738" s="22" t="s">
        <v>984</v>
      </c>
      <c r="C738" s="22"/>
      <c r="D738" s="22"/>
      <c r="E738" s="24" t="n">
        <v>45674</v>
      </c>
      <c r="F738" s="24" t="n">
        <v>45702</v>
      </c>
      <c r="G738" s="70" t="n">
        <v>20</v>
      </c>
      <c r="H738" s="316" t="e">
        <f aca="false">#DIV/0!</f>
        <v>#DIV/0!</v>
      </c>
      <c r="I738" s="316" t="e">
        <f aca="false">#DIV/0!</f>
        <v>#DIV/0!</v>
      </c>
      <c r="J738" s="350" t="s">
        <v>580</v>
      </c>
      <c r="K738" s="28" t="n">
        <v>40000</v>
      </c>
      <c r="L738" s="28" t="n">
        <v>60000</v>
      </c>
      <c r="M738" s="308"/>
      <c r="N738" s="305" t="n">
        <v>60000</v>
      </c>
      <c r="O738" s="305" t="n">
        <v>60000</v>
      </c>
      <c r="P738" s="307" t="n">
        <v>0</v>
      </c>
      <c r="Q738" s="302" t="n">
        <v>45698</v>
      </c>
    </row>
    <row r="739" customFormat="false" ht="19.4" hidden="true" customHeight="false" outlineLevel="0" collapsed="false">
      <c r="A739" s="303" t="n">
        <v>3015</v>
      </c>
      <c r="B739" s="22" t="s">
        <v>984</v>
      </c>
      <c r="C739" s="22"/>
      <c r="D739" s="22"/>
      <c r="E739" s="24" t="n">
        <v>45679</v>
      </c>
      <c r="F739" s="24" t="n">
        <v>45707</v>
      </c>
      <c r="G739" s="70" t="n">
        <v>20</v>
      </c>
      <c r="H739" s="316" t="e">
        <f aca="false">#DIV/0!</f>
        <v>#DIV/0!</v>
      </c>
      <c r="I739" s="316" t="e">
        <f aca="false">#DIV/0!</f>
        <v>#DIV/0!</v>
      </c>
      <c r="J739" s="350" t="s">
        <v>580</v>
      </c>
      <c r="K739" s="307" t="n">
        <v>40000</v>
      </c>
      <c r="L739" s="307" t="n">
        <v>60000</v>
      </c>
      <c r="M739" s="308"/>
      <c r="N739" s="305" t="n">
        <v>60000</v>
      </c>
      <c r="O739" s="305" t="n">
        <v>60000</v>
      </c>
      <c r="P739" s="307" t="n">
        <v>0</v>
      </c>
      <c r="Q739" s="302" t="n">
        <v>45698</v>
      </c>
    </row>
    <row r="740" customFormat="false" ht="19.4" hidden="true" customHeight="false" outlineLevel="0" collapsed="false">
      <c r="A740" s="303" t="n">
        <v>3023</v>
      </c>
      <c r="B740" s="22" t="s">
        <v>984</v>
      </c>
      <c r="C740" s="22"/>
      <c r="D740" s="22"/>
      <c r="E740" s="24" t="n">
        <v>45682</v>
      </c>
      <c r="F740" s="24" t="n">
        <v>45709</v>
      </c>
      <c r="G740" s="70" t="n">
        <v>20</v>
      </c>
      <c r="H740" s="316" t="e">
        <f aca="false">#DIV/0!</f>
        <v>#DIV/0!</v>
      </c>
      <c r="I740" s="316" t="e">
        <f aca="false">#DIV/0!</f>
        <v>#DIV/0!</v>
      </c>
      <c r="J740" s="350" t="s">
        <v>580</v>
      </c>
      <c r="K740" s="307" t="n">
        <v>50000</v>
      </c>
      <c r="L740" s="307" t="n">
        <v>75000</v>
      </c>
      <c r="M740" s="308"/>
      <c r="N740" s="305" t="n">
        <v>75000</v>
      </c>
      <c r="O740" s="305" t="n">
        <v>75000</v>
      </c>
      <c r="P740" s="307" t="n">
        <v>0</v>
      </c>
      <c r="Q740" s="302" t="n">
        <v>45698</v>
      </c>
    </row>
    <row r="741" customFormat="false" ht="28.35" hidden="true" customHeight="false" outlineLevel="0" collapsed="false">
      <c r="A741" s="303" t="n">
        <v>3000</v>
      </c>
      <c r="B741" s="22" t="s">
        <v>1179</v>
      </c>
      <c r="C741" s="22" t="s">
        <v>579</v>
      </c>
      <c r="D741" s="22"/>
      <c r="E741" s="24" t="n">
        <v>45668</v>
      </c>
      <c r="F741" s="24" t="n">
        <v>45693</v>
      </c>
      <c r="G741" s="70" t="n">
        <v>18</v>
      </c>
      <c r="H741" s="316" t="e">
        <f aca="false">#DIV/0!</f>
        <v>#DIV/0!</v>
      </c>
      <c r="I741" s="316" t="e">
        <f aca="false">#DIV/0!</f>
        <v>#DIV/0!</v>
      </c>
      <c r="J741" s="350" t="s">
        <v>580</v>
      </c>
      <c r="K741" s="28" t="n">
        <v>250000</v>
      </c>
      <c r="L741" s="28" t="n">
        <v>350000</v>
      </c>
      <c r="M741" s="308"/>
      <c r="N741" s="305" t="n">
        <v>350000</v>
      </c>
      <c r="O741" s="305" t="n">
        <v>350000</v>
      </c>
      <c r="P741" s="307" t="n">
        <v>0</v>
      </c>
      <c r="Q741" s="302" t="n">
        <v>45698</v>
      </c>
    </row>
    <row r="742" customFormat="false" ht="37.3" hidden="true" customHeight="false" outlineLevel="0" collapsed="false">
      <c r="A742" s="303" t="n">
        <v>2866</v>
      </c>
      <c r="B742" s="22" t="s">
        <v>593</v>
      </c>
      <c r="C742" s="22" t="s">
        <v>594</v>
      </c>
      <c r="D742" s="22"/>
      <c r="E742" s="24" t="n">
        <v>45583</v>
      </c>
      <c r="F742" s="24" t="n">
        <v>45520</v>
      </c>
      <c r="G742" s="70" t="n">
        <v>80</v>
      </c>
      <c r="H742" s="316" t="n">
        <v>80</v>
      </c>
      <c r="I742" s="316" t="n">
        <v>0</v>
      </c>
      <c r="J742" s="350" t="s">
        <v>1210</v>
      </c>
      <c r="K742" s="28" t="n">
        <v>80000</v>
      </c>
      <c r="L742" s="28" t="n">
        <v>172800</v>
      </c>
      <c r="M742" s="308" t="n">
        <v>10800</v>
      </c>
      <c r="N742" s="305" t="n">
        <v>43200</v>
      </c>
      <c r="O742" s="305" t="n">
        <v>172800</v>
      </c>
      <c r="P742" s="307" t="n">
        <v>0</v>
      </c>
      <c r="Q742" s="302" t="n">
        <v>45698</v>
      </c>
    </row>
    <row r="743" customFormat="false" ht="28.35" hidden="true" customHeight="false" outlineLevel="0" collapsed="false">
      <c r="A743" s="303" t="n">
        <v>2865</v>
      </c>
      <c r="B743" s="22" t="s">
        <v>638</v>
      </c>
      <c r="C743" s="22" t="s">
        <v>639</v>
      </c>
      <c r="D743" s="22" t="n">
        <v>2034839888</v>
      </c>
      <c r="E743" s="24" t="n">
        <v>45583</v>
      </c>
      <c r="F743" s="24" t="n">
        <v>45695</v>
      </c>
      <c r="G743" s="70" t="n">
        <v>80</v>
      </c>
      <c r="H743" s="316" t="n">
        <v>80</v>
      </c>
      <c r="I743" s="316" t="n">
        <v>0</v>
      </c>
      <c r="J743" s="350" t="s">
        <v>1211</v>
      </c>
      <c r="K743" s="28" t="n">
        <v>100000</v>
      </c>
      <c r="L743" s="28" t="n">
        <v>216000</v>
      </c>
      <c r="M743" s="308" t="n">
        <v>13500</v>
      </c>
      <c r="N743" s="305" t="n">
        <v>54000</v>
      </c>
      <c r="O743" s="305" t="n">
        <v>216000</v>
      </c>
      <c r="P743" s="307" t="n">
        <v>0</v>
      </c>
      <c r="Q743" s="302" t="n">
        <v>45698</v>
      </c>
    </row>
    <row r="744" customFormat="false" ht="28.35" hidden="true" customHeight="false" outlineLevel="0" collapsed="false">
      <c r="A744" s="303" t="n">
        <v>2876</v>
      </c>
      <c r="B744" s="22" t="s">
        <v>638</v>
      </c>
      <c r="C744" s="22" t="s">
        <v>639</v>
      </c>
      <c r="D744" s="22" t="n">
        <v>2034839888</v>
      </c>
      <c r="E744" s="24" t="n">
        <v>45587</v>
      </c>
      <c r="F744" s="24" t="n">
        <v>45699</v>
      </c>
      <c r="G744" s="70" t="n">
        <v>80</v>
      </c>
      <c r="H744" s="316" t="n">
        <v>80</v>
      </c>
      <c r="I744" s="316" t="n">
        <v>0</v>
      </c>
      <c r="J744" s="350" t="s">
        <v>1109</v>
      </c>
      <c r="K744" s="28" t="n">
        <v>35000</v>
      </c>
      <c r="L744" s="28" t="n">
        <v>75600</v>
      </c>
      <c r="M744" s="304" t="n">
        <v>4725</v>
      </c>
      <c r="N744" s="305" t="n">
        <v>18900</v>
      </c>
      <c r="O744" s="305" t="n">
        <v>75600</v>
      </c>
      <c r="P744" s="307" t="n">
        <v>0</v>
      </c>
      <c r="Q744" s="302" t="n">
        <v>45698</v>
      </c>
    </row>
    <row r="745" customFormat="false" ht="19.4" hidden="true" customHeight="false" outlineLevel="0" collapsed="false">
      <c r="A745" s="303" t="n">
        <v>2976</v>
      </c>
      <c r="B745" s="22" t="s">
        <v>333</v>
      </c>
      <c r="C745" s="22" t="s">
        <v>334</v>
      </c>
      <c r="D745" s="22"/>
      <c r="E745" s="24" t="n">
        <v>45653</v>
      </c>
      <c r="F745" s="24" t="n">
        <f aca="false">WORKDAY(E745,G745)</f>
        <v>45681</v>
      </c>
      <c r="G745" s="70" t="n">
        <v>20</v>
      </c>
      <c r="H745" s="316" t="e">
        <f aca="false">(EE745* 5)/M745</f>
        <v>#DIV/0!</v>
      </c>
      <c r="I745" s="316" t="e">
        <f aca="false">G745-H745</f>
        <v>#DIV/0!</v>
      </c>
      <c r="J745" s="22" t="s">
        <v>580</v>
      </c>
      <c r="K745" s="28" t="n">
        <v>400000</v>
      </c>
      <c r="L745" s="28" t="n">
        <v>550000</v>
      </c>
      <c r="M745" s="353"/>
      <c r="N745" s="354" t="n">
        <v>100000</v>
      </c>
      <c r="O745" s="354" t="n">
        <v>200000</v>
      </c>
      <c r="P745" s="307" t="n">
        <v>350000</v>
      </c>
      <c r="Q745" s="355" t="n">
        <v>45705</v>
      </c>
    </row>
    <row r="746" customFormat="false" ht="28.35" hidden="true" customHeight="false" outlineLevel="0" collapsed="false">
      <c r="A746" s="303" t="n">
        <v>2864</v>
      </c>
      <c r="B746" s="22" t="s">
        <v>345</v>
      </c>
      <c r="C746" s="22" t="s">
        <v>346</v>
      </c>
      <c r="D746" s="22"/>
      <c r="E746" s="24" t="n">
        <v>45582</v>
      </c>
      <c r="F746" s="24" t="n">
        <v>45684</v>
      </c>
      <c r="G746" s="70" t="n">
        <v>72</v>
      </c>
      <c r="H746" s="316" t="n">
        <v>72.625</v>
      </c>
      <c r="I746" s="316" t="n">
        <v>-0.625</v>
      </c>
      <c r="J746" s="49" t="s">
        <v>749</v>
      </c>
      <c r="K746" s="28" t="n">
        <v>20000</v>
      </c>
      <c r="L746" s="28" t="n">
        <v>43200</v>
      </c>
      <c r="M746" s="308" t="n">
        <v>3000</v>
      </c>
      <c r="N746" s="305" t="n">
        <v>6000</v>
      </c>
      <c r="O746" s="305" t="n">
        <v>43575</v>
      </c>
      <c r="P746" s="307" t="n">
        <v>-375</v>
      </c>
      <c r="Q746" s="302" t="n">
        <v>45705</v>
      </c>
    </row>
    <row r="747" customFormat="false" ht="19.4" hidden="true" customHeight="false" outlineLevel="0" collapsed="false">
      <c r="A747" s="303" t="n">
        <v>3047</v>
      </c>
      <c r="B747" s="22" t="s">
        <v>429</v>
      </c>
      <c r="C747" s="22"/>
      <c r="D747" s="22"/>
      <c r="E747" s="24" t="n">
        <v>45697</v>
      </c>
      <c r="F747" s="24" t="n">
        <v>45702</v>
      </c>
      <c r="G747" s="70" t="n">
        <v>5</v>
      </c>
      <c r="H747" s="316" t="e">
        <f aca="false">#DIV/0!</f>
        <v>#DIV/0!</v>
      </c>
      <c r="I747" s="316" t="e">
        <f aca="false">#DIV/0!</f>
        <v>#DIV/0!</v>
      </c>
      <c r="J747" s="350" t="s">
        <v>580</v>
      </c>
      <c r="K747" s="356" t="n">
        <v>30000</v>
      </c>
      <c r="L747" s="28" t="n">
        <v>39000</v>
      </c>
      <c r="M747" s="308"/>
      <c r="N747" s="305" t="n">
        <v>39000</v>
      </c>
      <c r="O747" s="305" t="n">
        <v>39000</v>
      </c>
      <c r="P747" s="307" t="n">
        <v>0</v>
      </c>
      <c r="Q747" s="302" t="n">
        <v>45705</v>
      </c>
    </row>
    <row r="748" customFormat="false" ht="19.4" hidden="true" customHeight="false" outlineLevel="0" collapsed="false">
      <c r="A748" s="357" t="n">
        <v>3063</v>
      </c>
      <c r="B748" s="22" t="s">
        <v>429</v>
      </c>
      <c r="C748" s="22"/>
      <c r="D748" s="22"/>
      <c r="E748" s="24" t="n">
        <v>45705</v>
      </c>
      <c r="F748" s="24" t="n">
        <v>45712</v>
      </c>
      <c r="G748" s="70" t="n">
        <v>5</v>
      </c>
      <c r="H748" s="316" t="e">
        <f aca="false">#VALUE!</f>
        <v>#VALUE!</v>
      </c>
      <c r="I748" s="316" t="e">
        <f aca="false">#VALUE!</f>
        <v>#VALUE!</v>
      </c>
      <c r="J748" s="350" t="s">
        <v>580</v>
      </c>
      <c r="K748" s="28" t="n">
        <v>30000</v>
      </c>
      <c r="L748" s="28" t="n">
        <v>39000</v>
      </c>
      <c r="M748" s="308" t="s">
        <v>214</v>
      </c>
      <c r="N748" s="305" t="n">
        <v>39000</v>
      </c>
      <c r="O748" s="305" t="n">
        <v>39000</v>
      </c>
      <c r="P748" s="307" t="n">
        <v>0</v>
      </c>
      <c r="Q748" s="302" t="n">
        <v>45705</v>
      </c>
    </row>
    <row r="749" customFormat="false" ht="64.15" hidden="true" customHeight="false" outlineLevel="0" collapsed="false">
      <c r="A749" s="303" t="n">
        <v>2938</v>
      </c>
      <c r="B749" s="22" t="s">
        <v>1212</v>
      </c>
      <c r="C749" s="22" t="s">
        <v>1213</v>
      </c>
      <c r="D749" s="22" t="n">
        <v>39446403</v>
      </c>
      <c r="E749" s="24" t="n">
        <v>45626</v>
      </c>
      <c r="F749" s="24" t="n">
        <v>45723</v>
      </c>
      <c r="G749" s="70" t="n">
        <v>70</v>
      </c>
      <c r="H749" s="316" t="n">
        <v>70</v>
      </c>
      <c r="I749" s="316" t="n">
        <v>0</v>
      </c>
      <c r="J749" s="350" t="s">
        <v>1214</v>
      </c>
      <c r="K749" s="28" t="n">
        <v>100000</v>
      </c>
      <c r="L749" s="28" t="n">
        <v>216000</v>
      </c>
      <c r="M749" s="308" t="n">
        <v>15428.5714285714</v>
      </c>
      <c r="N749" s="305" t="n">
        <v>77429</v>
      </c>
      <c r="O749" s="305" t="n">
        <v>216000</v>
      </c>
      <c r="P749" s="307" t="n">
        <v>0</v>
      </c>
      <c r="Q749" s="302" t="n">
        <v>45705</v>
      </c>
    </row>
    <row r="750" customFormat="false" ht="55.2" hidden="true" customHeight="false" outlineLevel="0" collapsed="false">
      <c r="A750" s="303" t="n">
        <v>2856</v>
      </c>
      <c r="B750" s="22" t="s">
        <v>818</v>
      </c>
      <c r="C750" s="22" t="s">
        <v>556</v>
      </c>
      <c r="D750" s="22"/>
      <c r="E750" s="24" t="n">
        <v>45577</v>
      </c>
      <c r="F750" s="24" t="n">
        <v>45730</v>
      </c>
      <c r="G750" s="70" t="n">
        <v>110</v>
      </c>
      <c r="H750" s="316" t="n">
        <v>110</v>
      </c>
      <c r="I750" s="316" t="n">
        <v>0</v>
      </c>
      <c r="J750" s="22" t="s">
        <v>931</v>
      </c>
      <c r="K750" s="28" t="n">
        <v>100000</v>
      </c>
      <c r="L750" s="28" t="n">
        <v>264000</v>
      </c>
      <c r="M750" s="308" t="n">
        <v>12000</v>
      </c>
      <c r="N750" s="305" t="n">
        <v>65000</v>
      </c>
      <c r="O750" s="305" t="n">
        <v>264000</v>
      </c>
      <c r="P750" s="307" t="n">
        <v>0</v>
      </c>
      <c r="Q750" s="302" t="n">
        <v>45705</v>
      </c>
    </row>
    <row r="751" customFormat="false" ht="37.3" hidden="true" customHeight="false" outlineLevel="0" collapsed="false">
      <c r="A751" s="303" t="n">
        <v>2882</v>
      </c>
      <c r="B751" s="22" t="s">
        <v>619</v>
      </c>
      <c r="C751" s="22" t="s">
        <v>620</v>
      </c>
      <c r="D751" s="22"/>
      <c r="E751" s="24" t="n">
        <v>45589</v>
      </c>
      <c r="F751" s="24" t="n">
        <v>45691</v>
      </c>
      <c r="G751" s="70" t="n">
        <v>72</v>
      </c>
      <c r="H751" s="316" t="n">
        <v>72</v>
      </c>
      <c r="I751" s="316" t="n">
        <v>0</v>
      </c>
      <c r="J751" s="22" t="s">
        <v>996</v>
      </c>
      <c r="K751" s="28" t="n">
        <v>70000</v>
      </c>
      <c r="L751" s="28" t="n">
        <v>151200</v>
      </c>
      <c r="M751" s="304" t="n">
        <v>10500</v>
      </c>
      <c r="N751" s="305" t="n">
        <v>14700</v>
      </c>
      <c r="O751" s="305" t="n">
        <v>151200</v>
      </c>
      <c r="P751" s="307" t="n">
        <v>0</v>
      </c>
      <c r="Q751" s="302" t="n">
        <v>45705</v>
      </c>
    </row>
    <row r="752" customFormat="false" ht="28.35" hidden="true" customHeight="false" outlineLevel="0" collapsed="false">
      <c r="A752" s="303" t="n">
        <v>2872</v>
      </c>
      <c r="B752" s="22" t="s">
        <v>622</v>
      </c>
      <c r="C752" s="22" t="s">
        <v>623</v>
      </c>
      <c r="D752" s="22"/>
      <c r="E752" s="24" t="n">
        <v>45584</v>
      </c>
      <c r="F752" s="24" t="n">
        <v>45685</v>
      </c>
      <c r="G752" s="70" t="n">
        <v>72</v>
      </c>
      <c r="H752" s="316" t="n">
        <v>72</v>
      </c>
      <c r="I752" s="316" t="n">
        <v>0</v>
      </c>
      <c r="J752" s="22" t="s">
        <v>749</v>
      </c>
      <c r="K752" s="28" t="n">
        <v>20000</v>
      </c>
      <c r="L752" s="28" t="n">
        <v>43200</v>
      </c>
      <c r="M752" s="308" t="n">
        <v>3000</v>
      </c>
      <c r="N752" s="305" t="n">
        <v>4200</v>
      </c>
      <c r="O752" s="305" t="n">
        <v>43200</v>
      </c>
      <c r="P752" s="307" t="n">
        <v>0</v>
      </c>
      <c r="Q752" s="302" t="n">
        <v>45705</v>
      </c>
    </row>
    <row r="753" customFormat="false" ht="28.35" hidden="true" customHeight="false" outlineLevel="0" collapsed="false">
      <c r="A753" s="303" t="n">
        <v>2890</v>
      </c>
      <c r="B753" s="22" t="s">
        <v>336</v>
      </c>
      <c r="C753" s="22" t="s">
        <v>337</v>
      </c>
      <c r="D753" s="22"/>
      <c r="E753" s="24" t="n">
        <v>45595</v>
      </c>
      <c r="F753" s="24" t="n">
        <v>45707</v>
      </c>
      <c r="G753" s="70" t="n">
        <v>80</v>
      </c>
      <c r="H753" s="316" t="n">
        <v>80</v>
      </c>
      <c r="I753" s="316" t="n">
        <v>0</v>
      </c>
      <c r="J753" s="350" t="s">
        <v>1095</v>
      </c>
      <c r="K753" s="28" t="n">
        <v>20000</v>
      </c>
      <c r="L753" s="28" t="n">
        <v>43200</v>
      </c>
      <c r="M753" s="308" t="n">
        <v>2700</v>
      </c>
      <c r="N753" s="305" t="n">
        <v>10800</v>
      </c>
      <c r="O753" s="305" t="n">
        <v>43200</v>
      </c>
      <c r="P753" s="307" t="n">
        <v>0</v>
      </c>
      <c r="Q753" s="302" t="n">
        <v>45712</v>
      </c>
    </row>
    <row r="754" customFormat="false" ht="28.35" hidden="true" customHeight="false" outlineLevel="0" collapsed="false">
      <c r="A754" s="303" t="n">
        <v>2873</v>
      </c>
      <c r="B754" s="22" t="s">
        <v>380</v>
      </c>
      <c r="C754" s="22" t="s">
        <v>292</v>
      </c>
      <c r="D754" s="22"/>
      <c r="E754" s="24" t="n">
        <v>45586</v>
      </c>
      <c r="F754" s="24" t="n">
        <v>45686</v>
      </c>
      <c r="G754" s="70" t="n">
        <v>72</v>
      </c>
      <c r="H754" s="316" t="n">
        <v>72</v>
      </c>
      <c r="I754" s="316" t="n">
        <v>0</v>
      </c>
      <c r="J754" s="22" t="s">
        <v>1123</v>
      </c>
      <c r="K754" s="358" t="n">
        <v>80000</v>
      </c>
      <c r="L754" s="28" t="n">
        <v>172800</v>
      </c>
      <c r="M754" s="308" t="n">
        <v>12000</v>
      </c>
      <c r="N754" s="305"/>
      <c r="O754" s="305" t="n">
        <v>172800</v>
      </c>
      <c r="P754" s="307" t="n">
        <v>0</v>
      </c>
      <c r="Q754" s="302" t="n">
        <v>45712</v>
      </c>
    </row>
    <row r="755" customFormat="false" ht="19.4" hidden="true" customHeight="false" outlineLevel="0" collapsed="false">
      <c r="A755" s="357" t="n">
        <v>3074</v>
      </c>
      <c r="B755" s="22" t="s">
        <v>429</v>
      </c>
      <c r="C755" s="22"/>
      <c r="D755" s="22"/>
      <c r="E755" s="24" t="n">
        <v>45709</v>
      </c>
      <c r="F755" s="24" t="n">
        <v>45716</v>
      </c>
      <c r="G755" s="70" t="n">
        <v>5</v>
      </c>
      <c r="H755" s="316" t="e">
        <f aca="false">#DIV/0!</f>
        <v>#DIV/0!</v>
      </c>
      <c r="I755" s="316" t="e">
        <f aca="false">#DIV/0!</f>
        <v>#DIV/0!</v>
      </c>
      <c r="J755" s="350" t="s">
        <v>580</v>
      </c>
      <c r="K755" s="28" t="n">
        <v>30000</v>
      </c>
      <c r="L755" s="28" t="n">
        <v>39000</v>
      </c>
      <c r="M755" s="308"/>
      <c r="N755" s="305" t="n">
        <v>39000</v>
      </c>
      <c r="O755" s="305" t="n">
        <v>39000</v>
      </c>
      <c r="P755" s="307" t="n">
        <v>0</v>
      </c>
      <c r="Q755" s="302" t="n">
        <v>45712</v>
      </c>
    </row>
    <row r="756" customFormat="false" ht="19.4" hidden="true" customHeight="false" outlineLevel="0" collapsed="false">
      <c r="A756" s="303" t="n">
        <v>3075</v>
      </c>
      <c r="B756" s="22" t="s">
        <v>429</v>
      </c>
      <c r="C756" s="22"/>
      <c r="D756" s="22"/>
      <c r="E756" s="24" t="n">
        <v>45705</v>
      </c>
      <c r="F756" s="24" t="n">
        <v>45712</v>
      </c>
      <c r="G756" s="70" t="n">
        <v>5</v>
      </c>
      <c r="H756" s="316" t="e">
        <f aca="false">#DIV/0!</f>
        <v>#DIV/0!</v>
      </c>
      <c r="I756" s="316" t="e">
        <f aca="false">#DIV/0!</f>
        <v>#DIV/0!</v>
      </c>
      <c r="J756" s="350" t="s">
        <v>580</v>
      </c>
      <c r="K756" s="28" t="n">
        <v>100000</v>
      </c>
      <c r="L756" s="28" t="n">
        <v>130000</v>
      </c>
      <c r="M756" s="308"/>
      <c r="N756" s="305" t="n">
        <v>130000</v>
      </c>
      <c r="O756" s="305" t="n">
        <v>130000</v>
      </c>
      <c r="P756" s="307" t="n">
        <v>0</v>
      </c>
      <c r="Q756" s="302" t="n">
        <v>45712</v>
      </c>
    </row>
    <row r="757" customFormat="false" ht="37.3" hidden="true" customHeight="false" outlineLevel="0" collapsed="false">
      <c r="A757" s="303" t="n">
        <v>2805</v>
      </c>
      <c r="B757" s="22" t="s">
        <v>1071</v>
      </c>
      <c r="C757" s="22" t="s">
        <v>451</v>
      </c>
      <c r="D757" s="22"/>
      <c r="E757" s="24" t="n">
        <v>45548</v>
      </c>
      <c r="F757" s="24" t="n">
        <v>45650</v>
      </c>
      <c r="G757" s="70" t="n">
        <v>72</v>
      </c>
      <c r="H757" s="316" t="n">
        <v>72</v>
      </c>
      <c r="I757" s="316" t="n">
        <v>0</v>
      </c>
      <c r="J757" s="22" t="s">
        <v>749</v>
      </c>
      <c r="K757" s="307" t="n">
        <v>20000</v>
      </c>
      <c r="L757" s="307" t="n">
        <v>43200</v>
      </c>
      <c r="M757" s="308" t="n">
        <v>3000</v>
      </c>
      <c r="N757" s="305" t="n">
        <v>1200</v>
      </c>
      <c r="O757" s="305" t="n">
        <v>43200</v>
      </c>
      <c r="P757" s="307" t="n">
        <v>0</v>
      </c>
      <c r="Q757" s="302" t="n">
        <v>45712</v>
      </c>
    </row>
    <row r="758" customFormat="false" ht="28.35" hidden="true" customHeight="false" outlineLevel="0" collapsed="false">
      <c r="A758" s="303" t="n">
        <v>2798</v>
      </c>
      <c r="B758" s="22" t="s">
        <v>461</v>
      </c>
      <c r="C758" s="22"/>
      <c r="D758" s="22"/>
      <c r="E758" s="24" t="n">
        <v>45544</v>
      </c>
      <c r="F758" s="24" t="n">
        <v>45656</v>
      </c>
      <c r="G758" s="70" t="n">
        <v>80</v>
      </c>
      <c r="H758" s="316" t="n">
        <v>86.412037037037</v>
      </c>
      <c r="I758" s="316" t="n">
        <v>-6.41203703703704</v>
      </c>
      <c r="J758" s="350" t="s">
        <v>1215</v>
      </c>
      <c r="K758" s="28" t="n">
        <v>80000</v>
      </c>
      <c r="L758" s="28" t="n">
        <v>172800</v>
      </c>
      <c r="M758" s="304" t="n">
        <v>10800</v>
      </c>
      <c r="N758" s="305" t="n">
        <v>50000</v>
      </c>
      <c r="O758" s="305" t="n">
        <v>186650</v>
      </c>
      <c r="P758" s="307" t="n">
        <v>-13850</v>
      </c>
      <c r="Q758" s="302" t="n">
        <v>45712</v>
      </c>
    </row>
    <row r="759" customFormat="false" ht="82.05" hidden="true" customHeight="false" outlineLevel="0" collapsed="false">
      <c r="A759" s="303" t="n">
        <v>2942</v>
      </c>
      <c r="B759" s="22" t="s">
        <v>466</v>
      </c>
      <c r="C759" s="22" t="s">
        <v>467</v>
      </c>
      <c r="D759" s="22" t="n">
        <v>27249921551</v>
      </c>
      <c r="E759" s="24" t="n">
        <v>45629</v>
      </c>
      <c r="F759" s="24" t="n">
        <v>45729</v>
      </c>
      <c r="G759" s="70" t="n">
        <v>72</v>
      </c>
      <c r="H759" s="316" t="n">
        <v>72</v>
      </c>
      <c r="I759" s="316" t="n">
        <v>0</v>
      </c>
      <c r="J759" s="22" t="s">
        <v>381</v>
      </c>
      <c r="K759" s="28" t="n">
        <v>50000</v>
      </c>
      <c r="L759" s="28" t="n">
        <v>108000</v>
      </c>
      <c r="M759" s="308" t="n">
        <v>7500</v>
      </c>
      <c r="N759" s="305" t="n">
        <v>25500</v>
      </c>
      <c r="O759" s="305" t="n">
        <v>108000</v>
      </c>
      <c r="P759" s="307" t="n">
        <v>0</v>
      </c>
      <c r="Q759" s="302" t="n">
        <v>45712</v>
      </c>
    </row>
    <row r="760" customFormat="false" ht="28.35" hidden="true" customHeight="false" outlineLevel="0" collapsed="false">
      <c r="A760" s="303" t="n">
        <v>2941</v>
      </c>
      <c r="B760" s="22" t="s">
        <v>1148</v>
      </c>
      <c r="C760" s="22"/>
      <c r="D760" s="22"/>
      <c r="E760" s="24" t="n">
        <v>45532</v>
      </c>
      <c r="F760" s="24" t="n">
        <v>45630</v>
      </c>
      <c r="G760" s="70" t="n">
        <v>70</v>
      </c>
      <c r="H760" s="316" t="n">
        <v>70</v>
      </c>
      <c r="I760" s="316" t="n">
        <v>0</v>
      </c>
      <c r="J760" s="49" t="s">
        <v>1149</v>
      </c>
      <c r="K760" s="28" t="n">
        <v>50000</v>
      </c>
      <c r="L760" s="28" t="n">
        <v>108500</v>
      </c>
      <c r="M760" s="308" t="n">
        <v>7750</v>
      </c>
      <c r="N760" s="305" t="n">
        <v>31000</v>
      </c>
      <c r="O760" s="305" t="n">
        <v>108500</v>
      </c>
      <c r="P760" s="307" t="n">
        <v>0</v>
      </c>
      <c r="Q760" s="302" t="n">
        <v>45712</v>
      </c>
    </row>
    <row r="761" customFormat="false" ht="46.25" hidden="true" customHeight="false" outlineLevel="0" collapsed="false">
      <c r="A761" s="303" t="n">
        <v>2800</v>
      </c>
      <c r="B761" s="22" t="s">
        <v>227</v>
      </c>
      <c r="C761" s="22" t="s">
        <v>228</v>
      </c>
      <c r="D761" s="22"/>
      <c r="E761" s="24" t="n">
        <v>45545</v>
      </c>
      <c r="F761" s="24" t="n">
        <v>45713</v>
      </c>
      <c r="G761" s="70" t="n">
        <v>120</v>
      </c>
      <c r="H761" s="316" t="n">
        <v>120</v>
      </c>
      <c r="I761" s="316" t="n">
        <v>0</v>
      </c>
      <c r="J761" s="350" t="s">
        <v>1216</v>
      </c>
      <c r="K761" s="28" t="n">
        <v>120000</v>
      </c>
      <c r="L761" s="28" t="n">
        <v>316800</v>
      </c>
      <c r="M761" s="308" t="n">
        <v>13200</v>
      </c>
      <c r="N761" s="305" t="n">
        <v>52800</v>
      </c>
      <c r="O761" s="305" t="n">
        <v>316800</v>
      </c>
      <c r="P761" s="307" t="n">
        <v>0</v>
      </c>
      <c r="Q761" s="302" t="n">
        <v>45719</v>
      </c>
    </row>
    <row r="762" customFormat="false" ht="36.75" hidden="true" customHeight="false" outlineLevel="0" collapsed="false">
      <c r="A762" s="303" t="n">
        <v>2754</v>
      </c>
      <c r="B762" s="22" t="s">
        <v>230</v>
      </c>
      <c r="C762" s="22" t="s">
        <v>231</v>
      </c>
      <c r="D762" s="22"/>
      <c r="E762" s="24" t="n">
        <v>45516</v>
      </c>
      <c r="F762" s="24" t="n">
        <v>45684</v>
      </c>
      <c r="G762" s="70" t="n">
        <v>120</v>
      </c>
      <c r="H762" s="316" t="n">
        <v>120</v>
      </c>
      <c r="I762" s="316" t="n">
        <v>0</v>
      </c>
      <c r="J762" s="350" t="s">
        <v>953</v>
      </c>
      <c r="K762" s="358" t="n">
        <v>50000</v>
      </c>
      <c r="L762" s="28" t="n">
        <v>132000</v>
      </c>
      <c r="M762" s="308" t="n">
        <v>5500</v>
      </c>
      <c r="N762" s="305" t="n">
        <v>22000</v>
      </c>
      <c r="O762" s="305" t="n">
        <v>132000</v>
      </c>
      <c r="P762" s="307" t="n">
        <v>0</v>
      </c>
      <c r="Q762" s="302" t="n">
        <v>45719</v>
      </c>
    </row>
    <row r="763" customFormat="false" ht="28.35" hidden="true" customHeight="false" outlineLevel="0" collapsed="false">
      <c r="A763" s="303" t="n">
        <v>2939</v>
      </c>
      <c r="B763" s="22" t="s">
        <v>345</v>
      </c>
      <c r="C763" s="22" t="s">
        <v>346</v>
      </c>
      <c r="D763" s="22"/>
      <c r="E763" s="24" t="n">
        <v>45626</v>
      </c>
      <c r="F763" s="24" t="n">
        <v>45727</v>
      </c>
      <c r="G763" s="70" t="n">
        <v>72</v>
      </c>
      <c r="H763" s="316" t="n">
        <v>72</v>
      </c>
      <c r="I763" s="316" t="n">
        <v>0</v>
      </c>
      <c r="J763" s="49" t="s">
        <v>749</v>
      </c>
      <c r="K763" s="28" t="n">
        <v>20000</v>
      </c>
      <c r="L763" s="28" t="n">
        <v>43200</v>
      </c>
      <c r="M763" s="308" t="n">
        <v>3000</v>
      </c>
      <c r="N763" s="305" t="n">
        <v>6575</v>
      </c>
      <c r="O763" s="305" t="n">
        <v>43200</v>
      </c>
      <c r="P763" s="307" t="n">
        <v>0</v>
      </c>
      <c r="Q763" s="302" t="n">
        <v>45719</v>
      </c>
    </row>
    <row r="764" customFormat="false" ht="19.4" hidden="true" customHeight="false" outlineLevel="0" collapsed="false">
      <c r="A764" s="303" t="n">
        <v>2829</v>
      </c>
      <c r="B764" s="22" t="s">
        <v>374</v>
      </c>
      <c r="C764" s="22"/>
      <c r="D764" s="22"/>
      <c r="E764" s="24" t="n">
        <v>45560</v>
      </c>
      <c r="F764" s="24" t="n">
        <v>45471</v>
      </c>
      <c r="G764" s="70" t="n">
        <v>72</v>
      </c>
      <c r="H764" s="316" t="n">
        <v>72</v>
      </c>
      <c r="I764" s="316" t="n">
        <v>0</v>
      </c>
      <c r="J764" s="350" t="s">
        <v>1217</v>
      </c>
      <c r="K764" s="28" t="n">
        <v>50000</v>
      </c>
      <c r="L764" s="28" t="n">
        <v>108000</v>
      </c>
      <c r="M764" s="308" t="n">
        <v>7500</v>
      </c>
      <c r="N764" s="305" t="n">
        <v>27000</v>
      </c>
      <c r="O764" s="305" t="n">
        <v>108000</v>
      </c>
      <c r="P764" s="307" t="n">
        <v>0</v>
      </c>
      <c r="Q764" s="302" t="n">
        <v>45719</v>
      </c>
    </row>
    <row r="765" customFormat="false" ht="19.4" hidden="true" customHeight="false" outlineLevel="0" collapsed="false">
      <c r="A765" s="303" t="n">
        <v>2888</v>
      </c>
      <c r="B765" s="22" t="s">
        <v>374</v>
      </c>
      <c r="C765" s="22"/>
      <c r="D765" s="22"/>
      <c r="E765" s="24" t="n">
        <v>45594</v>
      </c>
      <c r="F765" s="24" t="n">
        <v>45471</v>
      </c>
      <c r="G765" s="70" t="n">
        <v>72</v>
      </c>
      <c r="H765" s="316" t="n">
        <v>72</v>
      </c>
      <c r="I765" s="316" t="n">
        <v>0</v>
      </c>
      <c r="J765" s="350" t="s">
        <v>1218</v>
      </c>
      <c r="K765" s="28" t="n">
        <v>30000</v>
      </c>
      <c r="L765" s="28" t="n">
        <v>64800</v>
      </c>
      <c r="M765" s="308" t="n">
        <v>4500</v>
      </c>
      <c r="N765" s="305" t="n">
        <v>16200</v>
      </c>
      <c r="O765" s="305" t="n">
        <v>64800</v>
      </c>
      <c r="P765" s="307" t="n">
        <v>0</v>
      </c>
      <c r="Q765" s="302" t="n">
        <v>45719</v>
      </c>
    </row>
    <row r="766" customFormat="false" ht="19.4" hidden="true" customHeight="false" outlineLevel="0" collapsed="false">
      <c r="A766" s="303" t="n">
        <v>2889</v>
      </c>
      <c r="B766" s="22" t="s">
        <v>374</v>
      </c>
      <c r="C766" s="22"/>
      <c r="D766" s="22"/>
      <c r="E766" s="24" t="n">
        <v>45587</v>
      </c>
      <c r="F766" s="24" t="n">
        <v>45699</v>
      </c>
      <c r="G766" s="70" t="n">
        <v>80</v>
      </c>
      <c r="H766" s="316" t="n">
        <v>80</v>
      </c>
      <c r="I766" s="316" t="n">
        <v>0</v>
      </c>
      <c r="J766" s="350" t="s">
        <v>1218</v>
      </c>
      <c r="K766" s="28" t="n">
        <v>30000</v>
      </c>
      <c r="L766" s="28" t="n">
        <v>64800</v>
      </c>
      <c r="M766" s="308" t="n">
        <v>4050</v>
      </c>
      <c r="N766" s="305" t="n">
        <v>16200</v>
      </c>
      <c r="O766" s="305" t="n">
        <v>64800</v>
      </c>
      <c r="P766" s="307" t="n">
        <v>0</v>
      </c>
      <c r="Q766" s="302" t="n">
        <v>45719</v>
      </c>
    </row>
    <row r="767" customFormat="false" ht="37.3" hidden="true" customHeight="false" outlineLevel="0" collapsed="false">
      <c r="A767" s="303" t="n">
        <v>2821</v>
      </c>
      <c r="B767" s="22" t="s">
        <v>483</v>
      </c>
      <c r="C767" s="22" t="s">
        <v>484</v>
      </c>
      <c r="D767" s="22"/>
      <c r="E767" s="24" t="n">
        <v>45558</v>
      </c>
      <c r="F767" s="24" t="n">
        <v>45658</v>
      </c>
      <c r="G767" s="70" t="n">
        <v>72</v>
      </c>
      <c r="H767" s="316" t="n">
        <v>72.2916666666667</v>
      </c>
      <c r="I767" s="316" t="n">
        <v>-0.291666666666671</v>
      </c>
      <c r="J767" s="22" t="s">
        <v>1096</v>
      </c>
      <c r="K767" s="307" t="n">
        <v>80000</v>
      </c>
      <c r="L767" s="307" t="n">
        <v>172800</v>
      </c>
      <c r="M767" s="308" t="n">
        <v>12000</v>
      </c>
      <c r="N767" s="305" t="n">
        <v>24000</v>
      </c>
      <c r="O767" s="305" t="n">
        <v>173500</v>
      </c>
      <c r="P767" s="307" t="n">
        <v>-700</v>
      </c>
      <c r="Q767" s="302" t="n">
        <v>45719</v>
      </c>
    </row>
    <row r="768" customFormat="false" ht="19.4" hidden="true" customHeight="false" outlineLevel="0" collapsed="false">
      <c r="A768" s="303" t="n">
        <v>3049</v>
      </c>
      <c r="B768" s="22" t="s">
        <v>1106</v>
      </c>
      <c r="C768" s="22" t="s">
        <v>489</v>
      </c>
      <c r="D768" s="22"/>
      <c r="E768" s="24" t="n">
        <v>45698</v>
      </c>
      <c r="F768" s="24" t="n">
        <v>45726</v>
      </c>
      <c r="G768" s="70" t="n">
        <v>20</v>
      </c>
      <c r="H768" s="316" t="e">
        <f aca="false">#DIV/0!</f>
        <v>#DIV/0!</v>
      </c>
      <c r="I768" s="316" t="e">
        <f aca="false">#DIV/0!</f>
        <v>#DIV/0!</v>
      </c>
      <c r="J768" s="350" t="s">
        <v>490</v>
      </c>
      <c r="K768" s="28" t="n">
        <v>50000</v>
      </c>
      <c r="L768" s="28" t="n">
        <v>75000</v>
      </c>
      <c r="M768" s="308"/>
      <c r="N768" s="305" t="n">
        <v>75000</v>
      </c>
      <c r="O768" s="305" t="n">
        <v>75000</v>
      </c>
      <c r="P768" s="307" t="n">
        <v>0</v>
      </c>
      <c r="Q768" s="302" t="n">
        <v>45719</v>
      </c>
    </row>
    <row r="769" customFormat="false" ht="28.35" hidden="true" customHeight="false" outlineLevel="0" collapsed="false">
      <c r="A769" s="303" t="n">
        <v>2895</v>
      </c>
      <c r="B769" s="22" t="s">
        <v>1219</v>
      </c>
      <c r="C769" s="22" t="s">
        <v>1220</v>
      </c>
      <c r="D769" s="22"/>
      <c r="E769" s="24" t="n">
        <v>45599</v>
      </c>
      <c r="F769" s="24" t="n">
        <v>45699</v>
      </c>
      <c r="G769" s="70" t="n">
        <v>72</v>
      </c>
      <c r="H769" s="316" t="n">
        <v>72.8</v>
      </c>
      <c r="I769" s="316" t="n">
        <v>-0.799999999999997</v>
      </c>
      <c r="J769" s="22" t="s">
        <v>381</v>
      </c>
      <c r="K769" s="307" t="n">
        <v>50000</v>
      </c>
      <c r="L769" s="307" t="n">
        <v>108000</v>
      </c>
      <c r="M769" s="308" t="n">
        <v>7500</v>
      </c>
      <c r="N769" s="305" t="n">
        <v>18500</v>
      </c>
      <c r="O769" s="305" t="n">
        <v>109200</v>
      </c>
      <c r="P769" s="307" t="n">
        <v>-1200</v>
      </c>
      <c r="Q769" s="302" t="n">
        <v>45719</v>
      </c>
    </row>
    <row r="770" customFormat="false" ht="28.35" hidden="true" customHeight="false" outlineLevel="0" collapsed="false">
      <c r="A770" s="303" t="n">
        <v>2880</v>
      </c>
      <c r="B770" s="22" t="s">
        <v>519</v>
      </c>
      <c r="C770" s="22" t="s">
        <v>520</v>
      </c>
      <c r="D770" s="22"/>
      <c r="E770" s="24" t="n">
        <v>45506</v>
      </c>
      <c r="F770" s="24" t="n">
        <v>45608</v>
      </c>
      <c r="G770" s="70" t="n">
        <v>72</v>
      </c>
      <c r="H770" s="316" t="n">
        <v>72</v>
      </c>
      <c r="I770" s="316" t="n">
        <v>0</v>
      </c>
      <c r="J770" s="22" t="s">
        <v>381</v>
      </c>
      <c r="K770" s="28" t="n">
        <v>50000</v>
      </c>
      <c r="L770" s="28" t="n">
        <v>108000</v>
      </c>
      <c r="M770" s="304" t="n">
        <v>7500</v>
      </c>
      <c r="N770" s="305" t="n">
        <v>9000</v>
      </c>
      <c r="O770" s="305" t="n">
        <v>108000</v>
      </c>
      <c r="P770" s="307" t="n">
        <v>0</v>
      </c>
      <c r="Q770" s="302" t="n">
        <v>45719</v>
      </c>
    </row>
    <row r="771" customFormat="false" ht="55.2" hidden="true" customHeight="false" outlineLevel="0" collapsed="false">
      <c r="A771" s="303" t="n">
        <v>2804</v>
      </c>
      <c r="B771" s="22" t="s">
        <v>218</v>
      </c>
      <c r="C771" s="22" t="s">
        <v>219</v>
      </c>
      <c r="D771" s="22"/>
      <c r="E771" s="24" t="n">
        <v>45548</v>
      </c>
      <c r="F771" s="24" t="n">
        <v>45716</v>
      </c>
      <c r="G771" s="70" t="n">
        <v>120</v>
      </c>
      <c r="H771" s="316" t="n">
        <v>120</v>
      </c>
      <c r="I771" s="316" t="n">
        <v>0</v>
      </c>
      <c r="J771" s="350" t="s">
        <v>1221</v>
      </c>
      <c r="K771" s="28" t="n">
        <v>80000</v>
      </c>
      <c r="L771" s="28" t="n">
        <v>211200</v>
      </c>
      <c r="M771" s="308" t="n">
        <v>8800</v>
      </c>
      <c r="N771" s="305" t="n">
        <v>35200</v>
      </c>
      <c r="O771" s="305" t="n">
        <v>211200</v>
      </c>
      <c r="P771" s="307" t="n">
        <v>0</v>
      </c>
      <c r="Q771" s="302" t="n">
        <v>45726</v>
      </c>
    </row>
    <row r="772" customFormat="false" ht="55.2" hidden="true" customHeight="false" outlineLevel="0" collapsed="false">
      <c r="A772" s="303" t="n">
        <v>2903</v>
      </c>
      <c r="B772" s="22" t="s">
        <v>280</v>
      </c>
      <c r="C772" s="22" t="s">
        <v>281</v>
      </c>
      <c r="D772" s="22" t="n">
        <v>20386454729</v>
      </c>
      <c r="E772" s="24" t="n">
        <v>45607</v>
      </c>
      <c r="F772" s="24" t="n">
        <v>45719</v>
      </c>
      <c r="G772" s="70" t="n">
        <v>80</v>
      </c>
      <c r="H772" s="316" t="n">
        <v>80</v>
      </c>
      <c r="I772" s="316" t="n">
        <v>0</v>
      </c>
      <c r="J772" s="350" t="s">
        <v>511</v>
      </c>
      <c r="K772" s="28" t="n">
        <v>200000</v>
      </c>
      <c r="L772" s="28" t="n">
        <v>432000</v>
      </c>
      <c r="M772" s="308" t="n">
        <v>27000</v>
      </c>
      <c r="N772" s="305" t="n">
        <v>108000</v>
      </c>
      <c r="O772" s="305" t="n">
        <v>432000</v>
      </c>
      <c r="P772" s="307" t="n">
        <v>0</v>
      </c>
      <c r="Q772" s="302" t="n">
        <v>45726</v>
      </c>
    </row>
    <row r="773" customFormat="false" ht="46.25" hidden="true" customHeight="false" outlineLevel="0" collapsed="false">
      <c r="A773" s="303" t="n">
        <v>3091</v>
      </c>
      <c r="B773" s="22" t="s">
        <v>396</v>
      </c>
      <c r="C773" s="22" t="s">
        <v>397</v>
      </c>
      <c r="D773" s="22"/>
      <c r="E773" s="24" t="n">
        <v>45721</v>
      </c>
      <c r="F773" s="24" t="n">
        <v>45728</v>
      </c>
      <c r="G773" s="70" t="n">
        <v>5</v>
      </c>
      <c r="H773" s="316" t="e">
        <f aca="false">#DIV/0!</f>
        <v>#DIV/0!</v>
      </c>
      <c r="I773" s="316" t="e">
        <f aca="false">#DIV/0!</f>
        <v>#DIV/0!</v>
      </c>
      <c r="J773" s="350" t="s">
        <v>538</v>
      </c>
      <c r="K773" s="28" t="n">
        <v>50000</v>
      </c>
      <c r="L773" s="28" t="n">
        <v>70000</v>
      </c>
      <c r="M773" s="308"/>
      <c r="N773" s="305" t="n">
        <v>70000</v>
      </c>
      <c r="O773" s="305" t="n">
        <v>70000</v>
      </c>
      <c r="P773" s="307" t="n">
        <v>0</v>
      </c>
      <c r="Q773" s="302" t="n">
        <v>45726</v>
      </c>
    </row>
    <row r="774" customFormat="false" ht="37.3" hidden="true" customHeight="false" outlineLevel="0" collapsed="false">
      <c r="A774" s="303" t="n">
        <v>2898</v>
      </c>
      <c r="B774" s="22" t="s">
        <v>413</v>
      </c>
      <c r="C774" s="22" t="s">
        <v>414</v>
      </c>
      <c r="D774" s="22" t="n">
        <v>37095915</v>
      </c>
      <c r="E774" s="24" t="n">
        <v>45604</v>
      </c>
      <c r="F774" s="24" t="n">
        <v>45716</v>
      </c>
      <c r="G774" s="70" t="n">
        <v>80</v>
      </c>
      <c r="H774" s="316" t="n">
        <v>80</v>
      </c>
      <c r="I774" s="316" t="n">
        <v>0</v>
      </c>
      <c r="J774" s="350" t="s">
        <v>274</v>
      </c>
      <c r="K774" s="307" t="n">
        <v>300000</v>
      </c>
      <c r="L774" s="307" t="n">
        <v>648000</v>
      </c>
      <c r="M774" s="308" t="n">
        <v>40500</v>
      </c>
      <c r="N774" s="305" t="n">
        <v>160000</v>
      </c>
      <c r="O774" s="305" t="n">
        <v>648000</v>
      </c>
      <c r="P774" s="307" t="n">
        <v>0</v>
      </c>
      <c r="Q774" s="302" t="n">
        <v>45726</v>
      </c>
    </row>
    <row r="775" customFormat="false" ht="19.4" hidden="true" customHeight="false" outlineLevel="0" collapsed="false">
      <c r="A775" s="303" t="n">
        <v>3087</v>
      </c>
      <c r="B775" s="22" t="s">
        <v>429</v>
      </c>
      <c r="C775" s="22"/>
      <c r="D775" s="22"/>
      <c r="E775" s="24" t="n">
        <v>45716</v>
      </c>
      <c r="F775" s="24" t="n">
        <v>45723</v>
      </c>
      <c r="G775" s="70" t="n">
        <v>5</v>
      </c>
      <c r="H775" s="316" t="n">
        <v>5</v>
      </c>
      <c r="I775" s="316" t="n">
        <v>0</v>
      </c>
      <c r="J775" s="350" t="s">
        <v>580</v>
      </c>
      <c r="K775" s="307" t="n">
        <v>30000</v>
      </c>
      <c r="L775" s="307" t="n">
        <v>39000</v>
      </c>
      <c r="M775" s="308" t="n">
        <v>39000</v>
      </c>
      <c r="N775" s="305" t="n">
        <v>39000</v>
      </c>
      <c r="O775" s="305" t="n">
        <v>39000</v>
      </c>
      <c r="P775" s="307" t="n">
        <v>0</v>
      </c>
      <c r="Q775" s="302" t="n">
        <v>45726</v>
      </c>
    </row>
    <row r="776" customFormat="false" ht="64.15" hidden="true" customHeight="false" outlineLevel="0" collapsed="false">
      <c r="A776" s="303" t="n">
        <v>2755</v>
      </c>
      <c r="B776" s="22" t="s">
        <v>1055</v>
      </c>
      <c r="C776" s="22" t="s">
        <v>464</v>
      </c>
      <c r="D776" s="22"/>
      <c r="E776" s="24" t="n">
        <v>45516</v>
      </c>
      <c r="F776" s="24" t="n">
        <v>45684</v>
      </c>
      <c r="G776" s="70" t="n">
        <v>120</v>
      </c>
      <c r="H776" s="316" t="n">
        <v>120</v>
      </c>
      <c r="I776" s="316" t="n">
        <v>0</v>
      </c>
      <c r="J776" s="49" t="s">
        <v>1157</v>
      </c>
      <c r="K776" s="351" t="n">
        <v>150000</v>
      </c>
      <c r="L776" s="28" t="n">
        <v>396000</v>
      </c>
      <c r="M776" s="304" t="n">
        <v>16500</v>
      </c>
      <c r="N776" s="305" t="n">
        <v>33000</v>
      </c>
      <c r="O776" s="305" t="n">
        <v>396000</v>
      </c>
      <c r="P776" s="307" t="n">
        <v>0</v>
      </c>
      <c r="Q776" s="302" t="n">
        <v>45726</v>
      </c>
    </row>
    <row r="777" customFormat="false" ht="36.75" hidden="true" customHeight="false" outlineLevel="0" collapsed="false">
      <c r="A777" s="303" t="n">
        <v>2483</v>
      </c>
      <c r="B777" s="22" t="s">
        <v>1202</v>
      </c>
      <c r="C777" s="22" t="s">
        <v>1203</v>
      </c>
      <c r="D777" s="22"/>
      <c r="E777" s="24" t="n">
        <v>45342</v>
      </c>
      <c r="F777" s="24" t="n">
        <v>45784</v>
      </c>
      <c r="G777" s="70" t="n">
        <v>316</v>
      </c>
      <c r="H777" s="316" t="n">
        <v>316</v>
      </c>
      <c r="I777" s="316" t="n">
        <v>0</v>
      </c>
      <c r="J777" s="350" t="s">
        <v>1222</v>
      </c>
      <c r="K777" s="28" t="n">
        <v>120000</v>
      </c>
      <c r="L777" s="28" t="n">
        <v>240000</v>
      </c>
      <c r="M777" s="308" t="n">
        <v>3797.46835443038</v>
      </c>
      <c r="N777" s="305" t="n">
        <v>30000</v>
      </c>
      <c r="O777" s="305" t="n">
        <v>240000</v>
      </c>
      <c r="P777" s="307" t="n">
        <v>0</v>
      </c>
      <c r="Q777" s="302" t="n">
        <v>45726</v>
      </c>
    </row>
    <row r="778" customFormat="false" ht="14.25" hidden="true" customHeight="false" outlineLevel="0" collapsed="false">
      <c r="A778" s="303" t="n">
        <v>3057</v>
      </c>
      <c r="B778" s="22" t="s">
        <v>861</v>
      </c>
      <c r="C778" s="22"/>
      <c r="D778" s="22"/>
      <c r="E778" s="24" t="n">
        <v>45701</v>
      </c>
      <c r="F778" s="24" t="n">
        <v>45729</v>
      </c>
      <c r="G778" s="70" t="n">
        <v>20</v>
      </c>
      <c r="H778" s="316" t="e">
        <f aca="false">#DIV/0!</f>
        <v>#DIV/0!</v>
      </c>
      <c r="I778" s="316" t="e">
        <f aca="false">#DIV/0!</f>
        <v>#DIV/0!</v>
      </c>
      <c r="J778" s="350" t="s">
        <v>580</v>
      </c>
      <c r="K778" s="28" t="n">
        <v>20000</v>
      </c>
      <c r="L778" s="28" t="n">
        <v>30000</v>
      </c>
      <c r="M778" s="308"/>
      <c r="N778" s="305" t="n">
        <v>30000</v>
      </c>
      <c r="O778" s="305" t="n">
        <v>30000</v>
      </c>
      <c r="P778" s="307" t="n">
        <v>0</v>
      </c>
      <c r="Q778" s="302" t="n">
        <v>45726</v>
      </c>
    </row>
    <row r="779" customFormat="false" ht="14.25" hidden="true" customHeight="false" outlineLevel="0" collapsed="false">
      <c r="A779" s="303" t="n">
        <v>3067</v>
      </c>
      <c r="B779" s="34" t="s">
        <v>861</v>
      </c>
      <c r="C779" s="22"/>
      <c r="D779" s="22"/>
      <c r="E779" s="24" t="n">
        <v>45705</v>
      </c>
      <c r="F779" s="24" t="n">
        <v>45733</v>
      </c>
      <c r="G779" s="70" t="n">
        <v>20</v>
      </c>
      <c r="H779" s="316" t="e">
        <f aca="false">#VALUE!</f>
        <v>#VALUE!</v>
      </c>
      <c r="I779" s="316" t="e">
        <f aca="false">#VALUE!</f>
        <v>#VALUE!</v>
      </c>
      <c r="J779" s="350" t="s">
        <v>538</v>
      </c>
      <c r="K779" s="28" t="n">
        <v>50000</v>
      </c>
      <c r="L779" s="28" t="n">
        <v>80000</v>
      </c>
      <c r="M779" s="304" t="s">
        <v>214</v>
      </c>
      <c r="N779" s="305" t="n">
        <v>80000</v>
      </c>
      <c r="O779" s="305" t="n">
        <v>80000</v>
      </c>
      <c r="P779" s="307" t="n">
        <v>0</v>
      </c>
      <c r="Q779" s="302" t="n">
        <v>45726</v>
      </c>
    </row>
    <row r="780" customFormat="false" ht="19.4" hidden="true" customHeight="false" outlineLevel="0" collapsed="false">
      <c r="A780" s="303" t="n">
        <v>3033</v>
      </c>
      <c r="B780" s="22" t="s">
        <v>984</v>
      </c>
      <c r="C780" s="22"/>
      <c r="D780" s="22"/>
      <c r="E780" s="24" t="n">
        <v>45684</v>
      </c>
      <c r="F780" s="24" t="n">
        <v>45712</v>
      </c>
      <c r="G780" s="70" t="n">
        <v>20</v>
      </c>
      <c r="H780" s="316" t="e">
        <f aca="false">#VALUE!</f>
        <v>#VALUE!</v>
      </c>
      <c r="I780" s="316" t="e">
        <f aca="false">#VALUE!</f>
        <v>#VALUE!</v>
      </c>
      <c r="J780" s="350" t="s">
        <v>580</v>
      </c>
      <c r="K780" s="28" t="n">
        <v>20000</v>
      </c>
      <c r="L780" s="28" t="n">
        <v>32500</v>
      </c>
      <c r="M780" s="308" t="s">
        <v>214</v>
      </c>
      <c r="N780" s="305" t="n">
        <v>7500</v>
      </c>
      <c r="O780" s="305" t="n">
        <v>32500</v>
      </c>
      <c r="P780" s="307" t="n">
        <v>0</v>
      </c>
      <c r="Q780" s="302" t="n">
        <v>45726</v>
      </c>
    </row>
    <row r="781" customFormat="false" ht="19.4" hidden="true" customHeight="false" outlineLevel="0" collapsed="false">
      <c r="A781" s="303" t="n">
        <v>3058</v>
      </c>
      <c r="B781" s="22" t="s">
        <v>984</v>
      </c>
      <c r="C781" s="22"/>
      <c r="D781" s="22"/>
      <c r="E781" s="24" t="n">
        <v>45702</v>
      </c>
      <c r="F781" s="24" t="n">
        <v>45730</v>
      </c>
      <c r="G781" s="70" t="n">
        <v>20</v>
      </c>
      <c r="H781" s="316" t="e">
        <f aca="false">#DIV/0!</f>
        <v>#DIV/0!</v>
      </c>
      <c r="I781" s="316" t="e">
        <f aca="false">#DIV/0!</f>
        <v>#DIV/0!</v>
      </c>
      <c r="J781" s="350" t="s">
        <v>580</v>
      </c>
      <c r="K781" s="307" t="n">
        <v>45000</v>
      </c>
      <c r="L781" s="307" t="n">
        <v>67500</v>
      </c>
      <c r="M781" s="308"/>
      <c r="N781" s="305" t="n">
        <v>67500</v>
      </c>
      <c r="O781" s="305" t="n">
        <v>67500</v>
      </c>
      <c r="P781" s="307" t="n">
        <v>0</v>
      </c>
      <c r="Q781" s="302" t="n">
        <v>45726</v>
      </c>
    </row>
    <row r="782" customFormat="false" ht="19.4" hidden="true" customHeight="false" outlineLevel="0" collapsed="false">
      <c r="A782" s="303" t="n">
        <v>3060</v>
      </c>
      <c r="B782" s="22" t="s">
        <v>984</v>
      </c>
      <c r="C782" s="22"/>
      <c r="D782" s="22"/>
      <c r="E782" s="24" t="n">
        <v>45702</v>
      </c>
      <c r="F782" s="24" t="n">
        <v>45730</v>
      </c>
      <c r="G782" s="70" t="n">
        <v>20</v>
      </c>
      <c r="H782" s="316" t="e">
        <f aca="false">#DIV/0!</f>
        <v>#DIV/0!</v>
      </c>
      <c r="I782" s="316" t="e">
        <f aca="false">#DIV/0!</f>
        <v>#DIV/0!</v>
      </c>
      <c r="J782" s="350" t="s">
        <v>580</v>
      </c>
      <c r="K782" s="28" t="n">
        <v>30000</v>
      </c>
      <c r="L782" s="28" t="n">
        <v>45000</v>
      </c>
      <c r="M782" s="308"/>
      <c r="N782" s="305" t="n">
        <v>45000</v>
      </c>
      <c r="O782" s="305" t="n">
        <v>45000</v>
      </c>
      <c r="P782" s="307" t="n">
        <v>0</v>
      </c>
      <c r="Q782" s="302" t="n">
        <v>45726</v>
      </c>
    </row>
    <row r="783" customFormat="false" ht="19.4" hidden="true" customHeight="false" outlineLevel="0" collapsed="false">
      <c r="A783" s="303" t="n">
        <v>3072</v>
      </c>
      <c r="B783" s="22" t="s">
        <v>984</v>
      </c>
      <c r="C783" s="22"/>
      <c r="D783" s="22"/>
      <c r="E783" s="24" t="n">
        <v>45708</v>
      </c>
      <c r="F783" s="24" t="n">
        <v>45736</v>
      </c>
      <c r="G783" s="70" t="n">
        <v>20</v>
      </c>
      <c r="H783" s="316" t="e">
        <f aca="false">#DIV/0!</f>
        <v>#DIV/0!</v>
      </c>
      <c r="I783" s="316" t="e">
        <f aca="false">#DIV/0!</f>
        <v>#DIV/0!</v>
      </c>
      <c r="J783" s="350" t="s">
        <v>580</v>
      </c>
      <c r="K783" s="28" t="n">
        <v>20000</v>
      </c>
      <c r="L783" s="28" t="n">
        <v>32500</v>
      </c>
      <c r="M783" s="308"/>
      <c r="N783" s="305" t="n">
        <v>32500</v>
      </c>
      <c r="O783" s="305" t="n">
        <v>32500</v>
      </c>
      <c r="P783" s="307" t="n">
        <v>0</v>
      </c>
      <c r="Q783" s="302" t="n">
        <v>45726</v>
      </c>
    </row>
    <row r="784" customFormat="false" ht="37.3" hidden="true" customHeight="false" outlineLevel="0" collapsed="false">
      <c r="A784" s="303" t="n">
        <v>2904</v>
      </c>
      <c r="B784" s="22" t="s">
        <v>543</v>
      </c>
      <c r="C784" s="22" t="s">
        <v>532</v>
      </c>
      <c r="D784" s="22"/>
      <c r="E784" s="24" t="n">
        <v>45607</v>
      </c>
      <c r="F784" s="24" t="n">
        <v>45302</v>
      </c>
      <c r="G784" s="70" t="n">
        <v>80</v>
      </c>
      <c r="H784" s="316" t="n">
        <v>80</v>
      </c>
      <c r="I784" s="316" t="n">
        <v>0</v>
      </c>
      <c r="J784" s="350" t="s">
        <v>1223</v>
      </c>
      <c r="K784" s="28" t="n">
        <v>50000</v>
      </c>
      <c r="L784" s="28" t="n">
        <v>108000</v>
      </c>
      <c r="M784" s="304" t="n">
        <v>6750</v>
      </c>
      <c r="N784" s="305" t="n">
        <v>27000</v>
      </c>
      <c r="O784" s="305" t="n">
        <v>108000</v>
      </c>
      <c r="P784" s="307" t="n">
        <v>0</v>
      </c>
      <c r="Q784" s="302" t="n">
        <v>45726</v>
      </c>
    </row>
    <row r="785" customFormat="false" ht="28.35" hidden="true" customHeight="false" outlineLevel="0" collapsed="false">
      <c r="A785" s="303" t="n">
        <v>3061</v>
      </c>
      <c r="B785" s="22" t="s">
        <v>1179</v>
      </c>
      <c r="C785" s="22" t="s">
        <v>579</v>
      </c>
      <c r="D785" s="22"/>
      <c r="E785" s="24" t="n">
        <v>45703</v>
      </c>
      <c r="F785" s="24" t="n">
        <v>45728</v>
      </c>
      <c r="G785" s="70" t="n">
        <v>18</v>
      </c>
      <c r="H785" s="316" t="e">
        <f aca="false">#DIV/0!</f>
        <v>#DIV/0!</v>
      </c>
      <c r="I785" s="316" t="e">
        <f aca="false">#DIV/0!</f>
        <v>#DIV/0!</v>
      </c>
      <c r="J785" s="350" t="s">
        <v>580</v>
      </c>
      <c r="K785" s="28" t="n">
        <v>250000</v>
      </c>
      <c r="L785" s="28" t="n">
        <v>350000</v>
      </c>
      <c r="M785" s="308"/>
      <c r="N785" s="305" t="n">
        <v>350000</v>
      </c>
      <c r="O785" s="305" t="n">
        <v>350000</v>
      </c>
      <c r="P785" s="307" t="n">
        <v>0</v>
      </c>
      <c r="Q785" s="302" t="n">
        <v>45726</v>
      </c>
    </row>
    <row r="786" customFormat="false" ht="19.4" hidden="true" customHeight="false" outlineLevel="0" collapsed="false">
      <c r="A786" s="303" t="n">
        <v>2961</v>
      </c>
      <c r="B786" s="22" t="s">
        <v>599</v>
      </c>
      <c r="C786" s="22"/>
      <c r="D786" s="22"/>
      <c r="E786" s="24" t="n">
        <v>45645</v>
      </c>
      <c r="F786" s="24" t="n">
        <v>45743</v>
      </c>
      <c r="G786" s="70" t="n">
        <v>70</v>
      </c>
      <c r="H786" s="316" t="n">
        <v>70</v>
      </c>
      <c r="I786" s="316" t="n">
        <v>0</v>
      </c>
      <c r="J786" s="49" t="s">
        <v>1224</v>
      </c>
      <c r="K786" s="28" t="n">
        <v>70000</v>
      </c>
      <c r="L786" s="28" t="n">
        <v>151200</v>
      </c>
      <c r="M786" s="304" t="n">
        <v>10800</v>
      </c>
      <c r="N786" s="305" t="n">
        <v>38550</v>
      </c>
      <c r="O786" s="305" t="n">
        <v>151200</v>
      </c>
      <c r="P786" s="307" t="n">
        <v>0</v>
      </c>
      <c r="Q786" s="302" t="n">
        <v>45726</v>
      </c>
    </row>
    <row r="787" customFormat="false" ht="28.35" hidden="true" customHeight="false" outlineLevel="0" collapsed="false">
      <c r="A787" s="303" t="n">
        <v>3104</v>
      </c>
      <c r="B787" s="22" t="s">
        <v>1225</v>
      </c>
      <c r="C787" s="22"/>
      <c r="D787" s="22"/>
      <c r="E787" s="24" t="n">
        <v>45728</v>
      </c>
      <c r="F787" s="24" t="n">
        <v>45826</v>
      </c>
      <c r="G787" s="70" t="n">
        <v>70</v>
      </c>
      <c r="H787" s="316" t="n">
        <v>70</v>
      </c>
      <c r="I787" s="316" t="n">
        <v>0</v>
      </c>
      <c r="J787" s="49" t="s">
        <v>1149</v>
      </c>
      <c r="K787" s="28" t="n">
        <v>50000</v>
      </c>
      <c r="L787" s="28" t="n">
        <v>65000</v>
      </c>
      <c r="M787" s="304" t="n">
        <v>4642.85714285714</v>
      </c>
      <c r="N787" s="305" t="n">
        <v>65000</v>
      </c>
      <c r="O787" s="305" t="n">
        <v>65000</v>
      </c>
      <c r="P787" s="307" t="n">
        <v>0</v>
      </c>
      <c r="Q787" s="302" t="n">
        <v>45726</v>
      </c>
    </row>
    <row r="788" customFormat="false" ht="28.35" hidden="true" customHeight="false" outlineLevel="0" collapsed="false">
      <c r="A788" s="303" t="n">
        <v>2828</v>
      </c>
      <c r="B788" s="22" t="s">
        <v>628</v>
      </c>
      <c r="C788" s="22" t="s">
        <v>629</v>
      </c>
      <c r="D788" s="22"/>
      <c r="E788" s="24" t="n">
        <v>45560</v>
      </c>
      <c r="F788" s="24" t="n">
        <v>45658</v>
      </c>
      <c r="G788" s="70" t="n">
        <v>70</v>
      </c>
      <c r="H788" s="316" t="n">
        <v>70</v>
      </c>
      <c r="I788" s="316" t="n">
        <v>0</v>
      </c>
      <c r="J788" s="49" t="s">
        <v>1173</v>
      </c>
      <c r="K788" s="28" t="n">
        <v>100000</v>
      </c>
      <c r="L788" s="28" t="n">
        <v>217000</v>
      </c>
      <c r="M788" s="308" t="n">
        <v>15500</v>
      </c>
      <c r="N788" s="305" t="n">
        <v>4000</v>
      </c>
      <c r="O788" s="305" t="n">
        <v>217000</v>
      </c>
      <c r="P788" s="307" t="n">
        <v>0</v>
      </c>
      <c r="Q788" s="302" t="n">
        <v>45726</v>
      </c>
    </row>
    <row r="789" customFormat="false" ht="37.3" hidden="true" customHeight="false" outlineLevel="0" collapsed="false">
      <c r="A789" s="303" t="n">
        <v>2948</v>
      </c>
      <c r="B789" s="22" t="s">
        <v>1226</v>
      </c>
      <c r="C789" s="22" t="s">
        <v>594</v>
      </c>
      <c r="D789" s="22"/>
      <c r="E789" s="24" t="n">
        <v>45633</v>
      </c>
      <c r="F789" s="24" t="n">
        <v>45139</v>
      </c>
      <c r="G789" s="70" t="n">
        <v>80</v>
      </c>
      <c r="H789" s="316" t="n">
        <f aca="false">(EH789* 5)/M789</f>
        <v>0</v>
      </c>
      <c r="I789" s="316" t="n">
        <f aca="false">G789-H789</f>
        <v>80</v>
      </c>
      <c r="J789" s="350" t="s">
        <v>1223</v>
      </c>
      <c r="K789" s="28" t="n">
        <v>50000</v>
      </c>
      <c r="L789" s="28" t="n">
        <v>108000</v>
      </c>
      <c r="M789" s="304" t="n">
        <f aca="false">(L789/G789)*5</f>
        <v>6750</v>
      </c>
      <c r="N789" s="335" t="s">
        <v>1227</v>
      </c>
      <c r="O789" s="359" t="n">
        <v>54000</v>
      </c>
      <c r="P789" s="360" t="n">
        <v>54000</v>
      </c>
      <c r="Q789" s="302" t="n">
        <v>45726</v>
      </c>
    </row>
    <row r="790" customFormat="false" ht="30.55" hidden="true" customHeight="false" outlineLevel="0" collapsed="false">
      <c r="A790" s="361" t="n">
        <v>2940</v>
      </c>
      <c r="B790" s="362" t="s">
        <v>264</v>
      </c>
      <c r="C790" s="362" t="s">
        <v>265</v>
      </c>
      <c r="D790" s="362"/>
      <c r="E790" s="363" t="n">
        <v>45628</v>
      </c>
      <c r="F790" s="363" t="n">
        <v>45728</v>
      </c>
      <c r="G790" s="364" t="n">
        <v>72</v>
      </c>
      <c r="H790" s="365" t="n">
        <v>72</v>
      </c>
      <c r="I790" s="365" t="n">
        <v>0</v>
      </c>
      <c r="J790" s="362" t="s">
        <v>244</v>
      </c>
      <c r="K790" s="55" t="n">
        <v>200000</v>
      </c>
      <c r="L790" s="366" t="n">
        <v>432000</v>
      </c>
      <c r="M790" s="367" t="n">
        <v>30000</v>
      </c>
      <c r="N790" s="368" t="n">
        <v>12000</v>
      </c>
      <c r="O790" s="368" t="n">
        <v>432000</v>
      </c>
      <c r="P790" s="366" t="n">
        <v>0</v>
      </c>
      <c r="Q790" s="302" t="n">
        <v>45733</v>
      </c>
    </row>
    <row r="791" customFormat="false" ht="30.55" hidden="true" customHeight="false" outlineLevel="0" collapsed="false">
      <c r="A791" s="361" t="n">
        <v>2905</v>
      </c>
      <c r="B791" s="362" t="s">
        <v>323</v>
      </c>
      <c r="C791" s="362" t="s">
        <v>324</v>
      </c>
      <c r="D791" s="362" t="n">
        <v>14154231</v>
      </c>
      <c r="E791" s="363" t="n">
        <v>45607</v>
      </c>
      <c r="F791" s="363" t="n">
        <v>45707</v>
      </c>
      <c r="G791" s="364" t="n">
        <v>72</v>
      </c>
      <c r="H791" s="365" t="n">
        <v>72</v>
      </c>
      <c r="I791" s="365" t="n">
        <v>0</v>
      </c>
      <c r="J791" s="369" t="s">
        <v>325</v>
      </c>
      <c r="K791" s="370" t="n">
        <v>300000</v>
      </c>
      <c r="L791" s="370" t="n">
        <v>648000</v>
      </c>
      <c r="M791" s="367" t="n">
        <v>45000</v>
      </c>
      <c r="N791" s="368" t="n">
        <v>162000</v>
      </c>
      <c r="O791" s="368" t="n">
        <v>648000</v>
      </c>
      <c r="P791" s="366" t="n">
        <v>0</v>
      </c>
      <c r="Q791" s="302" t="n">
        <v>45733</v>
      </c>
    </row>
    <row r="792" customFormat="false" ht="30.55" hidden="true" customHeight="false" outlineLevel="0" collapsed="false">
      <c r="A792" s="361" t="n">
        <v>3069</v>
      </c>
      <c r="B792" s="362" t="s">
        <v>333</v>
      </c>
      <c r="C792" s="362" t="s">
        <v>334</v>
      </c>
      <c r="D792" s="362"/>
      <c r="E792" s="363" t="n">
        <v>45707</v>
      </c>
      <c r="F792" s="363" t="n">
        <v>45735</v>
      </c>
      <c r="G792" s="364" t="n">
        <v>20</v>
      </c>
      <c r="H792" s="365" t="n">
        <v>73.3241925655088</v>
      </c>
      <c r="I792" s="365" t="n">
        <v>-53.3241925655088</v>
      </c>
      <c r="J792" s="369" t="s">
        <v>580</v>
      </c>
      <c r="K792" s="370" t="n">
        <v>350000</v>
      </c>
      <c r="L792" s="370" t="n">
        <v>481280</v>
      </c>
      <c r="M792" s="367" t="n">
        <v>32820</v>
      </c>
      <c r="N792" s="368" t="n">
        <v>124200</v>
      </c>
      <c r="O792" s="368" t="n">
        <v>481300</v>
      </c>
      <c r="P792" s="366" t="n">
        <v>-20</v>
      </c>
      <c r="Q792" s="302" t="n">
        <v>45733</v>
      </c>
    </row>
    <row r="793" customFormat="false" ht="30.55" hidden="true" customHeight="false" outlineLevel="0" collapsed="false">
      <c r="A793" s="361" t="n">
        <v>2827</v>
      </c>
      <c r="B793" s="362" t="s">
        <v>336</v>
      </c>
      <c r="C793" s="362" t="s">
        <v>337</v>
      </c>
      <c r="D793" s="362"/>
      <c r="E793" s="363" t="n">
        <v>45560</v>
      </c>
      <c r="F793" s="363" t="n">
        <v>45728</v>
      </c>
      <c r="G793" s="364" t="n">
        <v>120</v>
      </c>
      <c r="H793" s="365" t="n">
        <v>120</v>
      </c>
      <c r="I793" s="365" t="n">
        <v>0</v>
      </c>
      <c r="J793" s="369" t="s">
        <v>1228</v>
      </c>
      <c r="K793" s="370" t="n">
        <v>100000</v>
      </c>
      <c r="L793" s="370" t="n">
        <v>264000</v>
      </c>
      <c r="M793" s="367" t="n">
        <v>11000</v>
      </c>
      <c r="N793" s="368" t="n">
        <v>44000</v>
      </c>
      <c r="O793" s="368" t="n">
        <v>264000</v>
      </c>
      <c r="P793" s="366" t="n">
        <v>0</v>
      </c>
      <c r="Q793" s="302" t="n">
        <v>45733</v>
      </c>
    </row>
    <row r="794" customFormat="false" ht="20.85" hidden="true" customHeight="false" outlineLevel="0" collapsed="false">
      <c r="A794" s="361" t="n">
        <v>3098</v>
      </c>
      <c r="B794" s="362" t="s">
        <v>429</v>
      </c>
      <c r="C794" s="362"/>
      <c r="D794" s="362"/>
      <c r="E794" s="363" t="n">
        <v>45725</v>
      </c>
      <c r="F794" s="363" t="n">
        <v>45730</v>
      </c>
      <c r="G794" s="364" t="n">
        <v>5</v>
      </c>
      <c r="H794" s="365" t="e">
        <f aca="false">#DIV/0!</f>
        <v>#DIV/0!</v>
      </c>
      <c r="I794" s="365" t="e">
        <f aca="false">#DIV/0!</f>
        <v>#DIV/0!</v>
      </c>
      <c r="J794" s="369" t="s">
        <v>580</v>
      </c>
      <c r="K794" s="370" t="n">
        <v>30000</v>
      </c>
      <c r="L794" s="370" t="n">
        <v>39000</v>
      </c>
      <c r="M794" s="371"/>
      <c r="N794" s="368" t="n">
        <v>39000</v>
      </c>
      <c r="O794" s="368" t="n">
        <v>39000</v>
      </c>
      <c r="P794" s="366" t="n">
        <v>0</v>
      </c>
      <c r="Q794" s="302" t="n">
        <v>45733</v>
      </c>
    </row>
    <row r="795" customFormat="false" ht="20.85" hidden="true" customHeight="false" outlineLevel="0" collapsed="false">
      <c r="A795" s="361" t="n">
        <v>3105</v>
      </c>
      <c r="B795" s="362" t="s">
        <v>429</v>
      </c>
      <c r="C795" s="362"/>
      <c r="D795" s="362"/>
      <c r="E795" s="363" t="n">
        <v>45729</v>
      </c>
      <c r="F795" s="363" t="n">
        <v>45736</v>
      </c>
      <c r="G795" s="364" t="n">
        <v>5</v>
      </c>
      <c r="H795" s="365" t="e">
        <f aca="false">#VALUE!</f>
        <v>#VALUE!</v>
      </c>
      <c r="I795" s="365" t="e">
        <f aca="false">#VALUE!</f>
        <v>#VALUE!</v>
      </c>
      <c r="J795" s="369" t="s">
        <v>580</v>
      </c>
      <c r="K795" s="366" t="n">
        <v>100000</v>
      </c>
      <c r="L795" s="366" t="n">
        <v>130000</v>
      </c>
      <c r="M795" s="367" t="s">
        <v>214</v>
      </c>
      <c r="N795" s="368" t="n">
        <v>130000</v>
      </c>
      <c r="O795" s="368" t="n">
        <v>130000</v>
      </c>
      <c r="P795" s="366" t="n">
        <v>0</v>
      </c>
      <c r="Q795" s="302" t="n">
        <v>45733</v>
      </c>
    </row>
    <row r="796" customFormat="false" ht="40.25" hidden="true" customHeight="false" outlineLevel="0" collapsed="false">
      <c r="A796" s="361" t="n">
        <v>2834</v>
      </c>
      <c r="B796" s="362" t="s">
        <v>450</v>
      </c>
      <c r="C796" s="362" t="s">
        <v>451</v>
      </c>
      <c r="D796" s="362"/>
      <c r="E796" s="363" t="n">
        <v>45563</v>
      </c>
      <c r="F796" s="363" t="n">
        <v>45664</v>
      </c>
      <c r="G796" s="364" t="n">
        <v>72</v>
      </c>
      <c r="H796" s="365" t="n">
        <v>72</v>
      </c>
      <c r="I796" s="365" t="n">
        <v>0</v>
      </c>
      <c r="J796" s="362" t="s">
        <v>769</v>
      </c>
      <c r="K796" s="370" t="n">
        <v>10000</v>
      </c>
      <c r="L796" s="370" t="n">
        <v>21600</v>
      </c>
      <c r="M796" s="367" t="n">
        <v>1500</v>
      </c>
      <c r="N796" s="368" t="n">
        <v>600</v>
      </c>
      <c r="O796" s="368" t="n">
        <v>21600</v>
      </c>
      <c r="P796" s="366" t="n">
        <v>0</v>
      </c>
      <c r="Q796" s="302" t="n">
        <v>45733</v>
      </c>
    </row>
    <row r="797" customFormat="false" ht="40.25" hidden="true" customHeight="false" outlineLevel="0" collapsed="false">
      <c r="A797" s="361" t="n">
        <v>2887</v>
      </c>
      <c r="B797" s="362" t="s">
        <v>752</v>
      </c>
      <c r="C797" s="362" t="s">
        <v>753</v>
      </c>
      <c r="D797" s="362"/>
      <c r="E797" s="363" t="n">
        <v>45593</v>
      </c>
      <c r="F797" s="363" t="n">
        <v>45693</v>
      </c>
      <c r="G797" s="364" t="n">
        <v>72</v>
      </c>
      <c r="H797" s="365" t="n">
        <v>72</v>
      </c>
      <c r="I797" s="365" t="n">
        <v>0</v>
      </c>
      <c r="J797" s="362" t="s">
        <v>381</v>
      </c>
      <c r="K797" s="370" t="n">
        <v>50000</v>
      </c>
      <c r="L797" s="370" t="n">
        <v>108000</v>
      </c>
      <c r="M797" s="371" t="n">
        <v>7500</v>
      </c>
      <c r="N797" s="368" t="n">
        <v>10500</v>
      </c>
      <c r="O797" s="368" t="n">
        <v>108000</v>
      </c>
      <c r="P797" s="366" t="n">
        <v>0</v>
      </c>
      <c r="Q797" s="302" t="n">
        <v>45733</v>
      </c>
    </row>
    <row r="798" customFormat="false" ht="49.95" hidden="true" customHeight="false" outlineLevel="0" collapsed="false">
      <c r="A798" s="361" t="n">
        <v>2902</v>
      </c>
      <c r="B798" s="362" t="s">
        <v>503</v>
      </c>
      <c r="C798" s="362" t="s">
        <v>241</v>
      </c>
      <c r="D798" s="362"/>
      <c r="E798" s="363" t="n">
        <v>45607</v>
      </c>
      <c r="F798" s="363" t="n">
        <v>45707</v>
      </c>
      <c r="G798" s="364" t="n">
        <v>72</v>
      </c>
      <c r="H798" s="365" t="n">
        <v>72</v>
      </c>
      <c r="I798" s="365" t="n">
        <v>0</v>
      </c>
      <c r="J798" s="362" t="s">
        <v>792</v>
      </c>
      <c r="K798" s="372" t="n">
        <v>60000</v>
      </c>
      <c r="L798" s="366" t="n">
        <v>129600</v>
      </c>
      <c r="M798" s="367" t="n">
        <v>9000</v>
      </c>
      <c r="N798" s="368" t="n">
        <v>9000</v>
      </c>
      <c r="O798" s="368" t="n">
        <v>129600</v>
      </c>
      <c r="P798" s="366" t="n">
        <v>0</v>
      </c>
      <c r="Q798" s="302" t="n">
        <v>45733</v>
      </c>
    </row>
    <row r="799" customFormat="false" ht="49.95" hidden="true" customHeight="false" outlineLevel="0" collapsed="false">
      <c r="A799" s="361" t="n">
        <v>2784</v>
      </c>
      <c r="B799" s="362" t="s">
        <v>779</v>
      </c>
      <c r="C799" s="362"/>
      <c r="D799" s="362"/>
      <c r="E799" s="363" t="n">
        <v>45534</v>
      </c>
      <c r="F799" s="363" t="n">
        <v>45702</v>
      </c>
      <c r="G799" s="364" t="n">
        <v>120</v>
      </c>
      <c r="H799" s="365" t="n">
        <v>120</v>
      </c>
      <c r="I799" s="365" t="n">
        <v>0</v>
      </c>
      <c r="J799" s="369" t="s">
        <v>418</v>
      </c>
      <c r="K799" s="370" t="n">
        <v>100000</v>
      </c>
      <c r="L799" s="370" t="n">
        <v>264000</v>
      </c>
      <c r="M799" s="367" t="n">
        <v>11000</v>
      </c>
      <c r="N799" s="368" t="n">
        <v>44000</v>
      </c>
      <c r="O799" s="368" t="n">
        <v>264000</v>
      </c>
      <c r="P799" s="366" t="n">
        <v>0</v>
      </c>
      <c r="Q799" s="302" t="n">
        <v>45733</v>
      </c>
    </row>
    <row r="800" customFormat="false" ht="30.55" hidden="true" customHeight="false" outlineLevel="0" collapsed="false">
      <c r="A800" s="361" t="n">
        <v>2911</v>
      </c>
      <c r="B800" s="362" t="s">
        <v>524</v>
      </c>
      <c r="C800" s="362" t="s">
        <v>886</v>
      </c>
      <c r="D800" s="362" t="s">
        <v>526</v>
      </c>
      <c r="E800" s="363" t="n">
        <v>45609</v>
      </c>
      <c r="F800" s="363" t="n">
        <v>45709</v>
      </c>
      <c r="G800" s="364" t="n">
        <v>72</v>
      </c>
      <c r="H800" s="365" t="n">
        <v>72</v>
      </c>
      <c r="I800" s="365" t="n">
        <v>0</v>
      </c>
      <c r="J800" s="362" t="s">
        <v>244</v>
      </c>
      <c r="K800" s="370" t="n">
        <v>200000</v>
      </c>
      <c r="L800" s="370" t="n">
        <v>432000</v>
      </c>
      <c r="M800" s="367" t="n">
        <v>30000</v>
      </c>
      <c r="N800" s="368" t="n">
        <v>12000</v>
      </c>
      <c r="O800" s="368" t="n">
        <v>432000</v>
      </c>
      <c r="P800" s="366" t="n">
        <v>0</v>
      </c>
      <c r="Q800" s="302" t="n">
        <v>45733</v>
      </c>
    </row>
    <row r="801" customFormat="false" ht="69.4" hidden="true" customHeight="false" outlineLevel="0" collapsed="false">
      <c r="A801" s="361" t="n">
        <v>2737</v>
      </c>
      <c r="B801" s="362" t="s">
        <v>584</v>
      </c>
      <c r="C801" s="362" t="s">
        <v>585</v>
      </c>
      <c r="D801" s="362"/>
      <c r="E801" s="363" t="n">
        <v>45504</v>
      </c>
      <c r="F801" s="363" t="n">
        <v>45672</v>
      </c>
      <c r="G801" s="364" t="n">
        <v>120</v>
      </c>
      <c r="H801" s="365" t="n">
        <v>120</v>
      </c>
      <c r="I801" s="365" t="n">
        <v>0</v>
      </c>
      <c r="J801" s="362" t="s">
        <v>1229</v>
      </c>
      <c r="K801" s="370" t="n">
        <v>500000</v>
      </c>
      <c r="L801" s="370" t="n">
        <v>1320000</v>
      </c>
      <c r="M801" s="367" t="n">
        <v>55000</v>
      </c>
      <c r="N801" s="368" t="n">
        <v>75000</v>
      </c>
      <c r="O801" s="368" t="n">
        <v>1320000</v>
      </c>
      <c r="P801" s="366" t="n">
        <v>0</v>
      </c>
      <c r="Q801" s="302" t="n">
        <v>45733</v>
      </c>
    </row>
    <row r="802" customFormat="false" ht="49.95" hidden="true" customHeight="false" outlineLevel="0" collapsed="false">
      <c r="A802" s="361" t="n">
        <v>2812</v>
      </c>
      <c r="B802" s="362" t="s">
        <v>369</v>
      </c>
      <c r="C802" s="362" t="s">
        <v>370</v>
      </c>
      <c r="D802" s="362"/>
      <c r="E802" s="363" t="n">
        <v>45553</v>
      </c>
      <c r="F802" s="363" t="n">
        <v>45742</v>
      </c>
      <c r="G802" s="364" t="n">
        <v>135</v>
      </c>
      <c r="H802" s="369" t="s">
        <v>1230</v>
      </c>
      <c r="I802" s="366" t="n">
        <v>300000</v>
      </c>
      <c r="J802" s="366" t="n">
        <v>810000</v>
      </c>
      <c r="K802" s="367" t="n">
        <v>30000</v>
      </c>
      <c r="L802" s="366" t="n">
        <v>810000</v>
      </c>
      <c r="M802" s="367" t="n">
        <v>30000</v>
      </c>
      <c r="N802" s="368" t="n">
        <v>90000</v>
      </c>
      <c r="O802" s="368" t="n">
        <v>810000</v>
      </c>
      <c r="P802" s="366" t="n">
        <v>0</v>
      </c>
      <c r="Q802" s="302" t="n">
        <v>45740</v>
      </c>
    </row>
    <row r="803" customFormat="false" ht="49.95" hidden="true" customHeight="false" outlineLevel="0" collapsed="false">
      <c r="A803" s="361" t="n">
        <v>2926</v>
      </c>
      <c r="B803" s="362" t="s">
        <v>369</v>
      </c>
      <c r="C803" s="362" t="s">
        <v>370</v>
      </c>
      <c r="D803" s="362"/>
      <c r="E803" s="363" t="n">
        <v>45619</v>
      </c>
      <c r="F803" s="363" t="n">
        <v>45730</v>
      </c>
      <c r="G803" s="364" t="n">
        <v>80</v>
      </c>
      <c r="H803" s="369" t="s">
        <v>259</v>
      </c>
      <c r="I803" s="370" t="n">
        <v>100000</v>
      </c>
      <c r="J803" s="370" t="n">
        <v>216000</v>
      </c>
      <c r="K803" s="367" t="n">
        <v>13500</v>
      </c>
      <c r="L803" s="370" t="n">
        <v>216000</v>
      </c>
      <c r="M803" s="367" t="n">
        <v>13500</v>
      </c>
      <c r="N803" s="368" t="n">
        <v>54000</v>
      </c>
      <c r="O803" s="368" t="n">
        <v>216000</v>
      </c>
      <c r="P803" s="366" t="n">
        <v>0</v>
      </c>
      <c r="Q803" s="302" t="n">
        <v>45740</v>
      </c>
    </row>
    <row r="804" customFormat="false" ht="20.85" hidden="true" customHeight="false" outlineLevel="0" collapsed="false">
      <c r="A804" s="361" t="n">
        <v>3117</v>
      </c>
      <c r="B804" s="362" t="s">
        <v>429</v>
      </c>
      <c r="C804" s="362"/>
      <c r="D804" s="362"/>
      <c r="E804" s="363" t="n">
        <v>45736</v>
      </c>
      <c r="F804" s="363" t="n">
        <v>45743</v>
      </c>
      <c r="G804" s="364" t="n">
        <v>5</v>
      </c>
      <c r="H804" s="369" t="s">
        <v>580</v>
      </c>
      <c r="I804" s="370" t="n">
        <v>100000</v>
      </c>
      <c r="J804" s="370" t="n">
        <v>130000</v>
      </c>
      <c r="K804" s="367"/>
      <c r="L804" s="370" t="n">
        <v>130000</v>
      </c>
      <c r="M804" s="367"/>
      <c r="N804" s="368" t="n">
        <v>130000</v>
      </c>
      <c r="O804" s="368" t="n">
        <v>130000</v>
      </c>
      <c r="P804" s="366" t="n">
        <v>0</v>
      </c>
      <c r="Q804" s="302" t="n">
        <v>45740</v>
      </c>
    </row>
    <row r="805" customFormat="false" ht="49.95" hidden="true" customHeight="false" outlineLevel="0" collapsed="false">
      <c r="A805" s="361" t="n">
        <v>2879</v>
      </c>
      <c r="B805" s="362" t="s">
        <v>833</v>
      </c>
      <c r="C805" s="362" t="s">
        <v>834</v>
      </c>
      <c r="D805" s="362"/>
      <c r="E805" s="363" t="n">
        <v>45588</v>
      </c>
      <c r="F805" s="363" t="n">
        <v>45700</v>
      </c>
      <c r="G805" s="364" t="n">
        <v>80</v>
      </c>
      <c r="H805" s="369" t="s">
        <v>1231</v>
      </c>
      <c r="I805" s="370" t="n">
        <v>50000</v>
      </c>
      <c r="J805" s="370" t="n">
        <v>120000</v>
      </c>
      <c r="K805" s="371" t="n">
        <v>7500</v>
      </c>
      <c r="L805" s="370" t="n">
        <v>120000</v>
      </c>
      <c r="M805" s="371" t="n">
        <v>7500</v>
      </c>
      <c r="N805" s="368" t="n">
        <v>30000</v>
      </c>
      <c r="O805" s="368" t="n">
        <v>137020</v>
      </c>
      <c r="P805" s="366" t="n">
        <v>-17020</v>
      </c>
      <c r="Q805" s="302" t="n">
        <v>45740</v>
      </c>
    </row>
    <row r="806" customFormat="false" ht="49.95" hidden="true" customHeight="false" outlineLevel="0" collapsed="false">
      <c r="A806" s="361" t="n">
        <v>2839</v>
      </c>
      <c r="B806" s="362" t="s">
        <v>485</v>
      </c>
      <c r="C806" s="362" t="s">
        <v>486</v>
      </c>
      <c r="D806" s="362"/>
      <c r="E806" s="363" t="n">
        <v>45566</v>
      </c>
      <c r="F806" s="363" t="n">
        <v>45666</v>
      </c>
      <c r="G806" s="364" t="n">
        <v>72</v>
      </c>
      <c r="H806" s="362" t="s">
        <v>1232</v>
      </c>
      <c r="I806" s="366" t="n">
        <v>80000</v>
      </c>
      <c r="J806" s="366" t="n">
        <v>198000</v>
      </c>
      <c r="K806" s="367" t="n">
        <v>13750</v>
      </c>
      <c r="L806" s="366" t="n">
        <v>198000</v>
      </c>
      <c r="M806" s="367" t="n">
        <v>13750</v>
      </c>
      <c r="N806" s="368" t="n">
        <v>25000</v>
      </c>
      <c r="O806" s="368" t="n">
        <v>203000</v>
      </c>
      <c r="P806" s="366" t="n">
        <v>-5000</v>
      </c>
      <c r="Q806" s="302" t="n">
        <v>45740</v>
      </c>
    </row>
    <row r="807" customFormat="false" ht="40.25" hidden="true" customHeight="false" outlineLevel="0" collapsed="false">
      <c r="A807" s="361" t="n">
        <v>2920</v>
      </c>
      <c r="B807" s="362" t="s">
        <v>519</v>
      </c>
      <c r="C807" s="362" t="s">
        <v>520</v>
      </c>
      <c r="D807" s="362"/>
      <c r="E807" s="363" t="n">
        <v>45616</v>
      </c>
      <c r="F807" s="363" t="n">
        <v>45716</v>
      </c>
      <c r="G807" s="364" t="n">
        <v>72</v>
      </c>
      <c r="H807" s="362" t="s">
        <v>381</v>
      </c>
      <c r="I807" s="366" t="n">
        <v>50000</v>
      </c>
      <c r="J807" s="366" t="n">
        <v>108000</v>
      </c>
      <c r="K807" s="371" t="n">
        <v>7500</v>
      </c>
      <c r="L807" s="366" t="n">
        <v>108000</v>
      </c>
      <c r="M807" s="371" t="n">
        <v>7500</v>
      </c>
      <c r="N807" s="368" t="n">
        <v>10500</v>
      </c>
      <c r="O807" s="368" t="n">
        <v>108000</v>
      </c>
      <c r="P807" s="366" t="n">
        <v>0</v>
      </c>
      <c r="Q807" s="302" t="n">
        <v>45740</v>
      </c>
    </row>
    <row r="808" customFormat="false" ht="40.25" hidden="true" customHeight="false" outlineLevel="0" collapsed="false">
      <c r="A808" s="361" t="n">
        <v>2943</v>
      </c>
      <c r="B808" s="362" t="s">
        <v>519</v>
      </c>
      <c r="C808" s="362" t="s">
        <v>520</v>
      </c>
      <c r="D808" s="362"/>
      <c r="E808" s="363" t="n">
        <v>45630</v>
      </c>
      <c r="F808" s="363" t="n">
        <v>45730</v>
      </c>
      <c r="G808" s="364" t="n">
        <v>72</v>
      </c>
      <c r="H808" s="362" t="s">
        <v>792</v>
      </c>
      <c r="I808" s="370" t="n">
        <v>60000</v>
      </c>
      <c r="J808" s="370" t="n">
        <v>129600</v>
      </c>
      <c r="K808" s="367" t="n">
        <v>9000</v>
      </c>
      <c r="L808" s="370" t="n">
        <v>129600</v>
      </c>
      <c r="M808" s="367" t="n">
        <v>9000</v>
      </c>
      <c r="N808" s="368" t="n">
        <v>23900</v>
      </c>
      <c r="O808" s="368" t="n">
        <v>129600</v>
      </c>
      <c r="P808" s="366" t="n">
        <v>0</v>
      </c>
      <c r="Q808" s="302" t="n">
        <v>45740</v>
      </c>
    </row>
    <row r="809" customFormat="false" ht="26.1" hidden="true" customHeight="false" outlineLevel="0" collapsed="false">
      <c r="A809" s="20" t="n">
        <v>3032</v>
      </c>
      <c r="B809" s="34" t="s">
        <v>1195</v>
      </c>
      <c r="C809" s="34" t="s">
        <v>212</v>
      </c>
      <c r="D809" s="34"/>
      <c r="E809" s="25" t="n">
        <v>45684</v>
      </c>
      <c r="F809" s="25" t="n">
        <v>45705</v>
      </c>
      <c r="G809" s="26" t="n">
        <v>15</v>
      </c>
      <c r="H809" s="42" t="n">
        <v>15</v>
      </c>
      <c r="I809" s="42" t="n">
        <v>0</v>
      </c>
      <c r="J809" s="52" t="s">
        <v>1233</v>
      </c>
      <c r="K809" s="36" t="n">
        <v>130000</v>
      </c>
      <c r="L809" s="36" t="n">
        <v>180000</v>
      </c>
      <c r="M809" s="37" t="n">
        <v>60000</v>
      </c>
      <c r="N809" s="30" t="n">
        <v>30000</v>
      </c>
      <c r="O809" s="30" t="n">
        <v>180000</v>
      </c>
      <c r="P809" s="31" t="n">
        <v>0</v>
      </c>
      <c r="Q809" s="302" t="n">
        <v>45747</v>
      </c>
    </row>
    <row r="810" customFormat="false" ht="42.5" hidden="true" customHeight="false" outlineLevel="0" collapsed="false">
      <c r="A810" s="20" t="n">
        <v>2863</v>
      </c>
      <c r="B810" s="34" t="s">
        <v>385</v>
      </c>
      <c r="C810" s="34" t="s">
        <v>386</v>
      </c>
      <c r="D810" s="34"/>
      <c r="E810" s="25" t="n">
        <v>45582</v>
      </c>
      <c r="F810" s="25" t="n">
        <v>45694</v>
      </c>
      <c r="G810" s="26" t="n">
        <v>80</v>
      </c>
      <c r="H810" s="42" t="n">
        <v>80</v>
      </c>
      <c r="I810" s="42" t="n">
        <v>0</v>
      </c>
      <c r="J810" s="52" t="s">
        <v>1032</v>
      </c>
      <c r="K810" s="36" t="n">
        <v>20000</v>
      </c>
      <c r="L810" s="36" t="n">
        <v>43200</v>
      </c>
      <c r="M810" s="29" t="n">
        <v>2700</v>
      </c>
      <c r="N810" s="30" t="n">
        <v>5600</v>
      </c>
      <c r="O810" s="30" t="n">
        <v>43200</v>
      </c>
      <c r="P810" s="31" t="n">
        <v>0</v>
      </c>
      <c r="Q810" s="302" t="n">
        <v>45747</v>
      </c>
    </row>
    <row r="811" customFormat="false" ht="34.3" hidden="true" customHeight="false" outlineLevel="0" collapsed="false">
      <c r="A811" s="20" t="n">
        <v>2945</v>
      </c>
      <c r="B811" s="34" t="s">
        <v>1234</v>
      </c>
      <c r="C811" s="34" t="s">
        <v>451</v>
      </c>
      <c r="D811" s="34"/>
      <c r="E811" s="25" t="n">
        <v>45630</v>
      </c>
      <c r="F811" s="25" t="n">
        <v>45730</v>
      </c>
      <c r="G811" s="26" t="n">
        <v>72</v>
      </c>
      <c r="H811" s="42" t="n">
        <v>72</v>
      </c>
      <c r="I811" s="42" t="n">
        <v>0</v>
      </c>
      <c r="J811" s="34" t="s">
        <v>749</v>
      </c>
      <c r="K811" s="36" t="n">
        <v>20000</v>
      </c>
      <c r="L811" s="36" t="n">
        <v>43200</v>
      </c>
      <c r="M811" s="37" t="n">
        <v>3000</v>
      </c>
      <c r="N811" s="30" t="n">
        <v>8400</v>
      </c>
      <c r="O811" s="30" t="n">
        <v>43200</v>
      </c>
      <c r="P811" s="31" t="n">
        <v>0</v>
      </c>
      <c r="Q811" s="302" t="n">
        <v>45747</v>
      </c>
    </row>
    <row r="812" customFormat="false" ht="34.3" hidden="true" customHeight="false" outlineLevel="0" collapsed="false">
      <c r="A812" s="20" t="n">
        <v>2697</v>
      </c>
      <c r="B812" s="34" t="s">
        <v>476</v>
      </c>
      <c r="C812" s="34" t="s">
        <v>477</v>
      </c>
      <c r="D812" s="34"/>
      <c r="E812" s="25" t="n">
        <v>45479</v>
      </c>
      <c r="F812" s="25" t="n">
        <v>45688</v>
      </c>
      <c r="G812" s="26" t="n">
        <v>150</v>
      </c>
      <c r="H812" s="42" t="n">
        <v>150</v>
      </c>
      <c r="I812" s="42" t="n">
        <v>0</v>
      </c>
      <c r="J812" s="68" t="s">
        <v>478</v>
      </c>
      <c r="K812" s="31" t="n">
        <v>300000</v>
      </c>
      <c r="L812" s="31" t="n">
        <v>792000</v>
      </c>
      <c r="M812" s="37" t="n">
        <v>26400</v>
      </c>
      <c r="N812" s="30" t="n">
        <v>75800</v>
      </c>
      <c r="O812" s="30" t="n">
        <v>792000</v>
      </c>
      <c r="P812" s="31" t="n">
        <v>0</v>
      </c>
      <c r="Q812" s="302" t="n">
        <v>45747</v>
      </c>
    </row>
    <row r="813" customFormat="false" ht="26.1" hidden="true" customHeight="false" outlineLevel="0" collapsed="false">
      <c r="A813" s="20" t="n">
        <v>2811</v>
      </c>
      <c r="B813" s="34" t="s">
        <v>494</v>
      </c>
      <c r="C813" s="34" t="s">
        <v>495</v>
      </c>
      <c r="D813" s="34"/>
      <c r="E813" s="25" t="n">
        <v>45552</v>
      </c>
      <c r="F813" s="25" t="n">
        <v>45706</v>
      </c>
      <c r="G813" s="26" t="n">
        <v>110</v>
      </c>
      <c r="H813" s="42" t="n">
        <v>111.053571428571</v>
      </c>
      <c r="I813" s="42" t="n">
        <v>-1.05357142857143</v>
      </c>
      <c r="J813" s="68" t="s">
        <v>1235</v>
      </c>
      <c r="K813" s="31" t="n">
        <v>70000</v>
      </c>
      <c r="L813" s="31" t="n">
        <v>184800</v>
      </c>
      <c r="M813" s="29" t="n">
        <v>8400</v>
      </c>
      <c r="N813" s="30" t="n">
        <v>20000</v>
      </c>
      <c r="O813" s="30" t="n">
        <v>186570</v>
      </c>
      <c r="P813" s="31" t="n">
        <v>-1770</v>
      </c>
      <c r="Q813" s="302" t="n">
        <v>45747</v>
      </c>
    </row>
    <row r="814" customFormat="false" ht="34.3" hidden="true" customHeight="false" outlineLevel="0" collapsed="false">
      <c r="A814" s="20" t="n">
        <v>2925</v>
      </c>
      <c r="B814" s="34" t="s">
        <v>503</v>
      </c>
      <c r="C814" s="34" t="s">
        <v>241</v>
      </c>
      <c r="D814" s="34"/>
      <c r="E814" s="25" t="n">
        <v>45619</v>
      </c>
      <c r="F814" s="25" t="n">
        <v>45720</v>
      </c>
      <c r="G814" s="26" t="n">
        <v>72</v>
      </c>
      <c r="H814" s="42" t="n">
        <v>72</v>
      </c>
      <c r="I814" s="42" t="n">
        <v>0</v>
      </c>
      <c r="J814" s="34" t="s">
        <v>381</v>
      </c>
      <c r="K814" s="36" t="n">
        <v>50000</v>
      </c>
      <c r="L814" s="36" t="n">
        <v>108000</v>
      </c>
      <c r="M814" s="29" t="n">
        <v>7500</v>
      </c>
      <c r="N814" s="30" t="n">
        <v>5500</v>
      </c>
      <c r="O814" s="30" t="n">
        <v>108000</v>
      </c>
      <c r="P814" s="31" t="n">
        <v>0</v>
      </c>
      <c r="Q814" s="302" t="n">
        <v>45747</v>
      </c>
    </row>
    <row r="815" customFormat="false" ht="26.1" hidden="true" customHeight="false" outlineLevel="0" collapsed="false">
      <c r="A815" s="20" t="n">
        <v>2958</v>
      </c>
      <c r="B815" s="34" t="s">
        <v>519</v>
      </c>
      <c r="C815" s="34" t="s">
        <v>520</v>
      </c>
      <c r="D815" s="34"/>
      <c r="E815" s="25" t="n">
        <v>45643</v>
      </c>
      <c r="F815" s="25" t="n">
        <v>45743</v>
      </c>
      <c r="G815" s="26" t="n">
        <v>72</v>
      </c>
      <c r="H815" s="42" t="n">
        <v>72</v>
      </c>
      <c r="I815" s="42" t="n">
        <v>0</v>
      </c>
      <c r="J815" s="34" t="s">
        <v>381</v>
      </c>
      <c r="K815" s="36" t="n">
        <v>50000</v>
      </c>
      <c r="L815" s="36" t="n">
        <v>108000</v>
      </c>
      <c r="M815" s="29" t="n">
        <v>7500</v>
      </c>
      <c r="N815" s="30" t="n">
        <v>38500</v>
      </c>
      <c r="O815" s="30" t="n">
        <v>108000</v>
      </c>
      <c r="P815" s="31" t="n">
        <v>0</v>
      </c>
      <c r="Q815" s="302" t="n">
        <v>45747</v>
      </c>
    </row>
    <row r="816" customFormat="false" ht="34.3" hidden="false" customHeight="false" outlineLevel="0" collapsed="false">
      <c r="A816" s="20" t="n">
        <v>2992</v>
      </c>
      <c r="B816" s="34" t="s">
        <v>1236</v>
      </c>
      <c r="C816" s="34" t="s">
        <v>569</v>
      </c>
      <c r="D816" s="34"/>
      <c r="E816" s="25" t="n">
        <v>45665</v>
      </c>
      <c r="F816" s="25" t="n">
        <v>45765</v>
      </c>
      <c r="G816" s="26" t="n">
        <v>72</v>
      </c>
      <c r="H816" s="42" t="n">
        <v>72</v>
      </c>
      <c r="I816" s="42" t="n">
        <v>0</v>
      </c>
      <c r="J816" s="34" t="s">
        <v>266</v>
      </c>
      <c r="K816" s="36" t="n">
        <v>100000</v>
      </c>
      <c r="L816" s="36" t="n">
        <v>216000</v>
      </c>
      <c r="M816" s="37" t="n">
        <v>15000</v>
      </c>
      <c r="N816" s="30" t="n">
        <v>81000</v>
      </c>
      <c r="O816" s="30" t="n">
        <v>216000</v>
      </c>
      <c r="P816" s="31" t="n">
        <v>0</v>
      </c>
      <c r="Q816" s="302" t="n">
        <v>45747</v>
      </c>
    </row>
    <row r="817" customFormat="false" ht="34.3" hidden="true" customHeight="false" outlineLevel="0" collapsed="false">
      <c r="A817" s="20" t="n">
        <v>2914</v>
      </c>
      <c r="B817" s="34" t="s">
        <v>744</v>
      </c>
      <c r="C817" s="34" t="s">
        <v>745</v>
      </c>
      <c r="D817" s="34"/>
      <c r="E817" s="25" t="n">
        <v>45610</v>
      </c>
      <c r="F817" s="25" t="n">
        <v>45712</v>
      </c>
      <c r="G817" s="26" t="n">
        <v>72</v>
      </c>
      <c r="H817" s="42" t="n">
        <v>72</v>
      </c>
      <c r="I817" s="42" t="n">
        <v>0</v>
      </c>
      <c r="J817" s="34" t="s">
        <v>452</v>
      </c>
      <c r="K817" s="31" t="n">
        <v>30000</v>
      </c>
      <c r="L817" s="31" t="n">
        <v>64800</v>
      </c>
      <c r="M817" s="37" t="n">
        <v>4500</v>
      </c>
      <c r="N817" s="30" t="n">
        <v>150</v>
      </c>
      <c r="O817" s="30" t="n">
        <v>64800</v>
      </c>
      <c r="P817" s="31" t="n">
        <v>0</v>
      </c>
      <c r="Q817" s="302" t="n">
        <v>45754</v>
      </c>
    </row>
    <row r="818" customFormat="false" ht="26.1" hidden="true" customHeight="false" outlineLevel="0" collapsed="false">
      <c r="A818" s="20" t="n">
        <v>2672</v>
      </c>
      <c r="B818" s="34" t="s">
        <v>416</v>
      </c>
      <c r="C818" s="34" t="s">
        <v>417</v>
      </c>
      <c r="D818" s="34" t="n">
        <v>13589728</v>
      </c>
      <c r="E818" s="25" t="n">
        <v>45462</v>
      </c>
      <c r="F818" s="25" t="n">
        <v>45742</v>
      </c>
      <c r="G818" s="26" t="n">
        <v>200</v>
      </c>
      <c r="H818" s="42" t="n">
        <v>200</v>
      </c>
      <c r="I818" s="42" t="n">
        <v>0</v>
      </c>
      <c r="J818" s="52" t="s">
        <v>1237</v>
      </c>
      <c r="K818" s="31" t="n">
        <v>300000</v>
      </c>
      <c r="L818" s="31" t="n">
        <v>900000</v>
      </c>
      <c r="M818" s="37" t="n">
        <v>22500</v>
      </c>
      <c r="N818" s="30" t="n">
        <v>90000</v>
      </c>
      <c r="O818" s="30" t="n">
        <v>900000</v>
      </c>
      <c r="P818" s="31" t="n">
        <v>0</v>
      </c>
      <c r="Q818" s="302" t="n">
        <v>45754</v>
      </c>
    </row>
    <row r="819" customFormat="false" ht="14.25" hidden="true" customHeight="false" outlineLevel="0" collapsed="false">
      <c r="A819" s="20" t="n">
        <v>3106</v>
      </c>
      <c r="B819" s="34" t="s">
        <v>861</v>
      </c>
      <c r="C819" s="34"/>
      <c r="D819" s="34"/>
      <c r="E819" s="25" t="n">
        <v>45730</v>
      </c>
      <c r="F819" s="25" t="n">
        <v>45758</v>
      </c>
      <c r="G819" s="26" t="n">
        <v>20</v>
      </c>
      <c r="H819" s="42" t="e">
        <f aca="false">#VALUE!</f>
        <v>#VALUE!</v>
      </c>
      <c r="I819" s="42" t="e">
        <f aca="false">#VALUE!</f>
        <v>#VALUE!</v>
      </c>
      <c r="J819" s="52" t="s">
        <v>538</v>
      </c>
      <c r="K819" s="36" t="n">
        <v>30000</v>
      </c>
      <c r="L819" s="36" t="n">
        <v>48000</v>
      </c>
      <c r="M819" s="37" t="s">
        <v>214</v>
      </c>
      <c r="N819" s="30" t="n">
        <v>48000</v>
      </c>
      <c r="O819" s="30" t="n">
        <v>48000</v>
      </c>
      <c r="P819" s="31" t="n">
        <v>0</v>
      </c>
      <c r="Q819" s="302" t="n">
        <v>45754</v>
      </c>
    </row>
    <row r="820" customFormat="false" ht="14.25" hidden="true" customHeight="false" outlineLevel="0" collapsed="false">
      <c r="A820" s="20" t="n">
        <v>3129</v>
      </c>
      <c r="B820" s="34" t="s">
        <v>861</v>
      </c>
      <c r="C820" s="34"/>
      <c r="D820" s="34"/>
      <c r="E820" s="25" t="n">
        <v>45744</v>
      </c>
      <c r="F820" s="25" t="n">
        <v>45758</v>
      </c>
      <c r="G820" s="26" t="n">
        <v>10</v>
      </c>
      <c r="H820" s="42" t="e">
        <f aca="false">#DIV/0!</f>
        <v>#DIV/0!</v>
      </c>
      <c r="I820" s="42" t="e">
        <f aca="false">#DIV/0!</f>
        <v>#DIV/0!</v>
      </c>
      <c r="J820" s="52" t="s">
        <v>538</v>
      </c>
      <c r="K820" s="36" t="n">
        <v>20000</v>
      </c>
      <c r="L820" s="36" t="n">
        <v>32500</v>
      </c>
      <c r="M820" s="37"/>
      <c r="N820" s="30" t="n">
        <v>32500</v>
      </c>
      <c r="O820" s="30" t="n">
        <v>32500</v>
      </c>
      <c r="P820" s="31" t="n">
        <v>0</v>
      </c>
      <c r="Q820" s="302" t="n">
        <v>45754</v>
      </c>
    </row>
    <row r="821" customFormat="false" ht="34.3" hidden="true" customHeight="false" outlineLevel="0" collapsed="false">
      <c r="A821" s="20" t="n">
        <v>2778</v>
      </c>
      <c r="B821" s="34" t="s">
        <v>507</v>
      </c>
      <c r="C821" s="34" t="s">
        <v>508</v>
      </c>
      <c r="D821" s="34"/>
      <c r="E821" s="25" t="n">
        <v>45528</v>
      </c>
      <c r="F821" s="25" t="n">
        <v>45723</v>
      </c>
      <c r="G821" s="26" t="n">
        <v>140</v>
      </c>
      <c r="H821" s="42" t="n">
        <v>140</v>
      </c>
      <c r="I821" s="42" t="n">
        <v>0</v>
      </c>
      <c r="J821" s="52" t="s">
        <v>1238</v>
      </c>
      <c r="K821" s="36" t="n">
        <v>150000</v>
      </c>
      <c r="L821" s="36" t="n">
        <v>396004</v>
      </c>
      <c r="M821" s="37" t="n">
        <v>14143</v>
      </c>
      <c r="N821" s="30" t="n">
        <v>56572</v>
      </c>
      <c r="O821" s="30" t="n">
        <v>396004</v>
      </c>
      <c r="P821" s="31" t="n">
        <v>0</v>
      </c>
      <c r="Q821" s="302" t="n">
        <v>45754</v>
      </c>
    </row>
    <row r="822" customFormat="false" ht="34.3" hidden="true" customHeight="false" outlineLevel="0" collapsed="false">
      <c r="A822" s="20" t="n">
        <v>2833</v>
      </c>
      <c r="B822" s="34" t="s">
        <v>779</v>
      </c>
      <c r="C822" s="34"/>
      <c r="D822" s="34"/>
      <c r="E822" s="25" t="n">
        <v>45563</v>
      </c>
      <c r="F822" s="25" t="n">
        <v>45730</v>
      </c>
      <c r="G822" s="26" t="n">
        <v>120</v>
      </c>
      <c r="H822" s="42" t="n">
        <v>120</v>
      </c>
      <c r="I822" s="42" t="n">
        <v>0</v>
      </c>
      <c r="J822" s="52" t="s">
        <v>418</v>
      </c>
      <c r="K822" s="36" t="n">
        <v>100000</v>
      </c>
      <c r="L822" s="36" t="n">
        <v>264000</v>
      </c>
      <c r="M822" s="37" t="n">
        <v>11000</v>
      </c>
      <c r="N822" s="30" t="n">
        <v>44000</v>
      </c>
      <c r="O822" s="30" t="n">
        <v>264000</v>
      </c>
      <c r="P822" s="31" t="n">
        <v>0</v>
      </c>
      <c r="Q822" s="302" t="n">
        <v>45754</v>
      </c>
    </row>
    <row r="823" customFormat="false" ht="34.3" hidden="true" customHeight="false" outlineLevel="0" collapsed="false">
      <c r="A823" s="20" t="n">
        <v>2869</v>
      </c>
      <c r="B823" s="34" t="s">
        <v>779</v>
      </c>
      <c r="C823" s="34"/>
      <c r="D823" s="34"/>
      <c r="E823" s="25" t="n">
        <v>45584</v>
      </c>
      <c r="F823" s="25" t="n">
        <v>45751</v>
      </c>
      <c r="G823" s="26" t="n">
        <v>120</v>
      </c>
      <c r="H823" s="42" t="n">
        <v>120</v>
      </c>
      <c r="I823" s="42" t="n">
        <v>0</v>
      </c>
      <c r="J823" s="52" t="s">
        <v>1184</v>
      </c>
      <c r="K823" s="36" t="n">
        <v>70000</v>
      </c>
      <c r="L823" s="36" t="n">
        <v>184800</v>
      </c>
      <c r="M823" s="37" t="n">
        <v>7700</v>
      </c>
      <c r="N823" s="30" t="n">
        <v>30800</v>
      </c>
      <c r="O823" s="30" t="n">
        <v>184800</v>
      </c>
      <c r="P823" s="31" t="n">
        <v>0</v>
      </c>
      <c r="Q823" s="302" t="n">
        <v>45754</v>
      </c>
    </row>
    <row r="824" customFormat="false" ht="17.9" hidden="true" customHeight="false" outlineLevel="0" collapsed="false">
      <c r="A824" s="20" t="n">
        <v>2838</v>
      </c>
      <c r="B824" s="34" t="s">
        <v>510</v>
      </c>
      <c r="C824" s="34"/>
      <c r="D824" s="34"/>
      <c r="E824" s="25" t="n">
        <v>45565</v>
      </c>
      <c r="F824" s="25" t="n">
        <v>45733</v>
      </c>
      <c r="G824" s="26" t="n">
        <v>120</v>
      </c>
      <c r="H824" s="42" t="n">
        <v>124.545454545455</v>
      </c>
      <c r="I824" s="42" t="n">
        <v>-4.54545454545455</v>
      </c>
      <c r="J824" s="52" t="s">
        <v>953</v>
      </c>
      <c r="K824" s="36" t="n">
        <v>50000</v>
      </c>
      <c r="L824" s="36" t="n">
        <v>132000</v>
      </c>
      <c r="M824" s="37" t="n">
        <v>5500</v>
      </c>
      <c r="N824" s="30" t="n">
        <v>27000</v>
      </c>
      <c r="O824" s="30" t="n">
        <v>137000</v>
      </c>
      <c r="P824" s="31" t="n">
        <v>-5000</v>
      </c>
      <c r="Q824" s="302" t="n">
        <v>45754</v>
      </c>
    </row>
    <row r="825" customFormat="false" ht="17.9" hidden="true" customHeight="false" outlineLevel="0" collapsed="false">
      <c r="A825" s="20" t="n">
        <v>3118</v>
      </c>
      <c r="B825" s="34" t="s">
        <v>984</v>
      </c>
      <c r="C825" s="34"/>
      <c r="D825" s="34"/>
      <c r="E825" s="25" t="n">
        <v>45736</v>
      </c>
      <c r="F825" s="25" t="n">
        <v>45757</v>
      </c>
      <c r="G825" s="26" t="n">
        <v>15</v>
      </c>
      <c r="H825" s="42" t="e">
        <f aca="false">#DIV/0!</f>
        <v>#DIV/0!</v>
      </c>
      <c r="I825" s="42" t="e">
        <f aca="false">#DIV/0!</f>
        <v>#DIV/0!</v>
      </c>
      <c r="J825" s="52" t="s">
        <v>580</v>
      </c>
      <c r="K825" s="36" t="n">
        <v>50000</v>
      </c>
      <c r="L825" s="36" t="n">
        <v>75000</v>
      </c>
      <c r="M825" s="37"/>
      <c r="N825" s="30" t="n">
        <v>75000</v>
      </c>
      <c r="O825" s="30" t="n">
        <v>75000</v>
      </c>
      <c r="P825" s="31" t="n">
        <v>0</v>
      </c>
      <c r="Q825" s="302" t="n">
        <v>45754</v>
      </c>
    </row>
    <row r="826" customFormat="false" ht="17.9" hidden="true" customHeight="false" outlineLevel="0" collapsed="false">
      <c r="A826" s="20" t="n">
        <v>3122</v>
      </c>
      <c r="B826" s="34" t="s">
        <v>984</v>
      </c>
      <c r="C826" s="34"/>
      <c r="D826" s="34"/>
      <c r="E826" s="25" t="n">
        <v>45738</v>
      </c>
      <c r="F826" s="25" t="n">
        <v>45758</v>
      </c>
      <c r="G826" s="26" t="n">
        <v>15</v>
      </c>
      <c r="H826" s="42" t="e">
        <f aca="false">#DIV/0!</f>
        <v>#DIV/0!</v>
      </c>
      <c r="I826" s="42" t="e">
        <f aca="false">#DIV/0!</f>
        <v>#DIV/0!</v>
      </c>
      <c r="J826" s="52" t="s">
        <v>580</v>
      </c>
      <c r="K826" s="36" t="n">
        <v>50000</v>
      </c>
      <c r="L826" s="36" t="n">
        <v>75000</v>
      </c>
      <c r="M826" s="29"/>
      <c r="N826" s="30" t="n">
        <v>75000</v>
      </c>
      <c r="O826" s="30" t="n">
        <v>75000</v>
      </c>
      <c r="P826" s="31" t="n">
        <v>0</v>
      </c>
      <c r="Q826" s="302" t="n">
        <v>45754</v>
      </c>
    </row>
    <row r="827" customFormat="false" ht="58.95" hidden="true" customHeight="false" outlineLevel="0" collapsed="false">
      <c r="A827" s="20" t="n">
        <v>2952</v>
      </c>
      <c r="B827" s="34" t="s">
        <v>272</v>
      </c>
      <c r="C827" s="34" t="s">
        <v>917</v>
      </c>
      <c r="D827" s="34"/>
      <c r="E827" s="25" t="n">
        <v>45639</v>
      </c>
      <c r="F827" s="25" t="n">
        <v>45624</v>
      </c>
      <c r="G827" s="26" t="n">
        <v>110</v>
      </c>
      <c r="H827" s="42" t="n">
        <v>110</v>
      </c>
      <c r="I827" s="42" t="n">
        <v>0</v>
      </c>
      <c r="J827" s="31" t="s">
        <v>221</v>
      </c>
      <c r="K827" s="29" t="n">
        <v>200000</v>
      </c>
      <c r="L827" s="36" t="n">
        <v>528000</v>
      </c>
      <c r="M827" s="37" t="n">
        <v>24000</v>
      </c>
      <c r="N827" s="30" t="n">
        <v>164000</v>
      </c>
      <c r="O827" s="30" t="n">
        <v>528000</v>
      </c>
      <c r="P827" s="31" t="n">
        <v>0</v>
      </c>
      <c r="Q827" s="302" t="n">
        <v>45761</v>
      </c>
    </row>
    <row r="828" customFormat="false" ht="42.5" hidden="true" customHeight="false" outlineLevel="0" collapsed="false">
      <c r="A828" s="20" t="n">
        <v>2711</v>
      </c>
      <c r="B828" s="34" t="s">
        <v>326</v>
      </c>
      <c r="C828" s="34" t="s">
        <v>327</v>
      </c>
      <c r="D828" s="34" t="s">
        <v>328</v>
      </c>
      <c r="E828" s="25" t="n">
        <v>45488</v>
      </c>
      <c r="F828" s="25" t="n">
        <v>45684</v>
      </c>
      <c r="G828" s="26" t="n">
        <v>140</v>
      </c>
      <c r="H828" s="42" t="n">
        <v>140</v>
      </c>
      <c r="I828" s="42" t="n">
        <v>0</v>
      </c>
      <c r="J828" s="52" t="s">
        <v>1239</v>
      </c>
      <c r="K828" s="57" t="n">
        <v>150000</v>
      </c>
      <c r="L828" s="36" t="n">
        <v>396200</v>
      </c>
      <c r="M828" s="37" t="n">
        <v>14150</v>
      </c>
      <c r="N828" s="30" t="n">
        <v>19800</v>
      </c>
      <c r="O828" s="30" t="n">
        <v>396200</v>
      </c>
      <c r="P828" s="31" t="n">
        <v>0</v>
      </c>
      <c r="Q828" s="302" t="n">
        <v>45761</v>
      </c>
    </row>
    <row r="829" customFormat="false" ht="37.3" hidden="true" customHeight="false" outlineLevel="0" collapsed="false">
      <c r="A829" s="20" t="n">
        <v>3148</v>
      </c>
      <c r="B829" s="22" t="s">
        <v>747</v>
      </c>
      <c r="C829" s="22" t="s">
        <v>748</v>
      </c>
      <c r="D829" s="22"/>
      <c r="E829" s="25" t="n">
        <v>45758</v>
      </c>
      <c r="F829" s="25" t="n">
        <v>45765</v>
      </c>
      <c r="G829" s="26" t="n">
        <v>5</v>
      </c>
      <c r="H829" s="42" t="e">
        <f aca="false">#DIV/0!</f>
        <v>#DIV/0!</v>
      </c>
      <c r="I829" s="42" t="e">
        <f aca="false">#DIV/0!</f>
        <v>#DIV/0!</v>
      </c>
      <c r="J829" s="34" t="s">
        <v>749</v>
      </c>
      <c r="K829" s="28" t="n">
        <v>200000</v>
      </c>
      <c r="L829" s="28" t="n">
        <v>260000</v>
      </c>
      <c r="M829" s="29"/>
      <c r="N829" s="30" t="n">
        <v>260000</v>
      </c>
      <c r="O829" s="30" t="n">
        <v>260000</v>
      </c>
      <c r="P829" s="31" t="n">
        <v>0</v>
      </c>
      <c r="Q829" s="302" t="n">
        <v>45761</v>
      </c>
    </row>
    <row r="830" customFormat="false" ht="34.3" hidden="true" customHeight="false" outlineLevel="0" collapsed="false">
      <c r="A830" s="20" t="n">
        <v>2569</v>
      </c>
      <c r="B830" s="34" t="s">
        <v>522</v>
      </c>
      <c r="C830" s="34" t="s">
        <v>523</v>
      </c>
      <c r="D830" s="34"/>
      <c r="E830" s="25" t="n">
        <v>45393</v>
      </c>
      <c r="F830" s="25" t="n">
        <v>45547</v>
      </c>
      <c r="G830" s="26" t="n">
        <v>110</v>
      </c>
      <c r="H830" s="42" t="n">
        <v>116.875</v>
      </c>
      <c r="I830" s="42" t="n">
        <v>-6.875</v>
      </c>
      <c r="J830" s="34" t="s">
        <v>1240</v>
      </c>
      <c r="K830" s="36" t="n">
        <v>160000</v>
      </c>
      <c r="L830" s="36" t="n">
        <v>422400</v>
      </c>
      <c r="M830" s="37" t="n">
        <v>19200</v>
      </c>
      <c r="N830" s="30" t="n">
        <v>39800</v>
      </c>
      <c r="O830" s="30" t="n">
        <v>448800</v>
      </c>
      <c r="P830" s="31" t="n">
        <v>-26400</v>
      </c>
      <c r="Q830" s="302" t="n">
        <v>45761</v>
      </c>
    </row>
    <row r="831" customFormat="false" ht="34.3" hidden="true" customHeight="false" outlineLevel="0" collapsed="false">
      <c r="A831" s="20" t="n">
        <v>2916</v>
      </c>
      <c r="B831" s="34" t="s">
        <v>619</v>
      </c>
      <c r="C831" s="34" t="s">
        <v>620</v>
      </c>
      <c r="D831" s="34"/>
      <c r="E831" s="25" t="n">
        <v>45611</v>
      </c>
      <c r="F831" s="25" t="n">
        <v>45713</v>
      </c>
      <c r="G831" s="26" t="n">
        <v>72</v>
      </c>
      <c r="H831" s="42" t="n">
        <v>72</v>
      </c>
      <c r="I831" s="42" t="n">
        <v>0</v>
      </c>
      <c r="J831" s="34" t="s">
        <v>996</v>
      </c>
      <c r="K831" s="36" t="n">
        <v>70000</v>
      </c>
      <c r="L831" s="36" t="n">
        <v>151200</v>
      </c>
      <c r="M831" s="29" t="n">
        <v>10500</v>
      </c>
      <c r="N831" s="30" t="n">
        <v>4200</v>
      </c>
      <c r="O831" s="30" t="n">
        <v>151200</v>
      </c>
      <c r="P831" s="36" t="n">
        <v>0</v>
      </c>
      <c r="Q831" s="302" t="n">
        <v>45761</v>
      </c>
    </row>
    <row r="832" customFormat="false" ht="26.1" hidden="true" customHeight="false" outlineLevel="0" collapsed="false">
      <c r="A832" s="20" t="n">
        <v>2910</v>
      </c>
      <c r="B832" s="34" t="s">
        <v>249</v>
      </c>
      <c r="C832" s="34" t="s">
        <v>250</v>
      </c>
      <c r="D832" s="34" t="n">
        <v>27252034574</v>
      </c>
      <c r="E832" s="25" t="n">
        <v>45609</v>
      </c>
      <c r="F832" s="25" t="n">
        <v>45763</v>
      </c>
      <c r="G832" s="26" t="n">
        <v>110</v>
      </c>
      <c r="H832" s="42" t="n">
        <v>110</v>
      </c>
      <c r="I832" s="42" t="n">
        <v>0</v>
      </c>
      <c r="J832" s="68" t="s">
        <v>348</v>
      </c>
      <c r="K832" s="36" t="n">
        <v>200000</v>
      </c>
      <c r="L832" s="36" t="n">
        <v>528000</v>
      </c>
      <c r="M832" s="37" t="n">
        <v>24000</v>
      </c>
      <c r="N832" s="30" t="n">
        <v>48000</v>
      </c>
      <c r="O832" s="30" t="n">
        <v>528000</v>
      </c>
      <c r="P832" s="31" t="n">
        <v>0</v>
      </c>
      <c r="Q832" s="302" t="n">
        <v>45768</v>
      </c>
    </row>
    <row r="833" customFormat="false" ht="34.3" hidden="true" customHeight="false" outlineLevel="0" collapsed="false">
      <c r="A833" s="20" t="n">
        <v>3076</v>
      </c>
      <c r="B833" s="34" t="s">
        <v>319</v>
      </c>
      <c r="C833" s="34" t="s">
        <v>320</v>
      </c>
      <c r="D833" s="34"/>
      <c r="E833" s="25" t="n">
        <v>45710</v>
      </c>
      <c r="F833" s="25" t="n">
        <v>45821</v>
      </c>
      <c r="G833" s="26" t="n">
        <v>80</v>
      </c>
      <c r="H833" s="42" t="n">
        <v>80</v>
      </c>
      <c r="I833" s="42" t="n">
        <v>0</v>
      </c>
      <c r="J833" s="52" t="s">
        <v>341</v>
      </c>
      <c r="K833" s="31" t="n">
        <v>100000</v>
      </c>
      <c r="L833" s="31" t="n">
        <v>216000</v>
      </c>
      <c r="M833" s="37" t="n">
        <v>13500</v>
      </c>
      <c r="N833" s="30" t="n">
        <v>108000</v>
      </c>
      <c r="O833" s="30" t="n">
        <v>216000</v>
      </c>
      <c r="P833" s="31" t="n">
        <v>0</v>
      </c>
      <c r="Q833" s="302" t="n">
        <v>45768</v>
      </c>
    </row>
    <row r="834" customFormat="false" ht="26.1" hidden="true" customHeight="false" outlineLevel="0" collapsed="false">
      <c r="A834" s="20" t="n">
        <v>2822</v>
      </c>
      <c r="B834" s="34" t="s">
        <v>345</v>
      </c>
      <c r="C834" s="34" t="s">
        <v>346</v>
      </c>
      <c r="D834" s="34" t="n">
        <v>27212523</v>
      </c>
      <c r="E834" s="25" t="n">
        <v>45558</v>
      </c>
      <c r="F834" s="25" t="n">
        <v>45782</v>
      </c>
      <c r="G834" s="26" t="n">
        <v>160</v>
      </c>
      <c r="H834" s="42" t="n">
        <v>164.568888888889</v>
      </c>
      <c r="I834" s="42" t="n">
        <v>-4.56888888888889</v>
      </c>
      <c r="J834" s="68" t="s">
        <v>1241</v>
      </c>
      <c r="K834" s="31" t="n">
        <v>150000</v>
      </c>
      <c r="L834" s="31" t="n">
        <v>450000</v>
      </c>
      <c r="M834" s="37" t="n">
        <v>14062.5</v>
      </c>
      <c r="N834" s="30" t="n">
        <v>28600</v>
      </c>
      <c r="O834" s="30" t="n">
        <v>462850</v>
      </c>
      <c r="P834" s="31" t="n">
        <v>-12850</v>
      </c>
      <c r="Q834" s="302" t="n">
        <v>45768</v>
      </c>
    </row>
    <row r="835" customFormat="false" ht="42" hidden="true" customHeight="false" outlineLevel="0" collapsed="false">
      <c r="A835" s="20" t="n">
        <v>2988</v>
      </c>
      <c r="B835" s="34" t="s">
        <v>1242</v>
      </c>
      <c r="C835" s="34" t="s">
        <v>370</v>
      </c>
      <c r="D835" s="34"/>
      <c r="E835" s="25" t="n">
        <v>45661</v>
      </c>
      <c r="F835" s="25" t="n">
        <v>45762</v>
      </c>
      <c r="G835" s="26" t="n">
        <v>72</v>
      </c>
      <c r="H835" s="42" t="n">
        <v>72</v>
      </c>
      <c r="I835" s="42" t="n">
        <v>0</v>
      </c>
      <c r="J835" s="34" t="s">
        <v>266</v>
      </c>
      <c r="K835" s="36" t="n">
        <v>100000</v>
      </c>
      <c r="L835" s="36" t="n">
        <v>216000</v>
      </c>
      <c r="M835" s="37" t="n">
        <v>15000</v>
      </c>
      <c r="N835" s="30" t="n">
        <v>6000</v>
      </c>
      <c r="O835" s="30" t="n">
        <v>216000</v>
      </c>
      <c r="P835" s="31" t="n">
        <v>0</v>
      </c>
      <c r="Q835" s="302" t="n">
        <v>45768</v>
      </c>
    </row>
    <row r="836" customFormat="false" ht="26.1" hidden="true" customHeight="false" outlineLevel="0" collapsed="false">
      <c r="A836" s="20" t="n">
        <v>3013</v>
      </c>
      <c r="B836" s="34" t="s">
        <v>519</v>
      </c>
      <c r="C836" s="34" t="s">
        <v>520</v>
      </c>
      <c r="D836" s="34"/>
      <c r="E836" s="25" t="n">
        <v>45677</v>
      </c>
      <c r="F836" s="25" t="n">
        <v>45777</v>
      </c>
      <c r="G836" s="26" t="n">
        <v>72</v>
      </c>
      <c r="H836" s="42" t="n">
        <v>72</v>
      </c>
      <c r="I836" s="42" t="n">
        <v>0</v>
      </c>
      <c r="J836" s="34" t="s">
        <v>381</v>
      </c>
      <c r="K836" s="36" t="n">
        <v>50000</v>
      </c>
      <c r="L836" s="36" t="n">
        <v>108000</v>
      </c>
      <c r="M836" s="37" t="n">
        <v>7500</v>
      </c>
      <c r="N836" s="30" t="n">
        <v>25000</v>
      </c>
      <c r="O836" s="30" t="n">
        <v>108000</v>
      </c>
      <c r="P836" s="31" t="n">
        <v>0</v>
      </c>
      <c r="Q836" s="302" t="n">
        <v>45768</v>
      </c>
    </row>
    <row r="837" customFormat="false" ht="26.1" hidden="true" customHeight="false" outlineLevel="0" collapsed="false">
      <c r="A837" s="20" t="n">
        <v>2525</v>
      </c>
      <c r="B837" s="34" t="s">
        <v>596</v>
      </c>
      <c r="C837" s="34" t="s">
        <v>597</v>
      </c>
      <c r="D837" s="34" t="n">
        <v>13141036</v>
      </c>
      <c r="E837" s="323" t="n">
        <v>45369</v>
      </c>
      <c r="F837" s="25" t="n">
        <v>45523</v>
      </c>
      <c r="G837" s="26" t="n">
        <v>110</v>
      </c>
      <c r="H837" s="42" t="n">
        <v>114.583333333333</v>
      </c>
      <c r="I837" s="42" t="n">
        <v>-4.58333333333333</v>
      </c>
      <c r="J837" s="34" t="s">
        <v>362</v>
      </c>
      <c r="K837" s="36" t="n">
        <v>100000</v>
      </c>
      <c r="L837" s="36" t="n">
        <v>264000</v>
      </c>
      <c r="M837" s="37" t="n">
        <v>12000</v>
      </c>
      <c r="N837" s="30" t="n">
        <v>15000</v>
      </c>
      <c r="O837" s="30" t="n">
        <v>275000</v>
      </c>
      <c r="P837" s="31" t="n">
        <v>-11000</v>
      </c>
      <c r="Q837" s="302" t="n">
        <v>45768</v>
      </c>
    </row>
    <row r="838" customFormat="false" ht="17.9" hidden="true" customHeight="false" outlineLevel="0" collapsed="false">
      <c r="A838" s="20" t="n">
        <v>3002</v>
      </c>
      <c r="B838" s="34" t="s">
        <v>264</v>
      </c>
      <c r="C838" s="34" t="s">
        <v>265</v>
      </c>
      <c r="D838" s="34"/>
      <c r="E838" s="25" t="n">
        <v>45671</v>
      </c>
      <c r="F838" s="25" t="n">
        <v>45771</v>
      </c>
      <c r="G838" s="26" t="n">
        <v>72</v>
      </c>
      <c r="H838" s="42" t="n">
        <v>73.8888888888889</v>
      </c>
      <c r="I838" s="42" t="n">
        <v>-1.88888888888889</v>
      </c>
      <c r="J838" s="34" t="s">
        <v>243</v>
      </c>
      <c r="K838" s="66" t="n">
        <v>150000</v>
      </c>
      <c r="L838" s="31" t="n">
        <v>324000</v>
      </c>
      <c r="M838" s="37" t="n">
        <v>22500</v>
      </c>
      <c r="N838" s="30" t="n">
        <v>22500</v>
      </c>
      <c r="O838" s="30" t="n">
        <v>332500</v>
      </c>
      <c r="P838" s="31" t="n">
        <v>-8500</v>
      </c>
      <c r="Q838" s="302" t="n">
        <v>45775</v>
      </c>
    </row>
    <row r="839" customFormat="false" ht="42.5" hidden="true" customHeight="false" outlineLevel="0" collapsed="false">
      <c r="A839" s="20" t="n">
        <v>2967</v>
      </c>
      <c r="B839" s="34" t="s">
        <v>1243</v>
      </c>
      <c r="C839" s="26" t="s">
        <v>314</v>
      </c>
      <c r="D839" s="34" t="n">
        <v>22375673</v>
      </c>
      <c r="E839" s="25" t="n">
        <v>45647</v>
      </c>
      <c r="F839" s="25" t="n">
        <v>45748</v>
      </c>
      <c r="G839" s="26" t="n">
        <v>72</v>
      </c>
      <c r="H839" s="42" t="n">
        <v>74.7777777777778</v>
      </c>
      <c r="I839" s="42" t="n">
        <v>-2.77777777777777</v>
      </c>
      <c r="J839" s="34" t="s">
        <v>243</v>
      </c>
      <c r="K839" s="36" t="n">
        <v>150000</v>
      </c>
      <c r="L839" s="36" t="n">
        <v>324000</v>
      </c>
      <c r="M839" s="37" t="n">
        <v>22500</v>
      </c>
      <c r="N839" s="30" t="n">
        <v>22500</v>
      </c>
      <c r="O839" s="30" t="n">
        <v>336500</v>
      </c>
      <c r="P839" s="31" t="n">
        <v>-12500</v>
      </c>
      <c r="Q839" s="302" t="n">
        <v>45775</v>
      </c>
    </row>
    <row r="840" customFormat="false" ht="42.5" hidden="true" customHeight="false" outlineLevel="0" collapsed="false">
      <c r="A840" s="20" t="n">
        <v>3115</v>
      </c>
      <c r="B840" s="34" t="s">
        <v>396</v>
      </c>
      <c r="C840" s="34" t="s">
        <v>397</v>
      </c>
      <c r="D840" s="34"/>
      <c r="E840" s="25" t="n">
        <v>45735</v>
      </c>
      <c r="F840" s="25" t="n">
        <v>45763</v>
      </c>
      <c r="G840" s="26" t="n">
        <v>20</v>
      </c>
      <c r="H840" s="42" t="e">
        <f aca="false">#DIV/0!</f>
        <v>#DIV/0!</v>
      </c>
      <c r="I840" s="42" t="e">
        <f aca="false">#DIV/0!</f>
        <v>#DIV/0!</v>
      </c>
      <c r="J840" s="52" t="s">
        <v>490</v>
      </c>
      <c r="K840" s="31" t="n">
        <v>50000</v>
      </c>
      <c r="L840" s="31" t="n">
        <v>75000</v>
      </c>
      <c r="M840" s="37"/>
      <c r="N840" s="30" t="n">
        <v>75000</v>
      </c>
      <c r="O840" s="30" t="n">
        <v>75000</v>
      </c>
      <c r="P840" s="31" t="n">
        <v>0</v>
      </c>
      <c r="Q840" s="302" t="n">
        <v>45775</v>
      </c>
    </row>
    <row r="841" customFormat="false" ht="17.9" hidden="true" customHeight="false" outlineLevel="0" collapsed="false">
      <c r="A841" s="20" t="n">
        <v>3160</v>
      </c>
      <c r="B841" s="34" t="s">
        <v>429</v>
      </c>
      <c r="C841" s="34"/>
      <c r="D841" s="34"/>
      <c r="E841" s="25" t="n">
        <v>45770</v>
      </c>
      <c r="F841" s="25" t="n">
        <v>45777</v>
      </c>
      <c r="G841" s="26" t="n">
        <v>5</v>
      </c>
      <c r="H841" s="42" t="e">
        <f aca="false">#DIV/0!</f>
        <v>#DIV/0!</v>
      </c>
      <c r="I841" s="42" t="e">
        <f aca="false">#DIV/0!</f>
        <v>#DIV/0!</v>
      </c>
      <c r="J841" s="34" t="s">
        <v>580</v>
      </c>
      <c r="K841" s="36" t="n">
        <v>100000</v>
      </c>
      <c r="L841" s="36" t="n">
        <v>130000</v>
      </c>
      <c r="M841" s="37"/>
      <c r="N841" s="30" t="n">
        <v>130000</v>
      </c>
      <c r="O841" s="30" t="n">
        <v>130000</v>
      </c>
      <c r="P841" s="31" t="n">
        <v>0</v>
      </c>
      <c r="Q841" s="302" t="n">
        <v>45775</v>
      </c>
    </row>
    <row r="842" customFormat="false" ht="34.3" hidden="true" customHeight="false" outlineLevel="0" collapsed="false">
      <c r="A842" s="20" t="n">
        <v>3021</v>
      </c>
      <c r="B842" s="34" t="s">
        <v>543</v>
      </c>
      <c r="C842" s="34" t="s">
        <v>532</v>
      </c>
      <c r="D842" s="34"/>
      <c r="E842" s="25" t="n">
        <v>45681</v>
      </c>
      <c r="F842" s="25" t="n">
        <v>45793</v>
      </c>
      <c r="G842" s="26" t="n">
        <v>80</v>
      </c>
      <c r="H842" s="42" t="n">
        <v>80.1234567901235</v>
      </c>
      <c r="I842" s="42" t="n">
        <v>-0.123456790123456</v>
      </c>
      <c r="J842" s="52" t="s">
        <v>1244</v>
      </c>
      <c r="K842" s="36" t="n">
        <v>30000</v>
      </c>
      <c r="L842" s="36" t="n">
        <v>64800</v>
      </c>
      <c r="M842" s="29" t="n">
        <v>4050</v>
      </c>
      <c r="N842" s="30" t="n">
        <v>16200</v>
      </c>
      <c r="O842" s="30" t="n">
        <v>64900</v>
      </c>
      <c r="P842" s="31" t="n">
        <v>-100</v>
      </c>
      <c r="Q842" s="302" t="n">
        <v>45775</v>
      </c>
    </row>
    <row r="843" customFormat="false" ht="34.3" hidden="true" customHeight="false" outlineLevel="0" collapsed="false">
      <c r="A843" s="20" t="n">
        <v>3078</v>
      </c>
      <c r="B843" s="34" t="s">
        <v>543</v>
      </c>
      <c r="C843" s="34" t="s">
        <v>532</v>
      </c>
      <c r="D843" s="34"/>
      <c r="E843" s="25" t="n">
        <v>45712</v>
      </c>
      <c r="F843" s="25" t="n">
        <v>45824</v>
      </c>
      <c r="G843" s="26" t="n">
        <v>80</v>
      </c>
      <c r="H843" s="42" t="n">
        <v>80</v>
      </c>
      <c r="I843" s="42" t="n">
        <v>0</v>
      </c>
      <c r="J843" s="52" t="s">
        <v>1223</v>
      </c>
      <c r="K843" s="58" t="n">
        <v>50000</v>
      </c>
      <c r="L843" s="36" t="n">
        <v>108000</v>
      </c>
      <c r="M843" s="29" t="n">
        <v>6750</v>
      </c>
      <c r="N843" s="30" t="n">
        <v>54000</v>
      </c>
      <c r="O843" s="30" t="n">
        <v>108000</v>
      </c>
      <c r="P843" s="31" t="n">
        <v>0</v>
      </c>
      <c r="Q843" s="302" t="n">
        <v>45775</v>
      </c>
    </row>
    <row r="844" customFormat="false" ht="42" hidden="true" customHeight="false" outlineLevel="0" collapsed="false">
      <c r="A844" s="20" t="n">
        <v>2770</v>
      </c>
      <c r="B844" s="34" t="s">
        <v>396</v>
      </c>
      <c r="C844" s="34" t="s">
        <v>397</v>
      </c>
      <c r="D844" s="34"/>
      <c r="E844" s="25" t="n">
        <v>45523</v>
      </c>
      <c r="F844" s="25" t="n">
        <f aca="false">WORKDAY(E844,G844)</f>
        <v>45747</v>
      </c>
      <c r="G844" s="26" t="n">
        <v>160</v>
      </c>
      <c r="H844" s="42" t="n">
        <f aca="false">(EP844* 5)/M844</f>
        <v>0</v>
      </c>
      <c r="I844" s="42" t="n">
        <f aca="false">G844-H844</f>
        <v>160</v>
      </c>
      <c r="J844" s="52" t="s">
        <v>1245</v>
      </c>
      <c r="K844" s="36" t="n">
        <v>300000</v>
      </c>
      <c r="L844" s="36" t="n">
        <v>900000</v>
      </c>
      <c r="M844" s="37" t="n">
        <f aca="false">(L844/G844)*5</f>
        <v>28125</v>
      </c>
      <c r="N844" s="30" t="n">
        <v>700</v>
      </c>
      <c r="O844" s="30" t="n">
        <v>900000</v>
      </c>
      <c r="P844" s="31" t="n">
        <v>0</v>
      </c>
      <c r="Q844" s="302" t="n">
        <v>45775</v>
      </c>
    </row>
    <row r="845" customFormat="false" ht="42" hidden="true" customHeight="false" outlineLevel="0" collapsed="false">
      <c r="A845" s="20" t="n">
        <v>2912</v>
      </c>
      <c r="B845" s="34" t="s">
        <v>227</v>
      </c>
      <c r="C845" s="34" t="s">
        <v>228</v>
      </c>
      <c r="D845" s="34"/>
      <c r="E845" s="25" t="n">
        <v>45609</v>
      </c>
      <c r="F845" s="25" t="n">
        <v>45777</v>
      </c>
      <c r="G845" s="26" t="n">
        <v>120</v>
      </c>
      <c r="H845" s="42" t="n">
        <v>120</v>
      </c>
      <c r="I845" s="42" t="n">
        <v>0</v>
      </c>
      <c r="J845" s="52" t="s">
        <v>1175</v>
      </c>
      <c r="K845" s="36" t="n">
        <v>50000</v>
      </c>
      <c r="L845" s="36" t="n">
        <v>132000</v>
      </c>
      <c r="M845" s="37" t="n">
        <v>5500</v>
      </c>
      <c r="N845" s="30" t="n">
        <v>22000</v>
      </c>
      <c r="O845" s="30" t="n">
        <v>132000</v>
      </c>
      <c r="P845" s="31" t="n">
        <v>0</v>
      </c>
      <c r="Q845" s="302" t="n">
        <v>45782</v>
      </c>
    </row>
    <row r="846" customFormat="false" ht="42" hidden="true" customHeight="false" outlineLevel="0" collapsed="false">
      <c r="A846" s="20" t="n">
        <v>3005</v>
      </c>
      <c r="B846" s="34" t="s">
        <v>227</v>
      </c>
      <c r="C846" s="34" t="s">
        <v>228</v>
      </c>
      <c r="D846" s="34"/>
      <c r="E846" s="25" t="n">
        <v>45673</v>
      </c>
      <c r="F846" s="25" t="n">
        <v>45785</v>
      </c>
      <c r="G846" s="26" t="n">
        <v>80</v>
      </c>
      <c r="H846" s="42" t="n">
        <v>80</v>
      </c>
      <c r="I846" s="42" t="n">
        <v>0</v>
      </c>
      <c r="J846" s="52" t="s">
        <v>341</v>
      </c>
      <c r="K846" s="36" t="n">
        <v>100000</v>
      </c>
      <c r="L846" s="36" t="n">
        <v>216000</v>
      </c>
      <c r="M846" s="373" t="n">
        <v>13500</v>
      </c>
      <c r="N846" s="30" t="n">
        <v>54000</v>
      </c>
      <c r="O846" s="30" t="n">
        <v>216000</v>
      </c>
      <c r="P846" s="31" t="n">
        <v>0</v>
      </c>
      <c r="Q846" s="302" t="n">
        <v>45782</v>
      </c>
    </row>
    <row r="847" customFormat="false" ht="34.3" hidden="true" customHeight="false" outlineLevel="0" collapsed="false">
      <c r="A847" s="20" t="n">
        <v>3010</v>
      </c>
      <c r="B847" s="34" t="s">
        <v>744</v>
      </c>
      <c r="C847" s="34" t="s">
        <v>745</v>
      </c>
      <c r="D847" s="34"/>
      <c r="E847" s="25" t="n">
        <v>45675</v>
      </c>
      <c r="F847" s="25" t="n">
        <v>45776</v>
      </c>
      <c r="G847" s="26" t="n">
        <v>72</v>
      </c>
      <c r="H847" s="42" t="n">
        <v>86</v>
      </c>
      <c r="I847" s="42" t="n">
        <v>-14</v>
      </c>
      <c r="J847" s="34" t="s">
        <v>749</v>
      </c>
      <c r="K847" s="31" t="n">
        <v>20000</v>
      </c>
      <c r="L847" s="31" t="n">
        <v>43200</v>
      </c>
      <c r="M847" s="37" t="n">
        <v>3000</v>
      </c>
      <c r="N847" s="30" t="n">
        <v>9600</v>
      </c>
      <c r="O847" s="30" t="n">
        <v>51600</v>
      </c>
      <c r="P847" s="31" t="n">
        <v>-8400</v>
      </c>
      <c r="Q847" s="302" t="n">
        <v>45782</v>
      </c>
    </row>
    <row r="848" customFormat="false" ht="26.1" hidden="true" customHeight="false" outlineLevel="0" collapsed="false">
      <c r="A848" s="20" t="n">
        <v>2930</v>
      </c>
      <c r="B848" s="34" t="s">
        <v>345</v>
      </c>
      <c r="C848" s="34" t="s">
        <v>346</v>
      </c>
      <c r="D848" s="34" t="n">
        <v>27212523</v>
      </c>
      <c r="E848" s="25" t="n">
        <v>45621</v>
      </c>
      <c r="F848" s="25" t="n">
        <v>45775</v>
      </c>
      <c r="G848" s="26" t="n">
        <v>110</v>
      </c>
      <c r="H848" s="42" t="n">
        <v>110</v>
      </c>
      <c r="I848" s="42" t="n">
        <v>0</v>
      </c>
      <c r="J848" s="68" t="s">
        <v>1246</v>
      </c>
      <c r="K848" s="31" t="n">
        <v>80000</v>
      </c>
      <c r="L848" s="31" t="n">
        <v>211200</v>
      </c>
      <c r="M848" s="37" t="n">
        <v>9600</v>
      </c>
      <c r="N848" s="30" t="n">
        <v>19200</v>
      </c>
      <c r="O848" s="30" t="n">
        <v>211200</v>
      </c>
      <c r="P848" s="31" t="n">
        <v>0</v>
      </c>
      <c r="Q848" s="302" t="n">
        <v>45782</v>
      </c>
    </row>
    <row r="849" customFormat="false" ht="42" hidden="true" customHeight="false" outlineLevel="0" collapsed="false">
      <c r="A849" s="20" t="n">
        <v>3003</v>
      </c>
      <c r="B849" s="34" t="s">
        <v>1242</v>
      </c>
      <c r="C849" s="34" t="s">
        <v>370</v>
      </c>
      <c r="D849" s="34"/>
      <c r="E849" s="25" t="n">
        <v>45672</v>
      </c>
      <c r="F849" s="25" t="n">
        <v>45772</v>
      </c>
      <c r="G849" s="26" t="n">
        <v>72</v>
      </c>
      <c r="H849" s="42" t="n">
        <v>72</v>
      </c>
      <c r="I849" s="42" t="n">
        <v>0</v>
      </c>
      <c r="J849" s="34" t="s">
        <v>381</v>
      </c>
      <c r="K849" s="36" t="n">
        <v>50000</v>
      </c>
      <c r="L849" s="36" t="n">
        <v>108000</v>
      </c>
      <c r="M849" s="37" t="n">
        <v>7500</v>
      </c>
      <c r="N849" s="30" t="n">
        <v>3000</v>
      </c>
      <c r="O849" s="30" t="n">
        <v>108000</v>
      </c>
      <c r="P849" s="31" t="n">
        <v>0</v>
      </c>
      <c r="Q849" s="302" t="n">
        <v>45782</v>
      </c>
    </row>
    <row r="850" customFormat="false" ht="17.9" hidden="true" customHeight="false" outlineLevel="0" collapsed="false">
      <c r="A850" s="20" t="n">
        <v>2915</v>
      </c>
      <c r="B850" s="34" t="s">
        <v>392</v>
      </c>
      <c r="C850" s="34" t="s">
        <v>393</v>
      </c>
      <c r="D850" s="34"/>
      <c r="E850" s="25" t="n">
        <v>45611</v>
      </c>
      <c r="F850" s="25" t="n">
        <v>45779</v>
      </c>
      <c r="G850" s="26" t="n">
        <v>120</v>
      </c>
      <c r="H850" s="42" t="n">
        <v>120.060606060606</v>
      </c>
      <c r="I850" s="42" t="n">
        <v>-0.0606060606060623</v>
      </c>
      <c r="J850" s="52" t="s">
        <v>287</v>
      </c>
      <c r="K850" s="36" t="n">
        <v>150000</v>
      </c>
      <c r="L850" s="36" t="n">
        <v>396000</v>
      </c>
      <c r="M850" s="29" t="n">
        <v>16500</v>
      </c>
      <c r="N850" s="30" t="n">
        <v>66200</v>
      </c>
      <c r="O850" s="30" t="n">
        <v>396200</v>
      </c>
      <c r="P850" s="31" t="n">
        <v>-200</v>
      </c>
      <c r="Q850" s="302" t="n">
        <v>45782</v>
      </c>
    </row>
    <row r="851" customFormat="false" ht="34.3" hidden="true" customHeight="false" outlineLevel="0" collapsed="false">
      <c r="A851" s="20" t="n">
        <v>2854</v>
      </c>
      <c r="B851" s="34" t="s">
        <v>450</v>
      </c>
      <c r="C851" s="34" t="s">
        <v>451</v>
      </c>
      <c r="D851" s="34"/>
      <c r="E851" s="25" t="n">
        <v>45577</v>
      </c>
      <c r="F851" s="25" t="n">
        <v>45678</v>
      </c>
      <c r="G851" s="26" t="n">
        <v>72</v>
      </c>
      <c r="H851" s="42" t="n">
        <v>75</v>
      </c>
      <c r="I851" s="42" t="n">
        <v>-3</v>
      </c>
      <c r="J851" s="34" t="s">
        <v>788</v>
      </c>
      <c r="K851" s="31" t="n">
        <v>15000</v>
      </c>
      <c r="L851" s="31" t="n">
        <v>32400</v>
      </c>
      <c r="M851" s="37" t="n">
        <v>2250</v>
      </c>
      <c r="N851" s="30" t="n">
        <v>2250</v>
      </c>
      <c r="O851" s="30" t="n">
        <v>33750</v>
      </c>
      <c r="P851" s="31" t="n">
        <v>-1350</v>
      </c>
      <c r="Q851" s="302" t="n">
        <v>45782</v>
      </c>
    </row>
    <row r="852" customFormat="false" ht="26.1" hidden="true" customHeight="false" outlineLevel="0" collapsed="false">
      <c r="A852" s="20" t="n">
        <v>2900</v>
      </c>
      <c r="B852" s="34" t="s">
        <v>494</v>
      </c>
      <c r="C852" s="34" t="s">
        <v>495</v>
      </c>
      <c r="D852" s="34"/>
      <c r="E852" s="25" t="n">
        <v>45605</v>
      </c>
      <c r="F852" s="25" t="n">
        <v>45772</v>
      </c>
      <c r="G852" s="26" t="n">
        <v>120</v>
      </c>
      <c r="H852" s="42" t="n">
        <v>120.006445375443</v>
      </c>
      <c r="I852" s="42" t="n">
        <v>-0.00644537544312129</v>
      </c>
      <c r="J852" s="68" t="s">
        <v>1127</v>
      </c>
      <c r="K852" s="36" t="n">
        <v>141000</v>
      </c>
      <c r="L852" s="36" t="n">
        <v>372360</v>
      </c>
      <c r="M852" s="37" t="n">
        <v>15515</v>
      </c>
      <c r="N852" s="30" t="n">
        <v>49950</v>
      </c>
      <c r="O852" s="30" t="n">
        <v>372380</v>
      </c>
      <c r="P852" s="31" t="n">
        <v>-20</v>
      </c>
      <c r="Q852" s="302" t="n">
        <v>45782</v>
      </c>
    </row>
    <row r="853" customFormat="false" ht="34.3" hidden="true" customHeight="false" outlineLevel="0" collapsed="false">
      <c r="A853" s="20" t="n">
        <v>2885</v>
      </c>
      <c r="B853" s="34" t="s">
        <v>507</v>
      </c>
      <c r="C853" s="34" t="s">
        <v>508</v>
      </c>
      <c r="D853" s="34"/>
      <c r="E853" s="25" t="n">
        <v>45593</v>
      </c>
      <c r="F853" s="25" t="n">
        <v>45733</v>
      </c>
      <c r="G853" s="26" t="n">
        <v>100</v>
      </c>
      <c r="H853" s="42" t="n">
        <v>100</v>
      </c>
      <c r="I853" s="42" t="n">
        <v>0</v>
      </c>
      <c r="J853" s="52" t="s">
        <v>1064</v>
      </c>
      <c r="K853" s="31" t="n">
        <v>200000</v>
      </c>
      <c r="L853" s="31" t="n">
        <v>432000</v>
      </c>
      <c r="M853" s="37" t="n">
        <v>21600</v>
      </c>
      <c r="N853" s="30" t="n">
        <v>86400</v>
      </c>
      <c r="O853" s="30" t="n">
        <v>432000</v>
      </c>
      <c r="P853" s="31" t="n">
        <v>0</v>
      </c>
      <c r="Q853" s="302" t="n">
        <v>45782</v>
      </c>
    </row>
    <row r="854" customFormat="false" ht="26.1" hidden="true" customHeight="false" outlineLevel="0" collapsed="false">
      <c r="A854" s="20" t="n">
        <v>2706</v>
      </c>
      <c r="B854" s="34" t="s">
        <v>251</v>
      </c>
      <c r="C854" s="34" t="s">
        <v>252</v>
      </c>
      <c r="D854" s="23"/>
      <c r="E854" s="25" t="n">
        <v>45483</v>
      </c>
      <c r="F854" s="25" t="n">
        <v>45763</v>
      </c>
      <c r="G854" s="26" t="n">
        <v>200</v>
      </c>
      <c r="H854" s="42" t="n">
        <v>200</v>
      </c>
      <c r="I854" s="42" t="n">
        <v>0</v>
      </c>
      <c r="J854" s="35" t="s">
        <v>1247</v>
      </c>
      <c r="K854" s="36" t="n">
        <v>300000</v>
      </c>
      <c r="L854" s="36" t="n">
        <v>990000</v>
      </c>
      <c r="M854" s="37" t="n">
        <v>24750</v>
      </c>
      <c r="N854" s="30" t="n">
        <v>99000</v>
      </c>
      <c r="O854" s="30" t="n">
        <v>990000</v>
      </c>
      <c r="P854" s="31" t="n">
        <v>0</v>
      </c>
      <c r="Q854" s="302" t="n">
        <v>45789</v>
      </c>
    </row>
    <row r="855" customFormat="false" ht="26.1" hidden="true" customHeight="false" outlineLevel="0" collapsed="false">
      <c r="A855" s="20" t="n">
        <v>3039</v>
      </c>
      <c r="B855" s="34" t="s">
        <v>1248</v>
      </c>
      <c r="C855" s="34" t="s">
        <v>277</v>
      </c>
      <c r="D855" s="23"/>
      <c r="E855" s="25" t="n">
        <v>45693</v>
      </c>
      <c r="F855" s="25" t="n">
        <v>45793</v>
      </c>
      <c r="G855" s="26" t="n">
        <v>72</v>
      </c>
      <c r="H855" s="42" t="n">
        <v>72</v>
      </c>
      <c r="I855" s="42" t="n">
        <v>0</v>
      </c>
      <c r="J855" s="22" t="s">
        <v>553</v>
      </c>
      <c r="K855" s="36" t="n">
        <v>150000</v>
      </c>
      <c r="L855" s="36" t="n">
        <v>324000</v>
      </c>
      <c r="M855" s="37" t="n">
        <v>22500</v>
      </c>
      <c r="N855" s="30" t="n">
        <v>33000</v>
      </c>
      <c r="O855" s="30" t="n">
        <v>324000</v>
      </c>
      <c r="P855" s="31" t="n">
        <v>0</v>
      </c>
      <c r="Q855" s="302" t="n">
        <v>45789</v>
      </c>
    </row>
    <row r="856" customFormat="false" ht="26.1" hidden="true" customHeight="false" outlineLevel="0" collapsed="false">
      <c r="A856" s="20" t="n">
        <v>3020</v>
      </c>
      <c r="B856" s="34" t="s">
        <v>285</v>
      </c>
      <c r="C856" s="34" t="s">
        <v>286</v>
      </c>
      <c r="D856" s="23"/>
      <c r="E856" s="25" t="n">
        <v>45681</v>
      </c>
      <c r="F856" s="25" t="n">
        <v>45793</v>
      </c>
      <c r="G856" s="26" t="n">
        <v>80</v>
      </c>
      <c r="H856" s="42" t="n">
        <v>80</v>
      </c>
      <c r="I856" s="42" t="n">
        <v>0</v>
      </c>
      <c r="J856" s="35" t="s">
        <v>1206</v>
      </c>
      <c r="K856" s="36" t="n">
        <v>100000</v>
      </c>
      <c r="L856" s="36" t="n">
        <v>216000</v>
      </c>
      <c r="M856" s="37" t="n">
        <v>13500</v>
      </c>
      <c r="N856" s="30" t="n">
        <v>54000</v>
      </c>
      <c r="O856" s="30" t="n">
        <v>216000</v>
      </c>
      <c r="P856" s="31" t="n">
        <v>0</v>
      </c>
      <c r="Q856" s="302" t="n">
        <v>45789</v>
      </c>
    </row>
    <row r="857" customFormat="false" ht="34.3" hidden="true" customHeight="false" outlineLevel="0" collapsed="false">
      <c r="A857" s="20" t="n">
        <v>2923</v>
      </c>
      <c r="B857" s="34" t="s">
        <v>307</v>
      </c>
      <c r="C857" s="34" t="s">
        <v>308</v>
      </c>
      <c r="D857" s="23"/>
      <c r="E857" s="25" t="n">
        <v>45618</v>
      </c>
      <c r="F857" s="25" t="n">
        <v>45730</v>
      </c>
      <c r="G857" s="26" t="n">
        <v>80</v>
      </c>
      <c r="H857" s="42" t="n">
        <v>80</v>
      </c>
      <c r="I857" s="42" t="n">
        <v>0</v>
      </c>
      <c r="J857" s="35" t="s">
        <v>1249</v>
      </c>
      <c r="K857" s="31" t="n">
        <v>300000</v>
      </c>
      <c r="L857" s="31" t="n">
        <v>648000</v>
      </c>
      <c r="M857" s="37" t="n">
        <v>40500</v>
      </c>
      <c r="N857" s="30" t="n">
        <v>162000</v>
      </c>
      <c r="O857" s="30" t="n">
        <v>648000</v>
      </c>
      <c r="P857" s="31" t="n">
        <v>0</v>
      </c>
      <c r="Q857" s="302" t="n">
        <v>45789</v>
      </c>
    </row>
    <row r="858" customFormat="false" ht="42" hidden="true" customHeight="false" outlineLevel="0" collapsed="false">
      <c r="A858" s="20" t="n">
        <v>2953</v>
      </c>
      <c r="B858" s="34" t="s">
        <v>430</v>
      </c>
      <c r="C858" s="34" t="s">
        <v>431</v>
      </c>
      <c r="D858" s="23"/>
      <c r="E858" s="25" t="n">
        <v>45641</v>
      </c>
      <c r="F858" s="25" t="n">
        <v>45807</v>
      </c>
      <c r="G858" s="26" t="n">
        <v>120</v>
      </c>
      <c r="H858" s="42" t="n">
        <v>120</v>
      </c>
      <c r="I858" s="42" t="n">
        <v>0</v>
      </c>
      <c r="J858" s="65" t="s">
        <v>1189</v>
      </c>
      <c r="K858" s="374" t="n">
        <v>100000</v>
      </c>
      <c r="L858" s="31" t="n">
        <v>264000</v>
      </c>
      <c r="M858" s="37" t="n">
        <v>11000</v>
      </c>
      <c r="N858" s="30" t="n">
        <v>88000</v>
      </c>
      <c r="O858" s="30" t="n">
        <v>264000</v>
      </c>
      <c r="P858" s="31" t="n">
        <v>0</v>
      </c>
      <c r="Q858" s="302" t="n">
        <v>45789</v>
      </c>
    </row>
    <row r="859" customFormat="false" ht="42" hidden="true" customHeight="false" outlineLevel="0" collapsed="false">
      <c r="A859" s="20" t="n">
        <v>2980</v>
      </c>
      <c r="B859" s="34" t="s">
        <v>430</v>
      </c>
      <c r="C859" s="34" t="s">
        <v>431</v>
      </c>
      <c r="D859" s="23"/>
      <c r="E859" s="25" t="n">
        <v>45656</v>
      </c>
      <c r="F859" s="25" t="n">
        <v>45768</v>
      </c>
      <c r="G859" s="26" t="n">
        <v>80</v>
      </c>
      <c r="H859" s="42" t="n">
        <v>80</v>
      </c>
      <c r="I859" s="42" t="n">
        <v>0</v>
      </c>
      <c r="J859" s="65" t="s">
        <v>1250</v>
      </c>
      <c r="K859" s="36" t="n">
        <v>50000</v>
      </c>
      <c r="L859" s="36" t="n">
        <v>108000</v>
      </c>
      <c r="M859" s="29" t="n">
        <v>6750</v>
      </c>
      <c r="N859" s="30" t="n">
        <v>27000</v>
      </c>
      <c r="O859" s="30" t="n">
        <v>108000</v>
      </c>
      <c r="P859" s="31" t="n">
        <v>0</v>
      </c>
      <c r="Q859" s="302" t="n">
        <v>45789</v>
      </c>
    </row>
    <row r="860" customFormat="false" ht="67.15" hidden="true" customHeight="false" outlineLevel="0" collapsed="false">
      <c r="A860" s="20" t="n">
        <v>3046</v>
      </c>
      <c r="B860" s="34" t="s">
        <v>466</v>
      </c>
      <c r="C860" s="34" t="s">
        <v>467</v>
      </c>
      <c r="D860" s="23"/>
      <c r="E860" s="25" t="n">
        <v>45696</v>
      </c>
      <c r="F860" s="25" t="n">
        <v>45797</v>
      </c>
      <c r="G860" s="26" t="n">
        <v>72</v>
      </c>
      <c r="H860" s="42" t="n">
        <v>72</v>
      </c>
      <c r="I860" s="42" t="n">
        <v>0</v>
      </c>
      <c r="J860" s="22" t="s">
        <v>792</v>
      </c>
      <c r="K860" s="36" t="n">
        <v>60000</v>
      </c>
      <c r="L860" s="36" t="n">
        <v>129600</v>
      </c>
      <c r="M860" s="29" t="n">
        <v>9000</v>
      </c>
      <c r="N860" s="30" t="n">
        <v>21600</v>
      </c>
      <c r="O860" s="30" t="n">
        <v>129600</v>
      </c>
      <c r="P860" s="31" t="n">
        <v>0</v>
      </c>
      <c r="Q860" s="302" t="n">
        <v>45789</v>
      </c>
    </row>
    <row r="861" customFormat="false" ht="67.15" hidden="true" customHeight="false" outlineLevel="0" collapsed="false">
      <c r="A861" s="20" t="n">
        <v>3055</v>
      </c>
      <c r="B861" s="34" t="s">
        <v>466</v>
      </c>
      <c r="C861" s="34" t="s">
        <v>467</v>
      </c>
      <c r="D861" s="23"/>
      <c r="E861" s="25" t="n">
        <v>45701</v>
      </c>
      <c r="F861" s="25" t="n">
        <v>45803</v>
      </c>
      <c r="G861" s="26" t="n">
        <v>72</v>
      </c>
      <c r="H861" s="42" t="n">
        <v>72</v>
      </c>
      <c r="I861" s="42" t="n">
        <v>0</v>
      </c>
      <c r="J861" s="22" t="s">
        <v>452</v>
      </c>
      <c r="K861" s="36" t="n">
        <v>30000</v>
      </c>
      <c r="L861" s="36" t="n">
        <v>64800</v>
      </c>
      <c r="M861" s="37" t="n">
        <v>4500</v>
      </c>
      <c r="N861" s="30" t="n">
        <v>10800</v>
      </c>
      <c r="O861" s="30" t="n">
        <v>64800</v>
      </c>
      <c r="P861" s="31" t="n">
        <v>0</v>
      </c>
      <c r="Q861" s="302" t="n">
        <v>45789</v>
      </c>
    </row>
    <row r="862" customFormat="false" ht="19.4" hidden="true" customHeight="false" outlineLevel="0" collapsed="false">
      <c r="A862" s="20" t="n">
        <v>3092</v>
      </c>
      <c r="B862" s="34" t="s">
        <v>1106</v>
      </c>
      <c r="C862" s="34" t="s">
        <v>489</v>
      </c>
      <c r="D862" s="23"/>
      <c r="E862" s="25" t="n">
        <v>45722</v>
      </c>
      <c r="F862" s="25" t="n">
        <v>45750</v>
      </c>
      <c r="G862" s="26" t="n">
        <v>20</v>
      </c>
      <c r="H862" s="42" t="e">
        <f aca="false">#DIV/0!</f>
        <v>#DIV/0!</v>
      </c>
      <c r="I862" s="42" t="e">
        <f aca="false">#DIV/0!</f>
        <v>#DIV/0!</v>
      </c>
      <c r="J862" s="35" t="s">
        <v>490</v>
      </c>
      <c r="K862" s="36" t="n">
        <v>45000</v>
      </c>
      <c r="L862" s="36" t="n">
        <v>67500</v>
      </c>
      <c r="M862" s="37"/>
      <c r="N862" s="74" t="n">
        <v>37500</v>
      </c>
      <c r="O862" s="30" t="n">
        <v>67500</v>
      </c>
      <c r="P862" s="31" t="n">
        <v>0</v>
      </c>
      <c r="Q862" s="302" t="n">
        <v>45789</v>
      </c>
    </row>
    <row r="863" customFormat="false" ht="19.4" hidden="true" customHeight="false" outlineLevel="0" collapsed="false">
      <c r="A863" s="20" t="n">
        <v>3093</v>
      </c>
      <c r="B863" s="34" t="s">
        <v>1106</v>
      </c>
      <c r="C863" s="34" t="s">
        <v>489</v>
      </c>
      <c r="D863" s="23"/>
      <c r="E863" s="25" t="n">
        <v>45722</v>
      </c>
      <c r="F863" s="25" t="n">
        <v>45750</v>
      </c>
      <c r="G863" s="26" t="n">
        <v>20</v>
      </c>
      <c r="H863" s="42" t="e">
        <f aca="false">#DIV/0!</f>
        <v>#DIV/0!</v>
      </c>
      <c r="I863" s="42" t="e">
        <f aca="false">#DIV/0!</f>
        <v>#DIV/0!</v>
      </c>
      <c r="J863" s="35" t="s">
        <v>490</v>
      </c>
      <c r="K863" s="36" t="n">
        <v>40000</v>
      </c>
      <c r="L863" s="36" t="n">
        <v>60000</v>
      </c>
      <c r="M863" s="29"/>
      <c r="N863" s="30" t="n">
        <v>60000</v>
      </c>
      <c r="O863" s="30" t="n">
        <v>60000</v>
      </c>
      <c r="P863" s="31" t="n">
        <v>0</v>
      </c>
      <c r="Q863" s="302" t="n">
        <v>45789</v>
      </c>
    </row>
    <row r="864" customFormat="false" ht="14.25" hidden="true" customHeight="false" outlineLevel="0" collapsed="false">
      <c r="A864" s="20" t="n">
        <v>3152</v>
      </c>
      <c r="B864" s="34" t="s">
        <v>861</v>
      </c>
      <c r="C864" s="34"/>
      <c r="D864" s="23"/>
      <c r="E864" s="25" t="n">
        <v>45759</v>
      </c>
      <c r="F864" s="25" t="n">
        <v>45786</v>
      </c>
      <c r="G864" s="26" t="n">
        <v>20</v>
      </c>
      <c r="H864" s="42" t="e">
        <f aca="false">#DIV/0!</f>
        <v>#DIV/0!</v>
      </c>
      <c r="I864" s="42" t="e">
        <f aca="false">#DIV/0!</f>
        <v>#DIV/0!</v>
      </c>
      <c r="J864" s="35" t="s">
        <v>538</v>
      </c>
      <c r="K864" s="36" t="n">
        <v>30000</v>
      </c>
      <c r="L864" s="36" t="n">
        <v>48000</v>
      </c>
      <c r="M864" s="29"/>
      <c r="N864" s="30" t="n">
        <v>48000</v>
      </c>
      <c r="O864" s="30" t="n">
        <v>48000</v>
      </c>
      <c r="P864" s="31" t="n">
        <v>0</v>
      </c>
      <c r="Q864" s="302" t="n">
        <v>45789</v>
      </c>
    </row>
    <row r="865" customFormat="false" ht="14.25" hidden="true" customHeight="false" outlineLevel="0" collapsed="false">
      <c r="A865" s="20" t="n">
        <v>3178</v>
      </c>
      <c r="B865" s="34" t="s">
        <v>861</v>
      </c>
      <c r="C865" s="34"/>
      <c r="D865" s="23"/>
      <c r="E865" s="25" t="n">
        <v>45779</v>
      </c>
      <c r="F865" s="25" t="n">
        <v>45807</v>
      </c>
      <c r="G865" s="26" t="n">
        <v>20</v>
      </c>
      <c r="H865" s="42" t="e">
        <f aca="false">#DIV/0!</f>
        <v>#DIV/0!</v>
      </c>
      <c r="I865" s="42" t="e">
        <f aca="false">#DIV/0!</f>
        <v>#DIV/0!</v>
      </c>
      <c r="J865" s="35" t="s">
        <v>538</v>
      </c>
      <c r="K865" s="36" t="n">
        <v>40000</v>
      </c>
      <c r="L865" s="36" t="n">
        <v>60000</v>
      </c>
      <c r="M865" s="29"/>
      <c r="N865" s="30" t="n">
        <v>60000</v>
      </c>
      <c r="O865" s="30" t="n">
        <v>60000</v>
      </c>
      <c r="P865" s="31" t="n">
        <v>0</v>
      </c>
      <c r="Q865" s="302" t="n">
        <v>45789</v>
      </c>
    </row>
    <row r="866" customFormat="false" ht="34.3" hidden="true" customHeight="false" outlineLevel="0" collapsed="false">
      <c r="A866" s="20" t="n">
        <v>2894</v>
      </c>
      <c r="B866" s="34" t="s">
        <v>779</v>
      </c>
      <c r="C866" s="34"/>
      <c r="D866" s="23"/>
      <c r="E866" s="25" t="n">
        <v>45598</v>
      </c>
      <c r="F866" s="25" t="n">
        <v>45765</v>
      </c>
      <c r="G866" s="26" t="n">
        <v>120</v>
      </c>
      <c r="H866" s="42" t="n">
        <v>120</v>
      </c>
      <c r="I866" s="42" t="n">
        <v>0</v>
      </c>
      <c r="J866" s="35" t="s">
        <v>418</v>
      </c>
      <c r="K866" s="36" t="n">
        <v>100000</v>
      </c>
      <c r="L866" s="36" t="n">
        <v>264000</v>
      </c>
      <c r="M866" s="37" t="n">
        <v>11000</v>
      </c>
      <c r="N866" s="30" t="n">
        <v>44000</v>
      </c>
      <c r="O866" s="30" t="n">
        <v>264000</v>
      </c>
      <c r="P866" s="31" t="n">
        <v>0</v>
      </c>
      <c r="Q866" s="302" t="n">
        <v>45789</v>
      </c>
    </row>
    <row r="867" customFormat="false" ht="26.1" hidden="true" customHeight="false" outlineLevel="0" collapsed="false">
      <c r="A867" s="20" t="n">
        <v>3050</v>
      </c>
      <c r="B867" s="34" t="s">
        <v>519</v>
      </c>
      <c r="C867" s="34" t="s">
        <v>520</v>
      </c>
      <c r="D867" s="23"/>
      <c r="E867" s="25" t="n">
        <v>45698</v>
      </c>
      <c r="F867" s="25" t="n">
        <v>45798</v>
      </c>
      <c r="G867" s="26" t="n">
        <v>72</v>
      </c>
      <c r="H867" s="42" t="n">
        <v>72</v>
      </c>
      <c r="I867" s="42" t="n">
        <v>0</v>
      </c>
      <c r="J867" s="22" t="s">
        <v>266</v>
      </c>
      <c r="K867" s="36" t="n">
        <v>100000</v>
      </c>
      <c r="L867" s="36" t="n">
        <v>216000</v>
      </c>
      <c r="M867" s="37" t="n">
        <v>15000</v>
      </c>
      <c r="N867" s="41" t="n">
        <v>58900</v>
      </c>
      <c r="O867" s="30" t="n">
        <v>216000</v>
      </c>
      <c r="P867" s="36" t="n">
        <v>0</v>
      </c>
      <c r="Q867" s="302" t="n">
        <v>45789</v>
      </c>
    </row>
    <row r="868" customFormat="false" ht="17.9" hidden="true" customHeight="false" outlineLevel="0" collapsed="false">
      <c r="A868" s="20" t="n">
        <v>3126</v>
      </c>
      <c r="B868" s="34" t="s">
        <v>984</v>
      </c>
      <c r="C868" s="34"/>
      <c r="D868" s="23"/>
      <c r="E868" s="25" t="n">
        <v>45742</v>
      </c>
      <c r="F868" s="25" t="n">
        <v>45763</v>
      </c>
      <c r="G868" s="26" t="n">
        <v>15</v>
      </c>
      <c r="H868" s="42" t="e">
        <f aca="false">#DIV/0!</f>
        <v>#DIV/0!</v>
      </c>
      <c r="I868" s="42" t="e">
        <f aca="false">#DIV/0!</f>
        <v>#DIV/0!</v>
      </c>
      <c r="J868" s="35" t="s">
        <v>580</v>
      </c>
      <c r="K868" s="36" t="n">
        <v>30000</v>
      </c>
      <c r="L868" s="36" t="n">
        <v>45000</v>
      </c>
      <c r="M868" s="37"/>
      <c r="N868" s="41" t="n">
        <v>5000</v>
      </c>
      <c r="O868" s="30" t="n">
        <v>45000</v>
      </c>
      <c r="P868" s="36" t="n">
        <v>0</v>
      </c>
      <c r="Q868" s="302" t="n">
        <v>45789</v>
      </c>
    </row>
    <row r="869" customFormat="false" ht="17.9" hidden="true" customHeight="false" outlineLevel="0" collapsed="false">
      <c r="A869" s="20" t="n">
        <v>3141</v>
      </c>
      <c r="B869" s="34" t="s">
        <v>984</v>
      </c>
      <c r="C869" s="34"/>
      <c r="D869" s="23"/>
      <c r="E869" s="25" t="n">
        <v>45750</v>
      </c>
      <c r="F869" s="25" t="n">
        <v>45771</v>
      </c>
      <c r="G869" s="26" t="n">
        <v>15</v>
      </c>
      <c r="H869" s="42" t="e">
        <f aca="false">#DIV/0!</f>
        <v>#DIV/0!</v>
      </c>
      <c r="I869" s="42" t="e">
        <f aca="false">#DIV/0!</f>
        <v>#DIV/0!</v>
      </c>
      <c r="J869" s="35" t="s">
        <v>580</v>
      </c>
      <c r="K869" s="36" t="n">
        <v>10000</v>
      </c>
      <c r="L869" s="36" t="n">
        <v>15000</v>
      </c>
      <c r="M869" s="37"/>
      <c r="N869" s="41" t="n">
        <v>15000</v>
      </c>
      <c r="O869" s="30" t="n">
        <v>15000</v>
      </c>
      <c r="P869" s="36" t="n">
        <v>0</v>
      </c>
      <c r="Q869" s="302" t="n">
        <v>45789</v>
      </c>
    </row>
    <row r="870" customFormat="false" ht="17.9" hidden="true" customHeight="false" outlineLevel="0" collapsed="false">
      <c r="A870" s="20" t="n">
        <v>3159</v>
      </c>
      <c r="B870" s="34" t="s">
        <v>984</v>
      </c>
      <c r="C870" s="34"/>
      <c r="D870" s="23"/>
      <c r="E870" s="25" t="n">
        <v>45768</v>
      </c>
      <c r="F870" s="25" t="n">
        <v>45789</v>
      </c>
      <c r="G870" s="26" t="n">
        <v>15</v>
      </c>
      <c r="H870" s="42" t="e">
        <f aca="false">#DIV/0!</f>
        <v>#DIV/0!</v>
      </c>
      <c r="I870" s="42" t="e">
        <f aca="false">#DIV/0!</f>
        <v>#DIV/0!</v>
      </c>
      <c r="J870" s="35" t="s">
        <v>580</v>
      </c>
      <c r="K870" s="36" t="n">
        <v>40000</v>
      </c>
      <c r="L870" s="36" t="n">
        <v>60000</v>
      </c>
      <c r="M870" s="37"/>
      <c r="N870" s="41" t="n">
        <v>60000</v>
      </c>
      <c r="O870" s="30" t="n">
        <v>60000</v>
      </c>
      <c r="P870" s="36" t="n">
        <v>0</v>
      </c>
      <c r="Q870" s="302" t="n">
        <v>45789</v>
      </c>
    </row>
    <row r="871" customFormat="false" ht="17.9" hidden="true" customHeight="false" outlineLevel="0" collapsed="false">
      <c r="A871" s="20" t="n">
        <v>3164</v>
      </c>
      <c r="B871" s="34" t="s">
        <v>984</v>
      </c>
      <c r="C871" s="34"/>
      <c r="D871" s="23"/>
      <c r="E871" s="25" t="n">
        <v>45771</v>
      </c>
      <c r="F871" s="25" t="n">
        <v>45792</v>
      </c>
      <c r="G871" s="26" t="n">
        <v>15</v>
      </c>
      <c r="H871" s="42" t="e">
        <f aca="false">#DIV/0!</f>
        <v>#DIV/0!</v>
      </c>
      <c r="I871" s="42" t="e">
        <f aca="false">#DIV/0!</f>
        <v>#DIV/0!</v>
      </c>
      <c r="J871" s="35" t="s">
        <v>580</v>
      </c>
      <c r="K871" s="36" t="n">
        <v>30000</v>
      </c>
      <c r="L871" s="36" t="n">
        <v>45000</v>
      </c>
      <c r="M871" s="37"/>
      <c r="N871" s="41" t="n">
        <v>45000</v>
      </c>
      <c r="O871" s="30" t="n">
        <v>45000</v>
      </c>
      <c r="P871" s="36" t="n">
        <v>0</v>
      </c>
      <c r="Q871" s="302" t="n">
        <v>45789</v>
      </c>
    </row>
    <row r="872" customFormat="false" ht="34.3" hidden="true" customHeight="false" outlineLevel="0" collapsed="false">
      <c r="A872" s="20" t="n">
        <v>2997</v>
      </c>
      <c r="B872" s="34" t="s">
        <v>593</v>
      </c>
      <c r="C872" s="34" t="s">
        <v>594</v>
      </c>
      <c r="D872" s="23"/>
      <c r="E872" s="25" t="n">
        <v>45667</v>
      </c>
      <c r="F872" s="25" t="n">
        <v>45779</v>
      </c>
      <c r="G872" s="26" t="n">
        <v>80</v>
      </c>
      <c r="H872" s="42" t="n">
        <v>80</v>
      </c>
      <c r="I872" s="42" t="n">
        <v>0</v>
      </c>
      <c r="J872" s="35" t="s">
        <v>1251</v>
      </c>
      <c r="K872" s="36" t="n">
        <v>60000</v>
      </c>
      <c r="L872" s="36" t="n">
        <v>158400</v>
      </c>
      <c r="M872" s="37" t="n">
        <v>9900</v>
      </c>
      <c r="N872" s="41" t="n">
        <v>49200</v>
      </c>
      <c r="O872" s="30" t="n">
        <v>158400</v>
      </c>
      <c r="P872" s="36" t="n">
        <v>0</v>
      </c>
      <c r="Q872" s="302" t="n">
        <v>45789</v>
      </c>
    </row>
    <row r="873" customFormat="false" ht="26.1" hidden="true" customHeight="false" outlineLevel="0" collapsed="false">
      <c r="A873" s="20" t="n">
        <v>3011</v>
      </c>
      <c r="B873" s="34" t="s">
        <v>628</v>
      </c>
      <c r="C873" s="34" t="s">
        <v>629</v>
      </c>
      <c r="D873" s="23"/>
      <c r="E873" s="25" t="n">
        <v>45677</v>
      </c>
      <c r="F873" s="25" t="n">
        <v>45777</v>
      </c>
      <c r="G873" s="26" t="n">
        <v>72</v>
      </c>
      <c r="H873" s="42" t="n">
        <v>72</v>
      </c>
      <c r="I873" s="42" t="n">
        <v>0</v>
      </c>
      <c r="J873" s="49" t="s">
        <v>245</v>
      </c>
      <c r="K873" s="36" t="n">
        <v>300000</v>
      </c>
      <c r="L873" s="36" t="n">
        <v>648000</v>
      </c>
      <c r="M873" s="37" t="n">
        <v>45000</v>
      </c>
      <c r="N873" s="30" t="n">
        <v>23000</v>
      </c>
      <c r="O873" s="30" t="n">
        <v>648000</v>
      </c>
      <c r="P873" s="31" t="n">
        <v>0</v>
      </c>
      <c r="Q873" s="302" t="n">
        <v>45789</v>
      </c>
    </row>
    <row r="874" customFormat="false" ht="34.3" hidden="true" customHeight="false" outlineLevel="0" collapsed="false">
      <c r="A874" s="20" t="n">
        <v>2846</v>
      </c>
      <c r="B874" s="34" t="s">
        <v>307</v>
      </c>
      <c r="C874" s="34" t="s">
        <v>308</v>
      </c>
      <c r="D874" s="23"/>
      <c r="E874" s="25" t="n">
        <v>45573</v>
      </c>
      <c r="F874" s="25" t="n">
        <v>45685</v>
      </c>
      <c r="G874" s="26" t="n">
        <v>80</v>
      </c>
      <c r="H874" s="42" t="n">
        <v>80</v>
      </c>
      <c r="I874" s="42" t="n">
        <v>0</v>
      </c>
      <c r="J874" s="35" t="s">
        <v>1252</v>
      </c>
      <c r="K874" s="31" t="n">
        <v>500000</v>
      </c>
      <c r="L874" s="31" t="n">
        <v>1080000</v>
      </c>
      <c r="M874" s="37" t="n">
        <v>67500</v>
      </c>
      <c r="N874" s="30" t="n">
        <v>70000</v>
      </c>
      <c r="O874" s="30" t="n">
        <v>1080000</v>
      </c>
      <c r="P874" s="31" t="n">
        <v>0</v>
      </c>
      <c r="Q874" s="302" t="n">
        <v>45796</v>
      </c>
    </row>
    <row r="875" customFormat="false" ht="26.1" hidden="true" customHeight="false" outlineLevel="0" collapsed="false">
      <c r="A875" s="20" t="n">
        <v>2931</v>
      </c>
      <c r="B875" s="34" t="s">
        <v>380</v>
      </c>
      <c r="C875" s="34" t="s">
        <v>292</v>
      </c>
      <c r="D875" s="23"/>
      <c r="E875" s="25" t="n">
        <v>45621</v>
      </c>
      <c r="F875" s="25" t="n">
        <v>45775</v>
      </c>
      <c r="G875" s="26" t="n">
        <v>110</v>
      </c>
      <c r="H875" s="42" t="n">
        <v>110</v>
      </c>
      <c r="I875" s="42" t="n">
        <v>0</v>
      </c>
      <c r="J875" s="49" t="s">
        <v>362</v>
      </c>
      <c r="K875" s="36" t="n">
        <v>100000</v>
      </c>
      <c r="L875" s="36" t="n">
        <v>264000</v>
      </c>
      <c r="M875" s="29" t="n">
        <v>12000</v>
      </c>
      <c r="N875" s="30" t="n">
        <v>12000</v>
      </c>
      <c r="O875" s="30" t="n">
        <v>264000</v>
      </c>
      <c r="P875" s="31" t="n">
        <v>0</v>
      </c>
      <c r="Q875" s="302" t="n">
        <v>45796</v>
      </c>
    </row>
    <row r="876" customFormat="false" ht="67.15" hidden="true" customHeight="false" outlineLevel="0" collapsed="false">
      <c r="A876" s="20" t="n">
        <v>3086</v>
      </c>
      <c r="B876" s="34" t="s">
        <v>466</v>
      </c>
      <c r="C876" s="34" t="s">
        <v>467</v>
      </c>
      <c r="D876" s="23"/>
      <c r="E876" s="25" t="n">
        <v>45716</v>
      </c>
      <c r="F876" s="25" t="n">
        <v>45818</v>
      </c>
      <c r="G876" s="26" t="n">
        <v>72</v>
      </c>
      <c r="H876" s="42" t="n">
        <v>72</v>
      </c>
      <c r="I876" s="42" t="n">
        <v>0</v>
      </c>
      <c r="J876" s="22" t="s">
        <v>381</v>
      </c>
      <c r="K876" s="31" t="n">
        <v>60000</v>
      </c>
      <c r="L876" s="31" t="n">
        <v>129600</v>
      </c>
      <c r="M876" s="29" t="n">
        <v>9000</v>
      </c>
      <c r="N876" s="30" t="n">
        <v>30600</v>
      </c>
      <c r="O876" s="30" t="n">
        <v>129600</v>
      </c>
      <c r="P876" s="31" t="n">
        <v>0</v>
      </c>
      <c r="Q876" s="302" t="n">
        <v>45796</v>
      </c>
    </row>
    <row r="877" customFormat="false" ht="14.25" hidden="true" customHeight="false" outlineLevel="0" collapsed="false">
      <c r="A877" s="20" t="n">
        <v>3162</v>
      </c>
      <c r="B877" s="34" t="s">
        <v>861</v>
      </c>
      <c r="C877" s="34"/>
      <c r="D877" s="23"/>
      <c r="E877" s="25" t="n">
        <v>45770</v>
      </c>
      <c r="F877" s="25" t="n">
        <v>45798</v>
      </c>
      <c r="G877" s="26" t="n">
        <v>20</v>
      </c>
      <c r="H877" s="42" t="e">
        <f aca="false">#DIV/0!</f>
        <v>#DIV/0!</v>
      </c>
      <c r="I877" s="42" t="e">
        <f aca="false">#DIV/0!</f>
        <v>#DIV/0!</v>
      </c>
      <c r="J877" s="35" t="s">
        <v>538</v>
      </c>
      <c r="K877" s="31" t="n">
        <v>30000</v>
      </c>
      <c r="L877" s="31" t="n">
        <v>45000</v>
      </c>
      <c r="M877" s="37"/>
      <c r="N877" s="30" t="n">
        <v>45000</v>
      </c>
      <c r="O877" s="30" t="n">
        <v>45000</v>
      </c>
      <c r="P877" s="36" t="n">
        <v>0</v>
      </c>
      <c r="Q877" s="302" t="n">
        <v>45796</v>
      </c>
    </row>
    <row r="878" customFormat="false" ht="17.9" hidden="true" customHeight="false" outlineLevel="0" collapsed="false">
      <c r="A878" s="20" t="n">
        <v>3153</v>
      </c>
      <c r="B878" s="34" t="s">
        <v>578</v>
      </c>
      <c r="C878" s="34" t="s">
        <v>579</v>
      </c>
      <c r="D878" s="23"/>
      <c r="E878" s="25" t="n">
        <v>45761</v>
      </c>
      <c r="F878" s="25" t="n">
        <v>45785</v>
      </c>
      <c r="G878" s="26" t="n">
        <v>18</v>
      </c>
      <c r="H878" s="42" t="e">
        <f aca="false">#DIV/0!</f>
        <v>#DIV/0!</v>
      </c>
      <c r="I878" s="42" t="e">
        <f aca="false">#DIV/0!</f>
        <v>#DIV/0!</v>
      </c>
      <c r="J878" s="35" t="s">
        <v>580</v>
      </c>
      <c r="K878" s="31" t="n">
        <v>250000</v>
      </c>
      <c r="L878" s="31" t="n">
        <v>350000</v>
      </c>
      <c r="M878" s="37"/>
      <c r="N878" s="30" t="n">
        <v>350000</v>
      </c>
      <c r="O878" s="30" t="n">
        <v>350000</v>
      </c>
      <c r="P878" s="36" t="n">
        <v>0</v>
      </c>
      <c r="Q878" s="302" t="n">
        <v>45796</v>
      </c>
    </row>
    <row r="879" customFormat="false" ht="26.1" hidden="true" customHeight="false" outlineLevel="0" collapsed="false">
      <c r="A879" s="20" t="n">
        <v>3113</v>
      </c>
      <c r="B879" s="34" t="s">
        <v>1225</v>
      </c>
      <c r="C879" s="34"/>
      <c r="D879" s="23"/>
      <c r="E879" s="25" t="n">
        <v>45734</v>
      </c>
      <c r="F879" s="25" t="n">
        <v>45832</v>
      </c>
      <c r="G879" s="26" t="n">
        <v>70</v>
      </c>
      <c r="H879" s="42" t="n">
        <v>70</v>
      </c>
      <c r="I879" s="42" t="n">
        <v>0</v>
      </c>
      <c r="J879" s="49" t="s">
        <v>1253</v>
      </c>
      <c r="K879" s="36" t="n">
        <v>50000</v>
      </c>
      <c r="L879" s="36" t="n">
        <v>108500</v>
      </c>
      <c r="M879" s="37" t="n">
        <v>7750</v>
      </c>
      <c r="N879" s="30" t="n">
        <v>46500</v>
      </c>
      <c r="O879" s="30" t="n">
        <v>108500</v>
      </c>
      <c r="P879" s="31" t="n">
        <v>0</v>
      </c>
      <c r="Q879" s="302" t="n">
        <v>45796</v>
      </c>
    </row>
    <row r="880" customFormat="false" ht="50.7" hidden="true" customHeight="false" outlineLevel="0" collapsed="false">
      <c r="A880" s="20" t="n">
        <v>3034</v>
      </c>
      <c r="B880" s="34" t="s">
        <v>960</v>
      </c>
      <c r="C880" s="34" t="s">
        <v>351</v>
      </c>
      <c r="D880" s="23"/>
      <c r="E880" s="25" t="n">
        <v>45688</v>
      </c>
      <c r="F880" s="25" t="n">
        <v>45800</v>
      </c>
      <c r="G880" s="26" t="n">
        <v>80</v>
      </c>
      <c r="H880" s="375" t="n">
        <v>80</v>
      </c>
      <c r="I880" s="375" t="n">
        <v>0</v>
      </c>
      <c r="J880" s="35" t="s">
        <v>1205</v>
      </c>
      <c r="K880" s="36" t="n">
        <v>400000</v>
      </c>
      <c r="L880" s="36" t="n">
        <v>864000</v>
      </c>
      <c r="M880" s="37" t="n">
        <v>54000</v>
      </c>
      <c r="N880" s="30" t="n">
        <v>216000</v>
      </c>
      <c r="O880" s="30" t="n">
        <v>864000</v>
      </c>
      <c r="P880" s="31" t="n">
        <v>0</v>
      </c>
      <c r="Q880" s="302" t="n">
        <v>45803</v>
      </c>
    </row>
    <row r="881" customFormat="false" ht="67.15" hidden="true" customHeight="false" outlineLevel="0" collapsed="false">
      <c r="A881" s="20" t="n">
        <v>3099</v>
      </c>
      <c r="B881" s="34" t="s">
        <v>466</v>
      </c>
      <c r="C881" s="34" t="s">
        <v>467</v>
      </c>
      <c r="D881" s="23"/>
      <c r="E881" s="25" t="n">
        <v>45726</v>
      </c>
      <c r="F881" s="25" t="n">
        <v>45826</v>
      </c>
      <c r="G881" s="26" t="n">
        <v>72</v>
      </c>
      <c r="H881" s="375" t="n">
        <v>72</v>
      </c>
      <c r="I881" s="375" t="n">
        <v>0</v>
      </c>
      <c r="J881" s="22" t="s">
        <v>381</v>
      </c>
      <c r="K881" s="376" t="n">
        <v>50000</v>
      </c>
      <c r="L881" s="36" t="n">
        <v>108000</v>
      </c>
      <c r="M881" s="29" t="n">
        <v>7500</v>
      </c>
      <c r="N881" s="30" t="n">
        <v>33000</v>
      </c>
      <c r="O881" s="30" t="n">
        <v>108000</v>
      </c>
      <c r="P881" s="36" t="n">
        <v>0</v>
      </c>
      <c r="Q881" s="302" t="n">
        <v>45803</v>
      </c>
    </row>
    <row r="882" customFormat="false" ht="34.3" hidden="true" customHeight="false" outlineLevel="0" collapsed="false">
      <c r="A882" s="20" t="n">
        <v>3220</v>
      </c>
      <c r="B882" s="34" t="s">
        <v>507</v>
      </c>
      <c r="C882" s="34" t="s">
        <v>508</v>
      </c>
      <c r="D882" s="23"/>
      <c r="E882" s="25" t="n">
        <v>45806</v>
      </c>
      <c r="F882" s="25" t="n">
        <v>45807</v>
      </c>
      <c r="G882" s="26" t="n">
        <v>1</v>
      </c>
      <c r="H882" s="375" t="e">
        <f aca="false">#DIV/0!</f>
        <v>#DIV/0!</v>
      </c>
      <c r="I882" s="375" t="e">
        <f aca="false">#DIV/0!</f>
        <v>#DIV/0!</v>
      </c>
      <c r="J882" s="35" t="s">
        <v>538</v>
      </c>
      <c r="K882" s="36" t="n">
        <v>100000</v>
      </c>
      <c r="L882" s="36" t="n">
        <v>120000</v>
      </c>
      <c r="M882" s="37"/>
      <c r="N882" s="30" t="n">
        <v>120000</v>
      </c>
      <c r="O882" s="30" t="n">
        <v>120000</v>
      </c>
      <c r="P882" s="36" t="n">
        <v>0</v>
      </c>
      <c r="Q882" s="302" t="n">
        <v>45803</v>
      </c>
    </row>
    <row r="883" customFormat="false" ht="26.1" hidden="true" customHeight="false" outlineLevel="0" collapsed="false">
      <c r="A883" s="20" t="n">
        <v>3103</v>
      </c>
      <c r="B883" s="34" t="s">
        <v>519</v>
      </c>
      <c r="C883" s="34" t="s">
        <v>520</v>
      </c>
      <c r="D883" s="23"/>
      <c r="E883" s="25" t="n">
        <v>45728</v>
      </c>
      <c r="F883" s="25" t="n">
        <v>45828</v>
      </c>
      <c r="G883" s="26" t="n">
        <v>72</v>
      </c>
      <c r="H883" s="375" t="n">
        <v>72</v>
      </c>
      <c r="I883" s="375" t="n">
        <v>0</v>
      </c>
      <c r="J883" s="22" t="s">
        <v>381</v>
      </c>
      <c r="K883" s="31" t="n">
        <v>50000</v>
      </c>
      <c r="L883" s="31" t="n">
        <v>108000</v>
      </c>
      <c r="M883" s="37" t="n">
        <v>7500</v>
      </c>
      <c r="N883" s="30" t="n">
        <v>55500</v>
      </c>
      <c r="O883" s="30" t="n">
        <v>108000</v>
      </c>
      <c r="P883" s="36" t="n">
        <v>0</v>
      </c>
      <c r="Q883" s="302" t="n">
        <v>45803</v>
      </c>
    </row>
    <row r="884" customFormat="false" ht="58.95" hidden="true" customHeight="false" outlineLevel="0" collapsed="false">
      <c r="A884" s="20" t="n">
        <v>2789</v>
      </c>
      <c r="B884" s="34" t="s">
        <v>584</v>
      </c>
      <c r="C884" s="34" t="s">
        <v>585</v>
      </c>
      <c r="D884" s="23"/>
      <c r="E884" s="25" t="n">
        <v>45537</v>
      </c>
      <c r="F884" s="25" t="n">
        <v>45705</v>
      </c>
      <c r="G884" s="26" t="n">
        <v>120</v>
      </c>
      <c r="H884" s="375" t="n">
        <v>120</v>
      </c>
      <c r="I884" s="375" t="n">
        <v>0</v>
      </c>
      <c r="J884" s="22" t="s">
        <v>1254</v>
      </c>
      <c r="K884" s="36" t="n">
        <v>600000</v>
      </c>
      <c r="L884" s="36" t="n">
        <v>1584000</v>
      </c>
      <c r="M884" s="37" t="n">
        <v>66000</v>
      </c>
      <c r="N884" s="30"/>
      <c r="O884" s="30" t="n">
        <v>1584000</v>
      </c>
      <c r="P884" s="31" t="n">
        <v>0</v>
      </c>
      <c r="Q884" s="302" t="n">
        <v>45803</v>
      </c>
    </row>
    <row r="885" customFormat="false" ht="42.5" hidden="true" customHeight="false" outlineLevel="0" collapsed="false">
      <c r="A885" s="20" t="n">
        <v>2852</v>
      </c>
      <c r="B885" s="34" t="s">
        <v>313</v>
      </c>
      <c r="C885" s="26" t="s">
        <v>314</v>
      </c>
      <c r="D885" s="34" t="n">
        <v>22375673</v>
      </c>
      <c r="E885" s="25" t="n">
        <v>45575</v>
      </c>
      <c r="F885" s="25" t="n">
        <v>45799</v>
      </c>
      <c r="G885" s="26" t="n">
        <v>160</v>
      </c>
      <c r="H885" s="375" t="n">
        <v>160</v>
      </c>
      <c r="I885" s="375" t="n">
        <v>0</v>
      </c>
      <c r="J885" s="35" t="s">
        <v>1255</v>
      </c>
      <c r="K885" s="36" t="n">
        <v>400000</v>
      </c>
      <c r="L885" s="36" t="n">
        <v>1200000</v>
      </c>
      <c r="M885" s="37" t="n">
        <v>37500</v>
      </c>
      <c r="N885" s="30" t="n">
        <v>150000</v>
      </c>
      <c r="O885" s="30" t="n">
        <v>1200000</v>
      </c>
      <c r="P885" s="31" t="n">
        <v>0</v>
      </c>
      <c r="Q885" s="302" t="n">
        <v>45810</v>
      </c>
    </row>
    <row r="886" customFormat="false" ht="17.9" hidden="true" customHeight="false" outlineLevel="0" collapsed="false">
      <c r="A886" s="20" t="n">
        <v>3170</v>
      </c>
      <c r="B886" s="34" t="s">
        <v>374</v>
      </c>
      <c r="C886" s="34"/>
      <c r="D886" s="34"/>
      <c r="E886" s="25" t="n">
        <v>45772</v>
      </c>
      <c r="F886" s="25" t="n">
        <v>45797</v>
      </c>
      <c r="G886" s="26" t="n">
        <v>17</v>
      </c>
      <c r="H886" s="375" t="e">
        <f aca="false">#DIV/0!</f>
        <v>#DIV/0!</v>
      </c>
      <c r="I886" s="375" t="e">
        <f aca="false">#DIV/0!</f>
        <v>#DIV/0!</v>
      </c>
      <c r="J886" s="35" t="s">
        <v>1256</v>
      </c>
      <c r="K886" s="36" t="n">
        <v>100000</v>
      </c>
      <c r="L886" s="36" t="n">
        <v>150000</v>
      </c>
      <c r="M886" s="29"/>
      <c r="N886" s="30" t="n">
        <v>150000</v>
      </c>
      <c r="O886" s="30" t="n">
        <v>150000</v>
      </c>
      <c r="P886" s="31" t="n">
        <v>0</v>
      </c>
      <c r="Q886" s="302" t="n">
        <v>45810</v>
      </c>
    </row>
    <row r="887" customFormat="false" ht="26.1" hidden="true" customHeight="false" outlineLevel="0" collapsed="false">
      <c r="A887" s="20" t="n">
        <v>3027</v>
      </c>
      <c r="B887" s="34" t="s">
        <v>380</v>
      </c>
      <c r="C887" s="34" t="s">
        <v>292</v>
      </c>
      <c r="D887" s="34"/>
      <c r="E887" s="25" t="n">
        <v>45684</v>
      </c>
      <c r="F887" s="25" t="n">
        <v>45784</v>
      </c>
      <c r="G887" s="26" t="n">
        <v>72</v>
      </c>
      <c r="H887" s="375" t="n">
        <v>72</v>
      </c>
      <c r="I887" s="375" t="n">
        <v>0</v>
      </c>
      <c r="J887" s="22" t="s">
        <v>266</v>
      </c>
      <c r="K887" s="36" t="n">
        <v>100000</v>
      </c>
      <c r="L887" s="36" t="n">
        <v>216000</v>
      </c>
      <c r="M887" s="29" t="n">
        <v>15000</v>
      </c>
      <c r="N887" s="30" t="n">
        <v>3600</v>
      </c>
      <c r="O887" s="30" t="n">
        <v>216000</v>
      </c>
      <c r="P887" s="31" t="n">
        <v>0</v>
      </c>
      <c r="Q887" s="302" t="n">
        <v>45810</v>
      </c>
    </row>
    <row r="888" customFormat="false" ht="37.3" hidden="true" customHeight="false" outlineLevel="0" collapsed="false">
      <c r="A888" s="20" t="n">
        <v>3222</v>
      </c>
      <c r="B888" s="22" t="s">
        <v>747</v>
      </c>
      <c r="C888" s="22" t="s">
        <v>750</v>
      </c>
      <c r="D888" s="22"/>
      <c r="E888" s="25" t="n">
        <v>45807</v>
      </c>
      <c r="F888" s="24" t="n">
        <v>45205</v>
      </c>
      <c r="G888" s="26" t="n">
        <v>5</v>
      </c>
      <c r="H888" s="73" t="e">
        <f aca="false">#VALUE!</f>
        <v>#VALUE!</v>
      </c>
      <c r="I888" s="73" t="e">
        <f aca="false">#VALUE!</f>
        <v>#VALUE!</v>
      </c>
      <c r="J888" s="38" t="s">
        <v>751</v>
      </c>
      <c r="K888" s="307" t="n">
        <v>100000</v>
      </c>
      <c r="L888" s="307" t="n">
        <v>130000</v>
      </c>
      <c r="M888" s="37"/>
      <c r="N888" s="30" t="n">
        <v>130000</v>
      </c>
      <c r="O888" s="30" t="n">
        <v>130000</v>
      </c>
      <c r="P888" s="31" t="n">
        <v>0</v>
      </c>
      <c r="Q888" s="302" t="n">
        <v>45810</v>
      </c>
    </row>
    <row r="889" customFormat="false" ht="50.7" hidden="true" customHeight="false" outlineLevel="0" collapsed="false">
      <c r="A889" s="20" t="n">
        <v>2946</v>
      </c>
      <c r="B889" s="34" t="s">
        <v>973</v>
      </c>
      <c r="C889" s="34" t="s">
        <v>974</v>
      </c>
      <c r="D889" s="34" t="n">
        <v>27242809519</v>
      </c>
      <c r="E889" s="25" t="n">
        <v>45633</v>
      </c>
      <c r="F889" s="25" t="n">
        <v>45744</v>
      </c>
      <c r="G889" s="26" t="n">
        <v>80</v>
      </c>
      <c r="H889" s="375" t="n">
        <v>84.4444444444444</v>
      </c>
      <c r="I889" s="375" t="n">
        <v>-4.44444444444444</v>
      </c>
      <c r="J889" s="35" t="s">
        <v>470</v>
      </c>
      <c r="K889" s="31" t="n">
        <v>50000</v>
      </c>
      <c r="L889" s="31" t="n">
        <v>108000</v>
      </c>
      <c r="M889" s="37" t="n">
        <v>6750</v>
      </c>
      <c r="N889" s="30" t="n">
        <v>60000</v>
      </c>
      <c r="O889" s="30" t="n">
        <v>114000</v>
      </c>
      <c r="P889" s="31" t="n">
        <v>-6000</v>
      </c>
      <c r="Q889" s="302" t="n">
        <v>45810</v>
      </c>
    </row>
    <row r="890" customFormat="false" ht="34.3" hidden="true" customHeight="false" outlineLevel="0" collapsed="false">
      <c r="A890" s="20" t="n">
        <v>2897</v>
      </c>
      <c r="B890" s="34" t="s">
        <v>507</v>
      </c>
      <c r="C890" s="34" t="s">
        <v>508</v>
      </c>
      <c r="D890" s="34"/>
      <c r="E890" s="25" t="n">
        <v>45593</v>
      </c>
      <c r="F890" s="25" t="n">
        <v>45733</v>
      </c>
      <c r="G890" s="26" t="n">
        <v>100</v>
      </c>
      <c r="H890" s="375" t="n">
        <v>100</v>
      </c>
      <c r="I890" s="375" t="n">
        <v>0</v>
      </c>
      <c r="J890" s="35" t="s">
        <v>1163</v>
      </c>
      <c r="K890" s="31" t="n">
        <v>100000</v>
      </c>
      <c r="L890" s="31" t="n">
        <v>216000</v>
      </c>
      <c r="M890" s="37" t="n">
        <v>10800</v>
      </c>
      <c r="N890" s="30" t="n">
        <v>21600</v>
      </c>
      <c r="O890" s="30" t="n">
        <v>216000</v>
      </c>
      <c r="P890" s="31" t="n">
        <v>0</v>
      </c>
      <c r="Q890" s="302" t="n">
        <v>45810</v>
      </c>
    </row>
    <row r="891" customFormat="false" ht="34.3" hidden="true" customHeight="false" outlineLevel="0" collapsed="false">
      <c r="A891" s="20" t="n">
        <v>2932</v>
      </c>
      <c r="B891" s="34" t="s">
        <v>507</v>
      </c>
      <c r="C891" s="34" t="s">
        <v>508</v>
      </c>
      <c r="D891" s="34"/>
      <c r="E891" s="25" t="n">
        <v>45623</v>
      </c>
      <c r="F891" s="25" t="n">
        <v>45763</v>
      </c>
      <c r="G891" s="26" t="n">
        <v>100</v>
      </c>
      <c r="H891" s="375" t="n">
        <v>100</v>
      </c>
      <c r="I891" s="375" t="n">
        <v>0</v>
      </c>
      <c r="J891" s="35" t="s">
        <v>1257</v>
      </c>
      <c r="K891" s="31" t="n">
        <v>150000</v>
      </c>
      <c r="L891" s="31" t="n">
        <v>324000</v>
      </c>
      <c r="M891" s="37" t="n">
        <v>16200</v>
      </c>
      <c r="N891" s="30" t="n">
        <v>64800</v>
      </c>
      <c r="O891" s="30" t="n">
        <v>324000</v>
      </c>
      <c r="P891" s="31" t="n">
        <v>0</v>
      </c>
      <c r="Q891" s="302" t="n">
        <v>45810</v>
      </c>
    </row>
    <row r="892" customFormat="false" ht="42.5" hidden="true" customHeight="false" outlineLevel="0" collapsed="false">
      <c r="A892" s="20" t="n">
        <v>2696</v>
      </c>
      <c r="B892" s="34" t="s">
        <v>887</v>
      </c>
      <c r="C892" s="34" t="s">
        <v>888</v>
      </c>
      <c r="D892" s="34" t="n">
        <v>24172612</v>
      </c>
      <c r="E892" s="25" t="n">
        <v>45479</v>
      </c>
      <c r="F892" s="25" t="n">
        <v>45580</v>
      </c>
      <c r="G892" s="26" t="n">
        <v>72</v>
      </c>
      <c r="H892" s="375" t="n">
        <v>72</v>
      </c>
      <c r="I892" s="375" t="n">
        <v>0</v>
      </c>
      <c r="J892" s="22" t="s">
        <v>381</v>
      </c>
      <c r="K892" s="36" t="n">
        <v>50000</v>
      </c>
      <c r="L892" s="36" t="n">
        <v>108000</v>
      </c>
      <c r="M892" s="37" t="n">
        <v>7500</v>
      </c>
      <c r="N892" s="30" t="n">
        <v>6000</v>
      </c>
      <c r="O892" s="30" t="n">
        <v>108000</v>
      </c>
      <c r="P892" s="36" t="n">
        <v>0</v>
      </c>
      <c r="Q892" s="302" t="n">
        <v>45810</v>
      </c>
    </row>
    <row r="893" customFormat="false" ht="28.35" hidden="true" customHeight="false" outlineLevel="0" collapsed="false">
      <c r="A893" s="20" t="n">
        <v>3051</v>
      </c>
      <c r="B893" s="21" t="s">
        <v>218</v>
      </c>
      <c r="C893" s="21" t="s">
        <v>219</v>
      </c>
      <c r="D893" s="34"/>
      <c r="E893" s="25" t="n">
        <v>45699</v>
      </c>
      <c r="F893" s="25" t="n">
        <v>45811</v>
      </c>
      <c r="G893" s="26" t="n">
        <v>80</v>
      </c>
      <c r="H893" s="42" t="n">
        <v>80</v>
      </c>
      <c r="I893" s="42" t="n">
        <v>0</v>
      </c>
      <c r="J893" s="35" t="s">
        <v>1258</v>
      </c>
      <c r="K893" s="31" t="n">
        <v>100000</v>
      </c>
      <c r="L893" s="31" t="n">
        <v>216000</v>
      </c>
      <c r="M893" s="37" t="n">
        <v>13500</v>
      </c>
      <c r="N893" s="30" t="n">
        <v>54000</v>
      </c>
      <c r="O893" s="30" t="n">
        <v>216000</v>
      </c>
      <c r="P893" s="31" t="n">
        <v>0</v>
      </c>
      <c r="Q893" s="302" t="n">
        <v>45817</v>
      </c>
    </row>
    <row r="894" customFormat="false" ht="21.6" hidden="true" customHeight="false" outlineLevel="0" collapsed="false">
      <c r="A894" s="20" t="n">
        <v>2998</v>
      </c>
      <c r="B894" s="21" t="s">
        <v>811</v>
      </c>
      <c r="C894" s="21" t="s">
        <v>486</v>
      </c>
      <c r="D894" s="34"/>
      <c r="E894" s="25" t="n">
        <v>45668</v>
      </c>
      <c r="F894" s="25" t="n">
        <v>45779</v>
      </c>
      <c r="G894" s="26" t="n">
        <v>80</v>
      </c>
      <c r="H894" s="42" t="n">
        <v>80</v>
      </c>
      <c r="I894" s="42" t="n">
        <v>0</v>
      </c>
      <c r="J894" s="35" t="s">
        <v>1259</v>
      </c>
      <c r="K894" s="36" t="n">
        <v>80000</v>
      </c>
      <c r="L894" s="36" t="n">
        <v>172800</v>
      </c>
      <c r="M894" s="37" t="n">
        <v>10800</v>
      </c>
      <c r="N894" s="30" t="n">
        <v>43200</v>
      </c>
      <c r="O894" s="30" t="n">
        <v>172800</v>
      </c>
      <c r="P894" s="31" t="n">
        <v>0</v>
      </c>
      <c r="Q894" s="302" t="n">
        <v>45817</v>
      </c>
    </row>
    <row r="895" customFormat="false" ht="28.35" hidden="true" customHeight="false" outlineLevel="0" collapsed="false">
      <c r="A895" s="20" t="n">
        <v>3053</v>
      </c>
      <c r="B895" s="21" t="s">
        <v>323</v>
      </c>
      <c r="C895" s="21" t="s">
        <v>324</v>
      </c>
      <c r="D895" s="34" t="n">
        <v>14154231</v>
      </c>
      <c r="E895" s="25" t="n">
        <v>45699</v>
      </c>
      <c r="F895" s="25" t="n">
        <v>45811</v>
      </c>
      <c r="G895" s="26" t="n">
        <v>80</v>
      </c>
      <c r="H895" s="375" t="n">
        <v>80</v>
      </c>
      <c r="I895" s="375" t="n">
        <v>0</v>
      </c>
      <c r="J895" s="35" t="s">
        <v>325</v>
      </c>
      <c r="K895" s="36" t="n">
        <v>300000</v>
      </c>
      <c r="L895" s="36" t="n">
        <v>648000</v>
      </c>
      <c r="M895" s="37" t="n">
        <v>40500</v>
      </c>
      <c r="N895" s="30" t="n">
        <v>92000</v>
      </c>
      <c r="O895" s="30" t="n">
        <v>648000</v>
      </c>
      <c r="P895" s="31" t="n">
        <v>0</v>
      </c>
      <c r="Q895" s="302" t="n">
        <v>45817</v>
      </c>
    </row>
    <row r="896" customFormat="false" ht="28.35" hidden="true" customHeight="false" outlineLevel="0" collapsed="false">
      <c r="A896" s="20" t="n">
        <v>3177</v>
      </c>
      <c r="B896" s="21" t="s">
        <v>396</v>
      </c>
      <c r="C896" s="21" t="s">
        <v>397</v>
      </c>
      <c r="D896" s="34"/>
      <c r="E896" s="25" t="n">
        <v>45777</v>
      </c>
      <c r="F896" s="25" t="n">
        <v>45805</v>
      </c>
      <c r="G896" s="26" t="n">
        <v>20</v>
      </c>
      <c r="H896" s="375" t="e">
        <f aca="false">#DIV/0!</f>
        <v>#DIV/0!</v>
      </c>
      <c r="I896" s="375" t="e">
        <f aca="false">#DIV/0!</f>
        <v>#DIV/0!</v>
      </c>
      <c r="J896" s="35" t="s">
        <v>490</v>
      </c>
      <c r="K896" s="36" t="n">
        <v>100000</v>
      </c>
      <c r="L896" s="36" t="n">
        <v>150000</v>
      </c>
      <c r="M896" s="29"/>
      <c r="N896" s="30" t="n">
        <v>75000</v>
      </c>
      <c r="O896" s="30" t="n">
        <v>150000</v>
      </c>
      <c r="P896" s="31" t="n">
        <v>0</v>
      </c>
      <c r="Q896" s="302" t="n">
        <v>45817</v>
      </c>
    </row>
    <row r="897" customFormat="false" ht="28.35" hidden="true" customHeight="false" outlineLevel="0" collapsed="false">
      <c r="A897" s="20" t="n">
        <v>2758</v>
      </c>
      <c r="B897" s="21" t="s">
        <v>407</v>
      </c>
      <c r="C897" s="21" t="s">
        <v>397</v>
      </c>
      <c r="D897" s="34"/>
      <c r="E897" s="25" t="n">
        <v>45518</v>
      </c>
      <c r="F897" s="25" t="n">
        <v>45616</v>
      </c>
      <c r="G897" s="26" t="n">
        <v>70</v>
      </c>
      <c r="H897" s="375" t="n">
        <v>70</v>
      </c>
      <c r="I897" s="375" t="n">
        <v>0</v>
      </c>
      <c r="J897" s="49" t="s">
        <v>1208</v>
      </c>
      <c r="K897" s="36" t="n">
        <v>50000</v>
      </c>
      <c r="L897" s="36" t="n">
        <v>125000</v>
      </c>
      <c r="M897" s="29" t="n">
        <v>8928.57142857143</v>
      </c>
      <c r="N897" s="30" t="n">
        <v>30000</v>
      </c>
      <c r="O897" s="30" t="n">
        <v>125000</v>
      </c>
      <c r="P897" s="31" t="n">
        <v>0</v>
      </c>
      <c r="Q897" s="302" t="n">
        <v>45817</v>
      </c>
    </row>
    <row r="898" customFormat="false" ht="19.4" hidden="true" customHeight="false" outlineLevel="0" collapsed="false">
      <c r="A898" s="20" t="n">
        <v>3193</v>
      </c>
      <c r="B898" s="21" t="s">
        <v>1106</v>
      </c>
      <c r="C898" s="21" t="s">
        <v>489</v>
      </c>
      <c r="D898" s="34"/>
      <c r="E898" s="25" t="n">
        <v>45791</v>
      </c>
      <c r="F898" s="25" t="n">
        <v>45819</v>
      </c>
      <c r="G898" s="26" t="n">
        <v>20</v>
      </c>
      <c r="H898" s="375" t="e">
        <f aca="false">#DIV/0!</f>
        <v>#DIV/0!</v>
      </c>
      <c r="I898" s="375" t="e">
        <f aca="false">#DIV/0!</f>
        <v>#DIV/0!</v>
      </c>
      <c r="J898" s="35" t="s">
        <v>490</v>
      </c>
      <c r="K898" s="36" t="n">
        <v>45000</v>
      </c>
      <c r="L898" s="36" t="n">
        <v>67500</v>
      </c>
      <c r="M898" s="29"/>
      <c r="N898" s="30" t="n">
        <v>17500</v>
      </c>
      <c r="O898" s="30" t="n">
        <v>67500</v>
      </c>
      <c r="P898" s="36" t="n">
        <v>0</v>
      </c>
      <c r="Q898" s="302" t="n">
        <v>45817</v>
      </c>
    </row>
    <row r="899" customFormat="false" ht="14.25" hidden="true" customHeight="false" outlineLevel="0" collapsed="false">
      <c r="A899" s="20" t="n">
        <v>3196</v>
      </c>
      <c r="B899" s="21" t="s">
        <v>861</v>
      </c>
      <c r="C899" s="21"/>
      <c r="D899" s="34"/>
      <c r="E899" s="25" t="n">
        <v>45792</v>
      </c>
      <c r="F899" s="25" t="n">
        <v>45820</v>
      </c>
      <c r="G899" s="26" t="n">
        <v>20</v>
      </c>
      <c r="H899" s="375" t="e">
        <f aca="false">#DIV/0!</f>
        <v>#DIV/0!</v>
      </c>
      <c r="I899" s="375" t="e">
        <f aca="false">#DIV/0!</f>
        <v>#DIV/0!</v>
      </c>
      <c r="J899" s="35" t="s">
        <v>538</v>
      </c>
      <c r="K899" s="36" t="n">
        <v>70000</v>
      </c>
      <c r="L899" s="36" t="n">
        <v>105000</v>
      </c>
      <c r="M899" s="37"/>
      <c r="N899" s="30" t="n">
        <v>105000</v>
      </c>
      <c r="O899" s="30" t="n">
        <v>105000</v>
      </c>
      <c r="P899" s="36" t="n">
        <v>0</v>
      </c>
      <c r="Q899" s="302" t="n">
        <v>45817</v>
      </c>
    </row>
    <row r="900" customFormat="false" ht="14.25" hidden="true" customHeight="false" outlineLevel="0" collapsed="false">
      <c r="A900" s="20" t="n">
        <v>3204</v>
      </c>
      <c r="B900" s="21" t="s">
        <v>861</v>
      </c>
      <c r="C900" s="21"/>
      <c r="D900" s="34"/>
      <c r="E900" s="25" t="n">
        <v>45797</v>
      </c>
      <c r="F900" s="25" t="n">
        <v>45825</v>
      </c>
      <c r="G900" s="26" t="n">
        <v>20</v>
      </c>
      <c r="H900" s="375" t="e">
        <f aca="false">#DIV/0!</f>
        <v>#DIV/0!</v>
      </c>
      <c r="I900" s="375" t="e">
        <f aca="false">#DIV/0!</f>
        <v>#DIV/0!</v>
      </c>
      <c r="J900" s="35" t="s">
        <v>538</v>
      </c>
      <c r="K900" s="36" t="n">
        <v>45000</v>
      </c>
      <c r="L900" s="36" t="n">
        <v>72000</v>
      </c>
      <c r="M900" s="37"/>
      <c r="N900" s="30" t="n">
        <v>72000</v>
      </c>
      <c r="O900" s="30" t="n">
        <v>72000</v>
      </c>
      <c r="P900" s="36" t="n">
        <v>0</v>
      </c>
      <c r="Q900" s="302" t="n">
        <v>45817</v>
      </c>
    </row>
    <row r="901" customFormat="false" ht="28.35" hidden="true" customHeight="false" outlineLevel="0" collapsed="false">
      <c r="A901" s="20" t="n">
        <v>2919</v>
      </c>
      <c r="B901" s="21" t="s">
        <v>779</v>
      </c>
      <c r="C901" s="21"/>
      <c r="D901" s="34"/>
      <c r="E901" s="25" t="n">
        <v>45616</v>
      </c>
      <c r="F901" s="25" t="n">
        <v>45784</v>
      </c>
      <c r="G901" s="26" t="n">
        <v>120</v>
      </c>
      <c r="H901" s="375" t="n">
        <v>120</v>
      </c>
      <c r="I901" s="375" t="n">
        <v>0</v>
      </c>
      <c r="J901" s="35" t="s">
        <v>418</v>
      </c>
      <c r="K901" s="31" t="n">
        <v>100000</v>
      </c>
      <c r="L901" s="31" t="n">
        <v>264000</v>
      </c>
      <c r="M901" s="37" t="n">
        <v>11000</v>
      </c>
      <c r="N901" s="30" t="n">
        <v>44000</v>
      </c>
      <c r="O901" s="30" t="n">
        <v>264000</v>
      </c>
      <c r="P901" s="36" t="n">
        <v>0</v>
      </c>
      <c r="Q901" s="302" t="n">
        <v>45817</v>
      </c>
    </row>
    <row r="902" customFormat="false" ht="14.9" hidden="true" customHeight="false" outlineLevel="0" collapsed="false">
      <c r="A902" s="20" t="n">
        <v>2735</v>
      </c>
      <c r="B902" s="21" t="s">
        <v>510</v>
      </c>
      <c r="C902" s="21"/>
      <c r="D902" s="34"/>
      <c r="E902" s="25" t="n">
        <v>45502</v>
      </c>
      <c r="F902" s="25" t="n">
        <v>45782</v>
      </c>
      <c r="G902" s="26" t="n">
        <v>200</v>
      </c>
      <c r="H902" s="375" t="n">
        <v>200</v>
      </c>
      <c r="I902" s="375" t="n">
        <v>0</v>
      </c>
      <c r="J902" s="35" t="s">
        <v>1168</v>
      </c>
      <c r="K902" s="31" t="n">
        <v>100000</v>
      </c>
      <c r="L902" s="31" t="n">
        <v>308000</v>
      </c>
      <c r="M902" s="37" t="n">
        <v>7700</v>
      </c>
      <c r="N902" s="30" t="n">
        <v>30800</v>
      </c>
      <c r="O902" s="30" t="n">
        <v>308000</v>
      </c>
      <c r="P902" s="36" t="n">
        <v>0</v>
      </c>
      <c r="Q902" s="302" t="n">
        <v>45817</v>
      </c>
    </row>
    <row r="903" customFormat="false" ht="14.9" hidden="true" customHeight="false" outlineLevel="0" collapsed="false">
      <c r="A903" s="20" t="n">
        <v>3029</v>
      </c>
      <c r="B903" s="21" t="s">
        <v>510</v>
      </c>
      <c r="C903" s="21"/>
      <c r="D903" s="34"/>
      <c r="E903" s="25" t="n">
        <v>45684</v>
      </c>
      <c r="F903" s="25" t="n">
        <v>45796</v>
      </c>
      <c r="G903" s="26" t="n">
        <v>80</v>
      </c>
      <c r="H903" s="375" t="n">
        <v>80</v>
      </c>
      <c r="I903" s="375" t="n">
        <v>0</v>
      </c>
      <c r="J903" s="35" t="s">
        <v>1260</v>
      </c>
      <c r="K903" s="36" t="n">
        <v>150000</v>
      </c>
      <c r="L903" s="36" t="n">
        <v>324000</v>
      </c>
      <c r="M903" s="37" t="n">
        <v>20250</v>
      </c>
      <c r="N903" s="30" t="n">
        <v>81000</v>
      </c>
      <c r="O903" s="30" t="n">
        <v>324000</v>
      </c>
      <c r="P903" s="36" t="n">
        <v>0</v>
      </c>
      <c r="Q903" s="302" t="n">
        <v>45817</v>
      </c>
    </row>
    <row r="904" customFormat="false" ht="14.25" hidden="true" customHeight="false" outlineLevel="0" collapsed="false">
      <c r="A904" s="20" t="n">
        <v>3198</v>
      </c>
      <c r="B904" s="21" t="s">
        <v>984</v>
      </c>
      <c r="C904" s="21"/>
      <c r="D904" s="34"/>
      <c r="E904" s="25" t="n">
        <v>45793</v>
      </c>
      <c r="F904" s="25" t="n">
        <v>45814</v>
      </c>
      <c r="G904" s="26" t="n">
        <v>15</v>
      </c>
      <c r="H904" s="375" t="e">
        <f aca="false">#DIV/0!</f>
        <v>#DIV/0!</v>
      </c>
      <c r="I904" s="375" t="e">
        <f aca="false">#DIV/0!</f>
        <v>#DIV/0!</v>
      </c>
      <c r="J904" s="35" t="s">
        <v>580</v>
      </c>
      <c r="K904" s="36" t="n">
        <v>40000</v>
      </c>
      <c r="L904" s="36" t="n">
        <v>60000</v>
      </c>
      <c r="M904" s="37"/>
      <c r="N904" s="30" t="n">
        <v>60000</v>
      </c>
      <c r="O904" s="30" t="n">
        <v>60000</v>
      </c>
      <c r="P904" s="36" t="n">
        <v>0</v>
      </c>
      <c r="Q904" s="302" t="n">
        <v>45817</v>
      </c>
    </row>
    <row r="905" customFormat="false" ht="14.25" hidden="true" customHeight="false" outlineLevel="0" collapsed="false">
      <c r="A905" s="20" t="n">
        <v>3202</v>
      </c>
      <c r="B905" s="21" t="s">
        <v>984</v>
      </c>
      <c r="C905" s="21"/>
      <c r="D905" s="34"/>
      <c r="E905" s="25" t="n">
        <v>45794</v>
      </c>
      <c r="F905" s="25" t="n">
        <v>45814</v>
      </c>
      <c r="G905" s="26" t="n">
        <v>15</v>
      </c>
      <c r="H905" s="375" t="e">
        <f aca="false">#DIV/0!</f>
        <v>#DIV/0!</v>
      </c>
      <c r="I905" s="375" t="e">
        <f aca="false">#DIV/0!</f>
        <v>#DIV/0!</v>
      </c>
      <c r="J905" s="35" t="s">
        <v>580</v>
      </c>
      <c r="K905" s="36" t="n">
        <v>40000</v>
      </c>
      <c r="L905" s="36" t="n">
        <v>60000</v>
      </c>
      <c r="M905" s="37"/>
      <c r="N905" s="30" t="n">
        <v>60000</v>
      </c>
      <c r="O905" s="30" t="n">
        <v>60000</v>
      </c>
      <c r="P905" s="36" t="n">
        <v>0</v>
      </c>
      <c r="Q905" s="302" t="n">
        <v>45817</v>
      </c>
    </row>
    <row r="906" customFormat="false" ht="14.25" hidden="true" customHeight="false" outlineLevel="0" collapsed="false">
      <c r="A906" s="20" t="n">
        <v>3207</v>
      </c>
      <c r="B906" s="21" t="s">
        <v>984</v>
      </c>
      <c r="C906" s="21"/>
      <c r="D906" s="34"/>
      <c r="E906" s="25" t="n">
        <v>45793</v>
      </c>
      <c r="F906" s="25" t="n">
        <v>45814</v>
      </c>
      <c r="G906" s="26" t="n">
        <v>15</v>
      </c>
      <c r="H906" s="375" t="e">
        <f aca="false">#DIV/0!</f>
        <v>#DIV/0!</v>
      </c>
      <c r="I906" s="375" t="e">
        <f aca="false">#DIV/0!</f>
        <v>#DIV/0!</v>
      </c>
      <c r="J906" s="35" t="s">
        <v>580</v>
      </c>
      <c r="K906" s="31" t="n">
        <v>25000</v>
      </c>
      <c r="L906" s="31" t="n">
        <v>37500</v>
      </c>
      <c r="M906" s="37"/>
      <c r="N906" s="30" t="n">
        <v>37500</v>
      </c>
      <c r="O906" s="30" t="n">
        <v>37500</v>
      </c>
      <c r="P906" s="36" t="n">
        <v>0</v>
      </c>
      <c r="Q906" s="302" t="n">
        <v>45817</v>
      </c>
    </row>
    <row r="907" customFormat="false" ht="14.25" hidden="true" customHeight="false" outlineLevel="0" collapsed="false">
      <c r="A907" s="20" t="n">
        <v>3223</v>
      </c>
      <c r="B907" s="21" t="s">
        <v>984</v>
      </c>
      <c r="C907" s="21"/>
      <c r="D907" s="34"/>
      <c r="E907" s="25" t="n">
        <v>45807</v>
      </c>
      <c r="F907" s="25" t="n">
        <v>45828</v>
      </c>
      <c r="G907" s="26" t="n">
        <v>15</v>
      </c>
      <c r="H907" s="375" t="e">
        <f aca="false">#DIV/0!</f>
        <v>#DIV/0!</v>
      </c>
      <c r="I907" s="375" t="e">
        <f aca="false">#DIV/0!</f>
        <v>#DIV/0!</v>
      </c>
      <c r="J907" s="35" t="s">
        <v>580</v>
      </c>
      <c r="K907" s="36" t="n">
        <v>20000</v>
      </c>
      <c r="L907" s="36" t="n">
        <v>30000</v>
      </c>
      <c r="M907" s="29"/>
      <c r="N907" s="30" t="n">
        <v>30000</v>
      </c>
      <c r="O907" s="30" t="n">
        <v>30000</v>
      </c>
      <c r="P907" s="36" t="n">
        <v>0</v>
      </c>
      <c r="Q907" s="302" t="n">
        <v>45817</v>
      </c>
    </row>
    <row r="908" customFormat="false" ht="28.35" hidden="true" customHeight="false" outlineLevel="0" collapsed="false">
      <c r="A908" s="20" t="n">
        <v>3083</v>
      </c>
      <c r="B908" s="21" t="s">
        <v>574</v>
      </c>
      <c r="C908" s="21" t="s">
        <v>575</v>
      </c>
      <c r="D908" s="34"/>
      <c r="E908" s="25" t="n">
        <v>45714</v>
      </c>
      <c r="F908" s="25" t="n">
        <v>45814</v>
      </c>
      <c r="G908" s="26" t="n">
        <v>72</v>
      </c>
      <c r="H908" s="375" t="n">
        <v>72</v>
      </c>
      <c r="I908" s="375" t="n">
        <v>0</v>
      </c>
      <c r="J908" s="22" t="s">
        <v>381</v>
      </c>
      <c r="K908" s="31" t="n">
        <v>50000</v>
      </c>
      <c r="L908" s="31" t="n">
        <v>108000</v>
      </c>
      <c r="M908" s="37" t="n">
        <v>7500</v>
      </c>
      <c r="N908" s="30" t="n">
        <v>3000</v>
      </c>
      <c r="O908" s="30" t="n">
        <v>108000</v>
      </c>
      <c r="P908" s="36" t="n">
        <v>0</v>
      </c>
      <c r="Q908" s="302" t="n">
        <v>45817</v>
      </c>
    </row>
    <row r="909" customFormat="false" ht="21.6" hidden="true" customHeight="false" outlineLevel="0" collapsed="false">
      <c r="A909" s="20" t="n">
        <v>3026</v>
      </c>
      <c r="B909" s="21" t="s">
        <v>249</v>
      </c>
      <c r="C909" s="21" t="s">
        <v>250</v>
      </c>
      <c r="D909" s="34" t="n">
        <v>27252034574</v>
      </c>
      <c r="E909" s="25" t="n">
        <v>45684</v>
      </c>
      <c r="F909" s="25" t="n">
        <v>45784</v>
      </c>
      <c r="G909" s="26" t="n">
        <v>72</v>
      </c>
      <c r="H909" s="320" t="n">
        <v>72</v>
      </c>
      <c r="I909" s="320" t="n">
        <v>0</v>
      </c>
      <c r="J909" s="22" t="s">
        <v>266</v>
      </c>
      <c r="K909" s="31" t="n">
        <v>100000</v>
      </c>
      <c r="L909" s="31" t="n">
        <v>216000</v>
      </c>
      <c r="M909" s="37" t="n">
        <v>15000</v>
      </c>
      <c r="N909" s="30" t="n">
        <v>1000</v>
      </c>
      <c r="O909" s="30" t="n">
        <v>216000</v>
      </c>
      <c r="P909" s="31" t="n">
        <v>0</v>
      </c>
      <c r="Q909" s="302" t="n">
        <v>45824</v>
      </c>
    </row>
    <row r="910" customFormat="false" ht="14.9" hidden="true" customHeight="false" outlineLevel="0" collapsed="false">
      <c r="A910" s="20" t="n">
        <v>3062</v>
      </c>
      <c r="B910" s="21" t="s">
        <v>1200</v>
      </c>
      <c r="C910" s="21" t="s">
        <v>292</v>
      </c>
      <c r="D910" s="34"/>
      <c r="E910" s="25" t="n">
        <v>45703</v>
      </c>
      <c r="F910" s="25" t="n">
        <v>45804</v>
      </c>
      <c r="G910" s="26" t="n">
        <v>72</v>
      </c>
      <c r="H910" s="320" t="n">
        <v>72</v>
      </c>
      <c r="I910" s="320" t="n">
        <v>0</v>
      </c>
      <c r="J910" s="22" t="s">
        <v>266</v>
      </c>
      <c r="K910" s="36" t="n">
        <v>100000</v>
      </c>
      <c r="L910" s="36" t="n">
        <v>216000</v>
      </c>
      <c r="M910" s="37" t="n">
        <v>15000</v>
      </c>
      <c r="N910" s="30" t="n">
        <v>6000</v>
      </c>
      <c r="O910" s="30" t="n">
        <v>216000</v>
      </c>
      <c r="P910" s="31" t="n">
        <v>0</v>
      </c>
      <c r="Q910" s="302" t="n">
        <v>45824</v>
      </c>
    </row>
    <row r="911" customFormat="false" ht="37.3" hidden="true" customHeight="false" outlineLevel="0" collapsed="false">
      <c r="A911" s="20" t="n">
        <v>3238</v>
      </c>
      <c r="B911" s="22" t="s">
        <v>747</v>
      </c>
      <c r="C911" s="22" t="s">
        <v>750</v>
      </c>
      <c r="D911" s="22"/>
      <c r="E911" s="25" t="n">
        <v>45912</v>
      </c>
      <c r="F911" s="25" t="n">
        <v>45919</v>
      </c>
      <c r="G911" s="26" t="n">
        <v>5</v>
      </c>
      <c r="H911" s="377" t="e">
        <f aca="false">#VALUE!</f>
        <v>#VALUE!</v>
      </c>
      <c r="I911" s="377" t="e">
        <f aca="false">#VALUE!</f>
        <v>#VALUE!</v>
      </c>
      <c r="J911" s="52" t="s">
        <v>751</v>
      </c>
      <c r="K911" s="307" t="n">
        <v>150000</v>
      </c>
      <c r="L911" s="307" t="n">
        <v>195000</v>
      </c>
      <c r="M911" s="29"/>
      <c r="N911" s="30" t="n">
        <v>195000</v>
      </c>
      <c r="O911" s="30" t="n">
        <v>195000</v>
      </c>
      <c r="P911" s="31" t="n">
        <v>0</v>
      </c>
      <c r="Q911" s="302" t="n">
        <v>45824</v>
      </c>
    </row>
    <row r="912" customFormat="false" ht="14.9" hidden="true" customHeight="false" outlineLevel="0" collapsed="false">
      <c r="A912" s="20" t="n">
        <v>3025</v>
      </c>
      <c r="B912" s="21" t="s">
        <v>480</v>
      </c>
      <c r="C912" s="21" t="s">
        <v>958</v>
      </c>
      <c r="D912" s="25" t="s">
        <v>214</v>
      </c>
      <c r="E912" s="25" t="n">
        <v>45684</v>
      </c>
      <c r="F912" s="25" t="n">
        <v>45784</v>
      </c>
      <c r="G912" s="26" t="n">
        <v>72</v>
      </c>
      <c r="H912" s="320" t="n">
        <v>72</v>
      </c>
      <c r="I912" s="320" t="n">
        <v>0</v>
      </c>
      <c r="J912" s="22" t="s">
        <v>266</v>
      </c>
      <c r="K912" s="36" t="n">
        <v>100000</v>
      </c>
      <c r="L912" s="36" t="n">
        <v>216000</v>
      </c>
      <c r="M912" s="29" t="n">
        <v>15000</v>
      </c>
      <c r="N912" s="30" t="n">
        <v>22000</v>
      </c>
      <c r="O912" s="30" t="n">
        <v>216000</v>
      </c>
      <c r="P912" s="31" t="n">
        <v>0</v>
      </c>
      <c r="Q912" s="302" t="n">
        <v>45824</v>
      </c>
    </row>
    <row r="913" customFormat="false" ht="14.9" hidden="true" customHeight="false" outlineLevel="0" collapsed="false">
      <c r="A913" s="20" t="n">
        <v>3203</v>
      </c>
      <c r="B913" s="21" t="s">
        <v>578</v>
      </c>
      <c r="C913" s="21" t="s">
        <v>579</v>
      </c>
      <c r="D913" s="34"/>
      <c r="E913" s="25" t="n">
        <v>45796</v>
      </c>
      <c r="F913" s="25" t="n">
        <v>45820</v>
      </c>
      <c r="G913" s="26" t="n">
        <v>18</v>
      </c>
      <c r="H913" s="320" t="e">
        <f aca="false">#DIV/0!</f>
        <v>#DIV/0!</v>
      </c>
      <c r="I913" s="320" t="e">
        <f aca="false">#DIV/0!</f>
        <v>#DIV/0!</v>
      </c>
      <c r="J913" s="35" t="s">
        <v>580</v>
      </c>
      <c r="K913" s="57" t="n">
        <v>250000</v>
      </c>
      <c r="L913" s="36" t="n">
        <v>350000</v>
      </c>
      <c r="M913" s="37"/>
      <c r="N913" s="30" t="n">
        <v>350000</v>
      </c>
      <c r="O913" s="30" t="n">
        <v>350000</v>
      </c>
      <c r="P913" s="36" t="n">
        <v>0</v>
      </c>
      <c r="Q913" s="302" t="n">
        <v>45824</v>
      </c>
    </row>
    <row r="914" customFormat="false" ht="14.9" hidden="true" customHeight="false" outlineLevel="0" collapsed="false">
      <c r="A914" s="20" t="n">
        <v>2963</v>
      </c>
      <c r="B914" s="21" t="s">
        <v>236</v>
      </c>
      <c r="C914" s="21" t="s">
        <v>237</v>
      </c>
      <c r="D914" s="34"/>
      <c r="E914" s="25" t="n">
        <v>45647</v>
      </c>
      <c r="F914" s="25" t="n">
        <v>45800</v>
      </c>
      <c r="G914" s="26" t="n">
        <v>110</v>
      </c>
      <c r="H914" s="320" t="n">
        <v>112.5</v>
      </c>
      <c r="I914" s="320" t="n">
        <v>-2.5</v>
      </c>
      <c r="J914" s="22" t="s">
        <v>446</v>
      </c>
      <c r="K914" s="36" t="n">
        <v>300000</v>
      </c>
      <c r="L914" s="36" t="n">
        <v>792000</v>
      </c>
      <c r="M914" s="37" t="n">
        <v>36000</v>
      </c>
      <c r="N914" s="30" t="n">
        <v>120000</v>
      </c>
      <c r="O914" s="30" t="n">
        <v>810000</v>
      </c>
      <c r="P914" s="31" t="n">
        <v>-18000</v>
      </c>
      <c r="Q914" s="302" t="n">
        <v>45831</v>
      </c>
    </row>
    <row r="915" customFormat="false" ht="14.9" hidden="true" customHeight="false" outlineLevel="0" collapsed="false">
      <c r="A915" s="20" t="n">
        <v>3089</v>
      </c>
      <c r="B915" s="21" t="s">
        <v>240</v>
      </c>
      <c r="C915" s="21" t="s">
        <v>241</v>
      </c>
      <c r="D915" s="34"/>
      <c r="E915" s="25" t="n">
        <v>45717</v>
      </c>
      <c r="F915" s="25" t="n">
        <v>45818</v>
      </c>
      <c r="G915" s="26" t="n">
        <v>72</v>
      </c>
      <c r="H915" s="320" t="n">
        <v>74.5</v>
      </c>
      <c r="I915" s="320" t="n">
        <v>-2.5</v>
      </c>
      <c r="J915" s="22" t="s">
        <v>792</v>
      </c>
      <c r="K915" s="31" t="n">
        <v>60000</v>
      </c>
      <c r="L915" s="31" t="n">
        <v>129600</v>
      </c>
      <c r="M915" s="37" t="n">
        <v>9000</v>
      </c>
      <c r="N915" s="30" t="n">
        <v>3600</v>
      </c>
      <c r="O915" s="30" t="n">
        <v>134100</v>
      </c>
      <c r="P915" s="31" t="n">
        <v>-4500</v>
      </c>
      <c r="Q915" s="302" t="n">
        <v>45831</v>
      </c>
    </row>
    <row r="916" customFormat="false" ht="19.4" hidden="true" customHeight="false" outlineLevel="0" collapsed="false">
      <c r="A916" s="20" t="n">
        <v>2695</v>
      </c>
      <c r="B916" s="21" t="s">
        <v>276</v>
      </c>
      <c r="C916" s="21" t="s">
        <v>277</v>
      </c>
      <c r="D916" s="34"/>
      <c r="E916" s="25" t="n">
        <v>45478</v>
      </c>
      <c r="F916" s="25" t="n">
        <v>45674</v>
      </c>
      <c r="G916" s="26" t="n">
        <v>140</v>
      </c>
      <c r="H916" s="320" t="n">
        <v>140</v>
      </c>
      <c r="I916" s="320" t="n">
        <v>0</v>
      </c>
      <c r="J916" s="49" t="s">
        <v>1024</v>
      </c>
      <c r="K916" s="36" t="n">
        <v>150000</v>
      </c>
      <c r="L916" s="36" t="n">
        <v>360220</v>
      </c>
      <c r="M916" s="37" t="n">
        <v>12865</v>
      </c>
      <c r="N916" s="30" t="n">
        <v>39000</v>
      </c>
      <c r="O916" s="30" t="n">
        <v>360220</v>
      </c>
      <c r="P916" s="31" t="n">
        <v>0</v>
      </c>
      <c r="Q916" s="302" t="n">
        <v>45831</v>
      </c>
    </row>
    <row r="917" customFormat="false" ht="28.35" hidden="true" customHeight="false" outlineLevel="0" collapsed="false">
      <c r="A917" s="20" t="n">
        <v>3064</v>
      </c>
      <c r="B917" s="21" t="s">
        <v>1243</v>
      </c>
      <c r="C917" s="50" t="s">
        <v>314</v>
      </c>
      <c r="D917" s="34" t="n">
        <v>22375673</v>
      </c>
      <c r="E917" s="25" t="n">
        <v>45705</v>
      </c>
      <c r="F917" s="25" t="n">
        <v>45805</v>
      </c>
      <c r="G917" s="26" t="n">
        <v>72</v>
      </c>
      <c r="H917" s="320" t="n">
        <v>72</v>
      </c>
      <c r="I917" s="320" t="n">
        <v>0</v>
      </c>
      <c r="J917" s="22" t="s">
        <v>381</v>
      </c>
      <c r="K917" s="36" t="n">
        <v>50000</v>
      </c>
      <c r="L917" s="36" t="n">
        <v>108000</v>
      </c>
      <c r="M917" s="37" t="n">
        <v>7500</v>
      </c>
      <c r="N917" s="30" t="n">
        <v>6500</v>
      </c>
      <c r="O917" s="30" t="n">
        <v>108000</v>
      </c>
      <c r="P917" s="31" t="n">
        <v>0</v>
      </c>
      <c r="Q917" s="302" t="n">
        <v>45831</v>
      </c>
    </row>
    <row r="918" customFormat="false" ht="14.9" hidden="true" customHeight="false" outlineLevel="0" collapsed="false">
      <c r="A918" s="20" t="n">
        <v>3116</v>
      </c>
      <c r="B918" s="21" t="s">
        <v>333</v>
      </c>
      <c r="C918" s="21" t="s">
        <v>334</v>
      </c>
      <c r="D918" s="34"/>
      <c r="E918" s="25" t="n">
        <v>45736</v>
      </c>
      <c r="F918" s="25" t="n">
        <v>45834</v>
      </c>
      <c r="G918" s="26" t="n">
        <v>70</v>
      </c>
      <c r="H918" s="320" t="n">
        <v>70.1296176279974</v>
      </c>
      <c r="I918" s="320" t="n">
        <v>-0.129617627997405</v>
      </c>
      <c r="J918" s="35" t="s">
        <v>1261</v>
      </c>
      <c r="K918" s="36" t="n">
        <v>500000</v>
      </c>
      <c r="L918" s="36" t="n">
        <v>1080100</v>
      </c>
      <c r="M918" s="37" t="n">
        <v>77150</v>
      </c>
      <c r="N918" s="30" t="n">
        <v>154300</v>
      </c>
      <c r="O918" s="30" t="n">
        <v>1082100</v>
      </c>
      <c r="P918" s="31" t="n">
        <v>-2000</v>
      </c>
      <c r="Q918" s="302" t="n">
        <v>45831</v>
      </c>
    </row>
    <row r="919" customFormat="false" ht="14.9" hidden="true" customHeight="false" outlineLevel="0" collapsed="false">
      <c r="A919" s="20" t="n">
        <v>2995</v>
      </c>
      <c r="B919" s="21" t="s">
        <v>336</v>
      </c>
      <c r="C919" s="21" t="s">
        <v>337</v>
      </c>
      <c r="D919" s="34"/>
      <c r="E919" s="25" t="n">
        <v>45666</v>
      </c>
      <c r="F919" s="25" t="n">
        <v>45834</v>
      </c>
      <c r="G919" s="26" t="n">
        <v>120</v>
      </c>
      <c r="H919" s="320" t="n">
        <v>120</v>
      </c>
      <c r="I919" s="320" t="n">
        <v>0</v>
      </c>
      <c r="J919" s="35" t="s">
        <v>1262</v>
      </c>
      <c r="K919" s="36" t="n">
        <v>40000</v>
      </c>
      <c r="L919" s="36" t="n">
        <v>105600</v>
      </c>
      <c r="M919" s="29" t="n">
        <v>4400</v>
      </c>
      <c r="N919" s="30" t="n">
        <v>17600</v>
      </c>
      <c r="O919" s="30" t="n">
        <v>105600</v>
      </c>
      <c r="P919" s="31" t="n">
        <v>0</v>
      </c>
      <c r="Q919" s="302" t="n">
        <v>45831</v>
      </c>
    </row>
    <row r="920" customFormat="false" ht="21.6" hidden="true" customHeight="false" outlineLevel="0" collapsed="false">
      <c r="A920" s="20" t="n">
        <v>3024</v>
      </c>
      <c r="B920" s="21" t="s">
        <v>385</v>
      </c>
      <c r="C920" s="21" t="s">
        <v>386</v>
      </c>
      <c r="D920" s="34"/>
      <c r="E920" s="25" t="n">
        <v>45682</v>
      </c>
      <c r="F920" s="25" t="n">
        <v>45793</v>
      </c>
      <c r="G920" s="26" t="n">
        <v>80</v>
      </c>
      <c r="H920" s="320" t="n">
        <v>80</v>
      </c>
      <c r="I920" s="320" t="n">
        <v>0</v>
      </c>
      <c r="J920" s="35" t="s">
        <v>390</v>
      </c>
      <c r="K920" s="36" t="n">
        <v>30000</v>
      </c>
      <c r="L920" s="36" t="n">
        <v>64800</v>
      </c>
      <c r="M920" s="37" t="n">
        <v>4050</v>
      </c>
      <c r="N920" s="30" t="n">
        <v>16200</v>
      </c>
      <c r="O920" s="30" t="n">
        <v>64800</v>
      </c>
      <c r="P920" s="31" t="n">
        <v>0</v>
      </c>
      <c r="Q920" s="302" t="n">
        <v>45831</v>
      </c>
    </row>
    <row r="921" customFormat="false" ht="21.6" hidden="true" customHeight="false" outlineLevel="0" collapsed="false">
      <c r="A921" s="20" t="n">
        <v>3056</v>
      </c>
      <c r="B921" s="21" t="s">
        <v>385</v>
      </c>
      <c r="C921" s="21" t="s">
        <v>386</v>
      </c>
      <c r="D921" s="34"/>
      <c r="E921" s="25" t="n">
        <v>45701</v>
      </c>
      <c r="F921" s="25" t="n">
        <v>45813</v>
      </c>
      <c r="G921" s="26" t="n">
        <v>80</v>
      </c>
      <c r="H921" s="320" t="n">
        <v>80</v>
      </c>
      <c r="I921" s="320" t="n">
        <v>0</v>
      </c>
      <c r="J921" s="35" t="s">
        <v>388</v>
      </c>
      <c r="K921" s="36" t="n">
        <v>50000</v>
      </c>
      <c r="L921" s="36" t="n">
        <v>108000</v>
      </c>
      <c r="M921" s="29" t="n">
        <v>6750</v>
      </c>
      <c r="N921" s="30" t="n">
        <v>27000</v>
      </c>
      <c r="O921" s="30" t="n">
        <v>108000</v>
      </c>
      <c r="P921" s="31" t="n">
        <v>0</v>
      </c>
      <c r="Q921" s="302" t="n">
        <v>45831</v>
      </c>
    </row>
    <row r="922" customFormat="false" ht="21.6" hidden="true" customHeight="false" outlineLevel="0" collapsed="false">
      <c r="A922" s="20" t="n">
        <v>3041</v>
      </c>
      <c r="B922" s="21" t="s">
        <v>1052</v>
      </c>
      <c r="C922" s="21" t="s">
        <v>796</v>
      </c>
      <c r="D922" s="34"/>
      <c r="E922" s="25" t="n">
        <v>45694</v>
      </c>
      <c r="F922" s="25" t="n">
        <v>45806</v>
      </c>
      <c r="G922" s="26" t="n">
        <v>80</v>
      </c>
      <c r="H922" s="320" t="n">
        <v>80</v>
      </c>
      <c r="I922" s="320" t="n">
        <v>0</v>
      </c>
      <c r="J922" s="35" t="s">
        <v>390</v>
      </c>
      <c r="K922" s="36" t="n">
        <v>30000</v>
      </c>
      <c r="L922" s="36" t="n">
        <v>64800</v>
      </c>
      <c r="M922" s="37" t="n">
        <v>4050</v>
      </c>
      <c r="N922" s="30"/>
      <c r="O922" s="30" t="n">
        <v>64800</v>
      </c>
      <c r="P922" s="31" t="n">
        <v>0</v>
      </c>
      <c r="Q922" s="302" t="n">
        <v>45831</v>
      </c>
    </row>
    <row r="923" customFormat="false" ht="21.6" hidden="true" customHeight="false" outlineLevel="0" collapsed="false">
      <c r="A923" s="20" t="n">
        <v>2908</v>
      </c>
      <c r="B923" s="21" t="s">
        <v>450</v>
      </c>
      <c r="C923" s="21" t="s">
        <v>451</v>
      </c>
      <c r="D923" s="34"/>
      <c r="E923" s="25" t="n">
        <v>45608</v>
      </c>
      <c r="F923" s="25" t="n">
        <v>45708</v>
      </c>
      <c r="G923" s="26" t="n">
        <v>72</v>
      </c>
      <c r="H923" s="320" t="n">
        <v>72.0833333333333</v>
      </c>
      <c r="I923" s="320" t="n">
        <v>-0.0833333333333286</v>
      </c>
      <c r="J923" s="22" t="s">
        <v>749</v>
      </c>
      <c r="K923" s="36" t="n">
        <v>20000</v>
      </c>
      <c r="L923" s="36" t="n">
        <v>43200</v>
      </c>
      <c r="M923" s="29" t="n">
        <v>3000</v>
      </c>
      <c r="N923" s="30" t="n">
        <v>4500</v>
      </c>
      <c r="O923" s="30" t="n">
        <v>43250</v>
      </c>
      <c r="P923" s="31" t="n">
        <v>-50</v>
      </c>
      <c r="Q923" s="302" t="n">
        <v>45831</v>
      </c>
    </row>
    <row r="924" customFormat="false" ht="35.05" hidden="true" customHeight="false" outlineLevel="0" collapsed="false">
      <c r="A924" s="20" t="n">
        <v>2947</v>
      </c>
      <c r="B924" s="21" t="s">
        <v>463</v>
      </c>
      <c r="C924" s="21" t="s">
        <v>464</v>
      </c>
      <c r="D924" s="34"/>
      <c r="E924" s="25" t="n">
        <v>45633</v>
      </c>
      <c r="F924" s="25" t="n">
        <v>45800</v>
      </c>
      <c r="G924" s="26" t="n">
        <v>120</v>
      </c>
      <c r="H924" s="320" t="n">
        <v>120</v>
      </c>
      <c r="I924" s="320" t="n">
        <v>0</v>
      </c>
      <c r="J924" s="49" t="s">
        <v>1157</v>
      </c>
      <c r="K924" s="45" t="n">
        <v>150000</v>
      </c>
      <c r="L924" s="31" t="n">
        <v>396000</v>
      </c>
      <c r="M924" s="37" t="n">
        <v>16500</v>
      </c>
      <c r="N924" s="30" t="n">
        <v>11000</v>
      </c>
      <c r="O924" s="30" t="n">
        <v>396000</v>
      </c>
      <c r="P924" s="31" t="n">
        <v>0</v>
      </c>
      <c r="Q924" s="302" t="n">
        <v>45831</v>
      </c>
    </row>
    <row r="925" customFormat="false" ht="14.9" hidden="true" customHeight="false" outlineLevel="0" collapsed="false">
      <c r="A925" s="20" t="n">
        <v>2861</v>
      </c>
      <c r="B925" s="21" t="s">
        <v>1043</v>
      </c>
      <c r="C925" s="21"/>
      <c r="D925" s="34"/>
      <c r="E925" s="25" t="n">
        <v>45581</v>
      </c>
      <c r="F925" s="25" t="n">
        <v>45805</v>
      </c>
      <c r="G925" s="26" t="n">
        <v>160</v>
      </c>
      <c r="H925" s="320" t="n">
        <v>160</v>
      </c>
      <c r="I925" s="320" t="n">
        <v>0</v>
      </c>
      <c r="J925" s="35" t="s">
        <v>1263</v>
      </c>
      <c r="K925" s="36" t="n">
        <v>500000</v>
      </c>
      <c r="L925" s="36" t="n">
        <v>1500000</v>
      </c>
      <c r="M925" s="37" t="n">
        <v>46875</v>
      </c>
      <c r="N925" s="30" t="n">
        <v>187500</v>
      </c>
      <c r="O925" s="30" t="n">
        <v>1500000</v>
      </c>
      <c r="P925" s="36" t="n">
        <v>0</v>
      </c>
      <c r="Q925" s="302" t="n">
        <v>45831</v>
      </c>
    </row>
    <row r="926" customFormat="false" ht="19.4" hidden="true" customHeight="false" outlineLevel="0" collapsed="false">
      <c r="A926" s="20" t="n">
        <v>3194</v>
      </c>
      <c r="B926" s="21" t="s">
        <v>1106</v>
      </c>
      <c r="C926" s="21" t="s">
        <v>489</v>
      </c>
      <c r="D926" s="34"/>
      <c r="E926" s="25" t="n">
        <v>45791</v>
      </c>
      <c r="F926" s="25" t="n">
        <v>45819</v>
      </c>
      <c r="G926" s="26" t="n">
        <v>20</v>
      </c>
      <c r="H926" s="320" t="e">
        <f aca="false">#DIV/0!</f>
        <v>#DIV/0!</v>
      </c>
      <c r="I926" s="320" t="e">
        <f aca="false">#DIV/0!</f>
        <v>#DIV/0!</v>
      </c>
      <c r="J926" s="35" t="s">
        <v>490</v>
      </c>
      <c r="K926" s="36" t="n">
        <v>40000</v>
      </c>
      <c r="L926" s="36" t="n">
        <v>60000</v>
      </c>
      <c r="M926" s="37"/>
      <c r="N926" s="30" t="n">
        <v>37500</v>
      </c>
      <c r="O926" s="30" t="n">
        <v>60000</v>
      </c>
      <c r="P926" s="36" t="n">
        <v>0</v>
      </c>
      <c r="Q926" s="302" t="n">
        <v>45831</v>
      </c>
    </row>
    <row r="927" customFormat="false" ht="28.35" hidden="true" customHeight="false" outlineLevel="0" collapsed="false">
      <c r="A927" s="20" t="n">
        <v>2707</v>
      </c>
      <c r="B927" s="21" t="s">
        <v>534</v>
      </c>
      <c r="C927" s="21" t="s">
        <v>1060</v>
      </c>
      <c r="D927" s="34"/>
      <c r="E927" s="25" t="n">
        <v>45483</v>
      </c>
      <c r="F927" s="25" t="n">
        <v>45707</v>
      </c>
      <c r="G927" s="26" t="n">
        <v>160</v>
      </c>
      <c r="H927" s="320" t="n">
        <v>177.535353535354</v>
      </c>
      <c r="I927" s="320" t="n">
        <v>-17.5353535353535</v>
      </c>
      <c r="J927" s="35" t="s">
        <v>1061</v>
      </c>
      <c r="K927" s="36" t="n">
        <v>300000</v>
      </c>
      <c r="L927" s="36" t="n">
        <v>792000</v>
      </c>
      <c r="M927" s="37" t="n">
        <v>24750</v>
      </c>
      <c r="N927" s="30" t="n">
        <v>100000</v>
      </c>
      <c r="O927" s="30" t="n">
        <v>878800</v>
      </c>
      <c r="P927" s="36" t="n">
        <v>-86800</v>
      </c>
      <c r="Q927" s="302" t="n">
        <v>45831</v>
      </c>
    </row>
    <row r="928" customFormat="false" ht="21.6" hidden="true" customHeight="false" outlineLevel="0" collapsed="false">
      <c r="A928" s="378" t="n">
        <v>2962</v>
      </c>
      <c r="B928" s="379" t="s">
        <v>230</v>
      </c>
      <c r="C928" s="379" t="s">
        <v>231</v>
      </c>
      <c r="D928" s="380"/>
      <c r="E928" s="381" t="n">
        <v>45645</v>
      </c>
      <c r="F928" s="381" t="n">
        <v>45813</v>
      </c>
      <c r="G928" s="382" t="n">
        <v>120</v>
      </c>
      <c r="H928" s="383" t="n">
        <v>120</v>
      </c>
      <c r="I928" s="383" t="n">
        <v>0</v>
      </c>
      <c r="J928" s="384" t="s">
        <v>418</v>
      </c>
      <c r="K928" s="385" t="n">
        <v>100000</v>
      </c>
      <c r="L928" s="386" t="n">
        <v>264000</v>
      </c>
      <c r="M928" s="387" t="n">
        <v>11000</v>
      </c>
      <c r="N928" s="388" t="n">
        <v>22000</v>
      </c>
      <c r="O928" s="388" t="n">
        <v>264000</v>
      </c>
      <c r="P928" s="386" t="n">
        <v>0</v>
      </c>
      <c r="Q928" s="302" t="n">
        <v>45845</v>
      </c>
    </row>
    <row r="929" customFormat="false" ht="21.6" hidden="true" customHeight="false" outlineLevel="0" collapsed="false">
      <c r="A929" s="378" t="n">
        <v>3088</v>
      </c>
      <c r="B929" s="379" t="s">
        <v>230</v>
      </c>
      <c r="C929" s="379" t="s">
        <v>231</v>
      </c>
      <c r="D929" s="380"/>
      <c r="E929" s="381" t="n">
        <v>45717</v>
      </c>
      <c r="F929" s="381" t="n">
        <v>45828</v>
      </c>
      <c r="G929" s="382" t="n">
        <v>80</v>
      </c>
      <c r="H929" s="383" t="n">
        <v>80</v>
      </c>
      <c r="I929" s="383" t="n">
        <v>0</v>
      </c>
      <c r="J929" s="384" t="s">
        <v>470</v>
      </c>
      <c r="K929" s="389" t="n">
        <v>50000</v>
      </c>
      <c r="L929" s="390" t="n">
        <v>108000</v>
      </c>
      <c r="M929" s="387" t="n">
        <v>6750</v>
      </c>
      <c r="N929" s="388" t="n">
        <v>13000</v>
      </c>
      <c r="O929" s="388" t="n">
        <v>108000</v>
      </c>
      <c r="P929" s="386" t="n">
        <v>0</v>
      </c>
      <c r="Q929" s="302" t="n">
        <v>45845</v>
      </c>
    </row>
    <row r="930" customFormat="false" ht="21.6" hidden="true" customHeight="false" outlineLevel="0" collapsed="false">
      <c r="A930" s="20" t="n">
        <v>3247</v>
      </c>
      <c r="B930" s="21" t="s">
        <v>249</v>
      </c>
      <c r="C930" s="21" t="s">
        <v>250</v>
      </c>
      <c r="D930" s="34" t="n">
        <v>27252034574</v>
      </c>
      <c r="E930" s="25" t="n">
        <v>45826</v>
      </c>
      <c r="F930" s="25" t="n">
        <v>45833</v>
      </c>
      <c r="G930" s="26" t="n">
        <v>5</v>
      </c>
      <c r="H930" s="71" t="e">
        <f aca="false">#DIV/0!</f>
        <v>#DIV/0!</v>
      </c>
      <c r="I930" s="71" t="e">
        <f aca="false">#DIV/0!</f>
        <v>#DIV/0!</v>
      </c>
      <c r="J930" s="35" t="s">
        <v>538</v>
      </c>
      <c r="K930" s="36" t="n">
        <v>100000</v>
      </c>
      <c r="L930" s="36" t="n">
        <v>130000</v>
      </c>
      <c r="M930" s="37"/>
      <c r="N930" s="30" t="n">
        <v>25000</v>
      </c>
      <c r="O930" s="30" t="n">
        <v>130000</v>
      </c>
      <c r="P930" s="31" t="n">
        <v>0</v>
      </c>
      <c r="Q930" s="302" t="n">
        <v>45845</v>
      </c>
    </row>
    <row r="931" customFormat="false" ht="19.4" hidden="true" customHeight="false" outlineLevel="0" collapsed="false">
      <c r="A931" s="20" t="n">
        <v>3016</v>
      </c>
      <c r="B931" s="21" t="s">
        <v>392</v>
      </c>
      <c r="C931" s="21" t="s">
        <v>393</v>
      </c>
      <c r="D931" s="34"/>
      <c r="E931" s="25" t="n">
        <v>45679</v>
      </c>
      <c r="F931" s="25" t="n">
        <v>45847</v>
      </c>
      <c r="G931" s="26" t="n">
        <v>120</v>
      </c>
      <c r="H931" s="71" t="n">
        <v>120</v>
      </c>
      <c r="I931" s="71" t="n">
        <v>0</v>
      </c>
      <c r="J931" s="35" t="s">
        <v>1264</v>
      </c>
      <c r="K931" s="36" t="n">
        <v>300000</v>
      </c>
      <c r="L931" s="36" t="n">
        <v>792000</v>
      </c>
      <c r="M931" s="37" t="n">
        <v>33000</v>
      </c>
      <c r="N931" s="30" t="n">
        <v>132000</v>
      </c>
      <c r="O931" s="30" t="n">
        <v>792000</v>
      </c>
      <c r="P931" s="31" t="n">
        <v>0</v>
      </c>
      <c r="Q931" s="302" t="n">
        <v>45845</v>
      </c>
    </row>
    <row r="932" customFormat="false" ht="17.9" hidden="true" customHeight="false" outlineLevel="0" collapsed="false">
      <c r="A932" s="20" t="n">
        <v>3277</v>
      </c>
      <c r="B932" s="34" t="s">
        <v>429</v>
      </c>
      <c r="C932" s="34"/>
      <c r="D932" s="34"/>
      <c r="E932" s="25" t="n">
        <v>45842</v>
      </c>
      <c r="F932" s="25" t="n">
        <v>45777</v>
      </c>
      <c r="G932" s="26" t="n">
        <v>5</v>
      </c>
      <c r="H932" s="71" t="e">
        <f aca="false">#DIV/0!</f>
        <v>#DIV/0!</v>
      </c>
      <c r="I932" s="71" t="e">
        <f aca="false">#DIV/0!</f>
        <v>#DIV/0!</v>
      </c>
      <c r="J932" s="34" t="s">
        <v>580</v>
      </c>
      <c r="K932" s="36" t="n">
        <v>100000</v>
      </c>
      <c r="L932" s="36" t="n">
        <v>130000</v>
      </c>
      <c r="M932" s="37"/>
      <c r="N932" s="30" t="n">
        <v>130000</v>
      </c>
      <c r="O932" s="30" t="n">
        <v>130000</v>
      </c>
      <c r="P932" s="31" t="n">
        <v>0</v>
      </c>
      <c r="Q932" s="302" t="n">
        <v>45845</v>
      </c>
    </row>
    <row r="933" customFormat="false" ht="21.6" hidden="true" customHeight="false" outlineLevel="0" collapsed="false">
      <c r="A933" s="20" t="n">
        <v>3097</v>
      </c>
      <c r="B933" s="21" t="s">
        <v>438</v>
      </c>
      <c r="C933" s="21" t="s">
        <v>439</v>
      </c>
      <c r="D933" s="34"/>
      <c r="E933" s="25" t="n">
        <v>45724</v>
      </c>
      <c r="F933" s="25" t="n">
        <v>45825</v>
      </c>
      <c r="G933" s="26" t="n">
        <v>72</v>
      </c>
      <c r="H933" s="71" t="n">
        <v>72</v>
      </c>
      <c r="I933" s="71" t="n">
        <v>0</v>
      </c>
      <c r="J933" s="22" t="s">
        <v>381</v>
      </c>
      <c r="K933" s="31" t="n">
        <v>50000</v>
      </c>
      <c r="L933" s="31" t="n">
        <v>108000</v>
      </c>
      <c r="M933" s="391" t="n">
        <v>7500</v>
      </c>
      <c r="N933" s="30" t="n">
        <v>10500</v>
      </c>
      <c r="O933" s="30" t="n">
        <v>108000</v>
      </c>
      <c r="P933" s="31" t="n">
        <v>0</v>
      </c>
      <c r="Q933" s="302" t="n">
        <v>45845</v>
      </c>
    </row>
    <row r="934" customFormat="false" ht="21.6" hidden="true" customHeight="false" outlineLevel="0" collapsed="false">
      <c r="A934" s="20" t="n">
        <v>2921</v>
      </c>
      <c r="B934" s="21" t="s">
        <v>444</v>
      </c>
      <c r="C934" s="21" t="s">
        <v>445</v>
      </c>
      <c r="D934" s="34"/>
      <c r="E934" s="25" t="n">
        <v>45618</v>
      </c>
      <c r="F934" s="25" t="n">
        <v>45779</v>
      </c>
      <c r="G934" s="26" t="n">
        <v>115</v>
      </c>
      <c r="H934" s="71" t="n">
        <v>117.826086956522</v>
      </c>
      <c r="I934" s="71" t="n">
        <v>-2.82608695652174</v>
      </c>
      <c r="J934" s="22" t="s">
        <v>1265</v>
      </c>
      <c r="K934" s="36" t="n">
        <v>200000</v>
      </c>
      <c r="L934" s="36" t="n">
        <v>529000</v>
      </c>
      <c r="M934" s="29" t="n">
        <v>23000</v>
      </c>
      <c r="N934" s="30" t="n">
        <v>50000</v>
      </c>
      <c r="O934" s="30" t="n">
        <v>542000</v>
      </c>
      <c r="P934" s="31" t="n">
        <v>-13000</v>
      </c>
      <c r="Q934" s="302" t="n">
        <v>45845</v>
      </c>
    </row>
    <row r="935" customFormat="false" ht="48.5" hidden="true" customHeight="false" outlineLevel="0" collapsed="false">
      <c r="A935" s="20" t="n">
        <v>3163</v>
      </c>
      <c r="B935" s="21" t="s">
        <v>466</v>
      </c>
      <c r="C935" s="21" t="s">
        <v>467</v>
      </c>
      <c r="D935" s="34" t="n">
        <v>27249921551</v>
      </c>
      <c r="E935" s="25" t="n">
        <v>45771</v>
      </c>
      <c r="F935" s="25" t="n">
        <v>45873</v>
      </c>
      <c r="G935" s="26" t="n">
        <v>72</v>
      </c>
      <c r="H935" s="71" t="n">
        <v>72</v>
      </c>
      <c r="I935" s="71" t="n">
        <v>0</v>
      </c>
      <c r="J935" s="22" t="s">
        <v>381</v>
      </c>
      <c r="K935" s="36" t="n">
        <v>50000</v>
      </c>
      <c r="L935" s="36" t="n">
        <v>108000</v>
      </c>
      <c r="M935" s="37" t="n">
        <v>7500</v>
      </c>
      <c r="N935" s="30" t="n">
        <v>33000</v>
      </c>
      <c r="O935" s="30" t="n">
        <v>108000</v>
      </c>
      <c r="P935" s="31" t="n">
        <v>0</v>
      </c>
      <c r="Q935" s="302" t="n">
        <v>45845</v>
      </c>
    </row>
    <row r="936" customFormat="false" ht="14.25" hidden="true" customHeight="false" outlineLevel="0" collapsed="false">
      <c r="A936" s="20" t="n">
        <v>3245</v>
      </c>
      <c r="B936" s="21" t="s">
        <v>861</v>
      </c>
      <c r="C936" s="21"/>
      <c r="D936" s="34"/>
      <c r="E936" s="25" t="n">
        <v>45826</v>
      </c>
      <c r="F936" s="25" t="n">
        <v>45820</v>
      </c>
      <c r="G936" s="26" t="n">
        <v>20</v>
      </c>
      <c r="H936" s="71" t="e">
        <f aca="false">#DIV/0!</f>
        <v>#DIV/0!</v>
      </c>
      <c r="I936" s="71" t="e">
        <f aca="false">#DIV/0!</f>
        <v>#DIV/0!</v>
      </c>
      <c r="J936" s="35" t="s">
        <v>538</v>
      </c>
      <c r="K936" s="36" t="n">
        <v>50000</v>
      </c>
      <c r="L936" s="36" t="n">
        <v>75000</v>
      </c>
      <c r="M936" s="37"/>
      <c r="N936" s="30" t="n">
        <v>75000</v>
      </c>
      <c r="O936" s="30" t="n">
        <v>75000</v>
      </c>
      <c r="P936" s="36" t="n">
        <v>0</v>
      </c>
      <c r="Q936" s="302" t="n">
        <v>45845</v>
      </c>
    </row>
    <row r="937" customFormat="false" ht="14.25" hidden="true" customHeight="false" outlineLevel="0" collapsed="false">
      <c r="A937" s="318" t="n">
        <v>3270</v>
      </c>
      <c r="B937" s="21" t="s">
        <v>861</v>
      </c>
      <c r="C937" s="21"/>
      <c r="D937" s="34"/>
      <c r="E937" s="25" t="n">
        <v>45836</v>
      </c>
      <c r="F937" s="25" t="n">
        <v>45820</v>
      </c>
      <c r="G937" s="26" t="n">
        <v>20</v>
      </c>
      <c r="H937" s="71" t="e">
        <f aca="false">#DIV/0!</f>
        <v>#DIV/0!</v>
      </c>
      <c r="I937" s="71" t="e">
        <f aca="false">#DIV/0!</f>
        <v>#DIV/0!</v>
      </c>
      <c r="J937" s="35" t="s">
        <v>538</v>
      </c>
      <c r="K937" s="36" t="n">
        <v>20000</v>
      </c>
      <c r="L937" s="36" t="n">
        <v>30000</v>
      </c>
      <c r="M937" s="37"/>
      <c r="N937" s="30" t="n">
        <v>30000</v>
      </c>
      <c r="O937" s="30" t="n">
        <v>30000</v>
      </c>
      <c r="P937" s="36" t="n">
        <v>0</v>
      </c>
      <c r="Q937" s="302" t="n">
        <v>45845</v>
      </c>
    </row>
    <row r="938" customFormat="false" ht="14.9" hidden="true" customHeight="false" outlineLevel="0" collapsed="false">
      <c r="A938" s="20" t="n">
        <v>3232</v>
      </c>
      <c r="B938" s="21" t="s">
        <v>1266</v>
      </c>
      <c r="C938" s="21"/>
      <c r="D938" s="34"/>
      <c r="E938" s="25" t="n">
        <v>45818</v>
      </c>
      <c r="F938" s="25" t="n">
        <v>45846</v>
      </c>
      <c r="G938" s="26" t="n">
        <v>20</v>
      </c>
      <c r="H938" s="71" t="e">
        <f aca="false">#DIV/0!</f>
        <v>#DIV/0!</v>
      </c>
      <c r="I938" s="71" t="e">
        <f aca="false">#DIV/0!</f>
        <v>#DIV/0!</v>
      </c>
      <c r="J938" s="35" t="s">
        <v>538</v>
      </c>
      <c r="K938" s="36" t="n">
        <v>50000</v>
      </c>
      <c r="L938" s="36" t="n">
        <v>75000</v>
      </c>
      <c r="M938" s="37"/>
      <c r="N938" s="30" t="n">
        <v>75000</v>
      </c>
      <c r="O938" s="30" t="n">
        <v>75000</v>
      </c>
      <c r="P938" s="36" t="n">
        <v>0</v>
      </c>
      <c r="Q938" s="302" t="n">
        <v>45845</v>
      </c>
    </row>
    <row r="939" customFormat="false" ht="14.9" hidden="true" customHeight="false" outlineLevel="0" collapsed="false">
      <c r="A939" s="20" t="n">
        <v>3244</v>
      </c>
      <c r="B939" s="21" t="s">
        <v>1267</v>
      </c>
      <c r="C939" s="21"/>
      <c r="D939" s="34"/>
      <c r="E939" s="25" t="n">
        <v>45826</v>
      </c>
      <c r="F939" s="25" t="n">
        <v>45820</v>
      </c>
      <c r="G939" s="26" t="n">
        <v>20</v>
      </c>
      <c r="H939" s="71" t="e">
        <f aca="false">#DIV/0!</f>
        <v>#DIV/0!</v>
      </c>
      <c r="I939" s="71" t="e">
        <f aca="false">#DIV/0!</f>
        <v>#DIV/0!</v>
      </c>
      <c r="J939" s="35" t="s">
        <v>538</v>
      </c>
      <c r="K939" s="36" t="n">
        <v>60000</v>
      </c>
      <c r="L939" s="36" t="n">
        <v>90000</v>
      </c>
      <c r="M939" s="37"/>
      <c r="N939" s="30" t="n">
        <v>90000</v>
      </c>
      <c r="O939" s="30" t="n">
        <v>90000</v>
      </c>
      <c r="P939" s="36" t="n">
        <v>0</v>
      </c>
      <c r="Q939" s="302" t="n">
        <v>45845</v>
      </c>
    </row>
    <row r="940" customFormat="false" ht="14.9" hidden="true" customHeight="false" outlineLevel="0" collapsed="false">
      <c r="A940" s="20" t="n">
        <v>3071</v>
      </c>
      <c r="B940" s="21" t="s">
        <v>519</v>
      </c>
      <c r="C940" s="21" t="s">
        <v>520</v>
      </c>
      <c r="D940" s="34"/>
      <c r="E940" s="25" t="n">
        <v>45708</v>
      </c>
      <c r="F940" s="25" t="n">
        <v>45810</v>
      </c>
      <c r="G940" s="26" t="n">
        <v>72</v>
      </c>
      <c r="H940" s="71" t="n">
        <v>72</v>
      </c>
      <c r="I940" s="71" t="n">
        <v>0</v>
      </c>
      <c r="J940" s="22" t="s">
        <v>266</v>
      </c>
      <c r="K940" s="36" t="n">
        <v>100000</v>
      </c>
      <c r="L940" s="36" t="n">
        <v>216000</v>
      </c>
      <c r="M940" s="29" t="n">
        <v>15000</v>
      </c>
      <c r="N940" s="30" t="n">
        <v>7000</v>
      </c>
      <c r="O940" s="30" t="n">
        <v>216000</v>
      </c>
      <c r="P940" s="36" t="n">
        <v>0</v>
      </c>
      <c r="Q940" s="302" t="n">
        <v>45845</v>
      </c>
    </row>
    <row r="941" customFormat="false" ht="14.9" hidden="true" customHeight="false" outlineLevel="0" collapsed="false">
      <c r="A941" s="20" t="n">
        <v>3121</v>
      </c>
      <c r="B941" s="21" t="s">
        <v>240</v>
      </c>
      <c r="C941" s="21" t="s">
        <v>241</v>
      </c>
      <c r="D941" s="34"/>
      <c r="E941" s="25" t="n">
        <v>45738</v>
      </c>
      <c r="F941" s="25" t="n">
        <v>45839</v>
      </c>
      <c r="G941" s="26" t="n">
        <v>72</v>
      </c>
      <c r="H941" s="71" t="n">
        <v>72</v>
      </c>
      <c r="I941" s="71" t="n">
        <v>0</v>
      </c>
      <c r="J941" s="22" t="s">
        <v>1123</v>
      </c>
      <c r="K941" s="31" t="n">
        <v>80000</v>
      </c>
      <c r="L941" s="31" t="n">
        <v>172800</v>
      </c>
      <c r="M941" s="37" t="n">
        <v>12000</v>
      </c>
      <c r="N941" s="30" t="n">
        <v>1800</v>
      </c>
      <c r="O941" s="30" t="n">
        <v>172800</v>
      </c>
      <c r="P941" s="36" t="n">
        <v>0</v>
      </c>
      <c r="Q941" s="302" t="n">
        <v>45852</v>
      </c>
    </row>
    <row r="942" customFormat="false" ht="14.9" hidden="true" customHeight="false" outlineLevel="0" collapsed="false">
      <c r="A942" s="20" t="n">
        <v>3135</v>
      </c>
      <c r="B942" s="21" t="s">
        <v>264</v>
      </c>
      <c r="C942" s="21" t="s">
        <v>265</v>
      </c>
      <c r="D942" s="34"/>
      <c r="E942" s="25" t="n">
        <v>45747</v>
      </c>
      <c r="F942" s="25" t="n">
        <v>45847</v>
      </c>
      <c r="G942" s="26" t="n">
        <v>72</v>
      </c>
      <c r="H942" s="71" t="n">
        <v>72</v>
      </c>
      <c r="I942" s="71" t="n">
        <v>0</v>
      </c>
      <c r="J942" s="22" t="s">
        <v>244</v>
      </c>
      <c r="K942" s="46" t="n">
        <v>200000</v>
      </c>
      <c r="L942" s="36" t="n">
        <v>432000</v>
      </c>
      <c r="M942" s="37" t="n">
        <v>30000</v>
      </c>
      <c r="N942" s="30" t="n">
        <v>12000</v>
      </c>
      <c r="O942" s="30" t="n">
        <v>432000</v>
      </c>
      <c r="P942" s="31" t="n">
        <v>0</v>
      </c>
      <c r="Q942" s="302" t="n">
        <v>45852</v>
      </c>
    </row>
    <row r="943" customFormat="false" ht="21.6" hidden="true" customHeight="false" outlineLevel="0" collapsed="false">
      <c r="A943" s="20" t="n">
        <v>2993</v>
      </c>
      <c r="B943" s="21" t="s">
        <v>345</v>
      </c>
      <c r="C943" s="21" t="s">
        <v>346</v>
      </c>
      <c r="D943" s="34" t="n">
        <v>27212523</v>
      </c>
      <c r="E943" s="25" t="n">
        <v>45665</v>
      </c>
      <c r="F943" s="25" t="n">
        <v>45819</v>
      </c>
      <c r="G943" s="26" t="n">
        <v>110</v>
      </c>
      <c r="H943" s="71" t="n">
        <v>111.986111111111</v>
      </c>
      <c r="I943" s="71" t="n">
        <v>-1.98611111111111</v>
      </c>
      <c r="J943" s="49" t="s">
        <v>1268</v>
      </c>
      <c r="K943" s="36" t="n">
        <v>150000</v>
      </c>
      <c r="L943" s="36" t="n">
        <v>396000</v>
      </c>
      <c r="M943" s="37" t="n">
        <v>18000</v>
      </c>
      <c r="N943" s="30" t="n">
        <v>36000</v>
      </c>
      <c r="O943" s="30" t="n">
        <v>403150</v>
      </c>
      <c r="P943" s="31" t="n">
        <v>-7150</v>
      </c>
      <c r="Q943" s="302" t="n">
        <v>45852</v>
      </c>
    </row>
    <row r="944" customFormat="false" ht="14.9" hidden="true" customHeight="false" outlineLevel="0" collapsed="false">
      <c r="A944" s="20" t="n">
        <v>3052</v>
      </c>
      <c r="B944" s="21" t="s">
        <v>440</v>
      </c>
      <c r="C944" s="21" t="s">
        <v>441</v>
      </c>
      <c r="D944" s="34"/>
      <c r="E944" s="25" t="n">
        <v>45699</v>
      </c>
      <c r="F944" s="25" t="n">
        <v>45867</v>
      </c>
      <c r="G944" s="26" t="n">
        <v>120</v>
      </c>
      <c r="H944" s="71" t="n">
        <v>120</v>
      </c>
      <c r="I944" s="71" t="n">
        <v>0</v>
      </c>
      <c r="J944" s="35" t="s">
        <v>505</v>
      </c>
      <c r="K944" s="31" t="n">
        <v>300000</v>
      </c>
      <c r="L944" s="31" t="n">
        <v>792000</v>
      </c>
      <c r="M944" s="29" t="n">
        <v>33000</v>
      </c>
      <c r="N944" s="30" t="n">
        <v>132000</v>
      </c>
      <c r="O944" s="30" t="n">
        <v>792000</v>
      </c>
      <c r="P944" s="31" t="n">
        <v>0</v>
      </c>
      <c r="Q944" s="302" t="n">
        <v>45852</v>
      </c>
    </row>
    <row r="945" customFormat="false" ht="28.35" hidden="true" customHeight="false" outlineLevel="0" collapsed="false">
      <c r="A945" s="20" t="n">
        <v>2994</v>
      </c>
      <c r="B945" s="21" t="s">
        <v>483</v>
      </c>
      <c r="C945" s="21" t="s">
        <v>484</v>
      </c>
      <c r="D945" s="34"/>
      <c r="E945" s="25" t="n">
        <v>45300</v>
      </c>
      <c r="F945" s="25" t="n">
        <v>45468</v>
      </c>
      <c r="G945" s="26" t="n">
        <v>120</v>
      </c>
      <c r="H945" s="71" t="n">
        <v>120</v>
      </c>
      <c r="I945" s="71" t="n">
        <v>0</v>
      </c>
      <c r="J945" s="35" t="s">
        <v>1269</v>
      </c>
      <c r="K945" s="36" t="n">
        <v>100000</v>
      </c>
      <c r="L945" s="36" t="n">
        <v>264000</v>
      </c>
      <c r="M945" s="29" t="n">
        <v>11000</v>
      </c>
      <c r="N945" s="30" t="n">
        <v>52000</v>
      </c>
      <c r="O945" s="30" t="n">
        <v>264000</v>
      </c>
      <c r="P945" s="31" t="n">
        <v>0</v>
      </c>
      <c r="Q945" s="302" t="n">
        <v>45852</v>
      </c>
    </row>
    <row r="946" customFormat="false" ht="28.35" hidden="true" customHeight="false" outlineLevel="0" collapsed="false">
      <c r="A946" s="20" t="n">
        <v>3059</v>
      </c>
      <c r="B946" s="21" t="s">
        <v>483</v>
      </c>
      <c r="C946" s="21" t="s">
        <v>484</v>
      </c>
      <c r="D946" s="34"/>
      <c r="E946" s="25" t="n">
        <v>45702</v>
      </c>
      <c r="F946" s="25" t="n">
        <v>45804</v>
      </c>
      <c r="G946" s="26" t="n">
        <v>72</v>
      </c>
      <c r="H946" s="71" t="n">
        <v>72</v>
      </c>
      <c r="I946" s="71" t="n">
        <v>0</v>
      </c>
      <c r="J946" s="22" t="s">
        <v>1209</v>
      </c>
      <c r="K946" s="36" t="n">
        <v>70000</v>
      </c>
      <c r="L946" s="36" t="n">
        <v>151200</v>
      </c>
      <c r="M946" s="37" t="n">
        <v>10500</v>
      </c>
      <c r="N946" s="30" t="n">
        <v>6700</v>
      </c>
      <c r="O946" s="30" t="n">
        <v>151200</v>
      </c>
      <c r="P946" s="36" t="n">
        <v>0</v>
      </c>
      <c r="Q946" s="302" t="n">
        <v>45852</v>
      </c>
    </row>
    <row r="947" customFormat="false" ht="28.35" hidden="true" customHeight="false" outlineLevel="0" collapsed="false">
      <c r="A947" s="20" t="n">
        <v>2985</v>
      </c>
      <c r="B947" s="21" t="s">
        <v>779</v>
      </c>
      <c r="C947" s="21"/>
      <c r="D947" s="34"/>
      <c r="E947" s="25" t="n">
        <v>45657</v>
      </c>
      <c r="F947" s="25" t="n">
        <v>45825</v>
      </c>
      <c r="G947" s="26" t="n">
        <v>120</v>
      </c>
      <c r="H947" s="71" t="n">
        <v>120</v>
      </c>
      <c r="I947" s="71" t="n">
        <v>0</v>
      </c>
      <c r="J947" s="35" t="s">
        <v>1159</v>
      </c>
      <c r="K947" s="36" t="n">
        <v>50000</v>
      </c>
      <c r="L947" s="36" t="n">
        <v>132000</v>
      </c>
      <c r="M947" s="37" t="n">
        <v>5500</v>
      </c>
      <c r="N947" s="30" t="n">
        <v>22000</v>
      </c>
      <c r="O947" s="30" t="n">
        <v>132000</v>
      </c>
      <c r="P947" s="36" t="n">
        <v>0</v>
      </c>
      <c r="Q947" s="302" t="n">
        <v>45852</v>
      </c>
    </row>
    <row r="948" customFormat="false" ht="14.25" hidden="true" customHeight="false" outlineLevel="0" collapsed="false">
      <c r="A948" s="20" t="n">
        <v>3243</v>
      </c>
      <c r="B948" s="34" t="s">
        <v>537</v>
      </c>
      <c r="C948" s="34"/>
      <c r="D948" s="34"/>
      <c r="E948" s="25" t="n">
        <v>45825</v>
      </c>
      <c r="F948" s="25" t="n">
        <v>45359</v>
      </c>
      <c r="G948" s="26" t="n">
        <v>20</v>
      </c>
      <c r="H948" s="71" t="e">
        <f aca="false">#DIV/0!</f>
        <v>#DIV/0!</v>
      </c>
      <c r="I948" s="71" t="e">
        <f aca="false">#DIV/0!</f>
        <v>#DIV/0!</v>
      </c>
      <c r="J948" s="38" t="s">
        <v>751</v>
      </c>
      <c r="K948" s="36" t="n">
        <v>30000</v>
      </c>
      <c r="L948" s="36" t="n">
        <v>45000</v>
      </c>
      <c r="M948" s="37"/>
      <c r="N948" s="30" t="n">
        <v>45000</v>
      </c>
      <c r="O948" s="30" t="n">
        <v>45000</v>
      </c>
      <c r="P948" s="36" t="n">
        <v>0</v>
      </c>
      <c r="Q948" s="302" t="n">
        <v>45852</v>
      </c>
    </row>
    <row r="949" customFormat="false" ht="14.25" hidden="true" customHeight="false" outlineLevel="0" collapsed="false">
      <c r="A949" s="26" t="n">
        <v>3252</v>
      </c>
      <c r="B949" s="34" t="s">
        <v>537</v>
      </c>
      <c r="C949" s="34"/>
      <c r="D949" s="34"/>
      <c r="E949" s="25" t="n">
        <v>45827</v>
      </c>
      <c r="F949" s="25" t="n">
        <v>45359</v>
      </c>
      <c r="G949" s="26" t="n">
        <v>20</v>
      </c>
      <c r="H949" s="71" t="e">
        <f aca="false">#DIV/0!</f>
        <v>#DIV/0!</v>
      </c>
      <c r="I949" s="71" t="e">
        <f aca="false">#DIV/0!</f>
        <v>#DIV/0!</v>
      </c>
      <c r="J949" s="38" t="s">
        <v>751</v>
      </c>
      <c r="K949" s="31" t="n">
        <v>40000</v>
      </c>
      <c r="L949" s="31" t="n">
        <v>60000</v>
      </c>
      <c r="M949" s="37"/>
      <c r="N949" s="30" t="n">
        <v>60000</v>
      </c>
      <c r="O949" s="30" t="n">
        <v>60000</v>
      </c>
      <c r="P949" s="36" t="n">
        <v>0</v>
      </c>
      <c r="Q949" s="302" t="n">
        <v>45852</v>
      </c>
    </row>
    <row r="950" customFormat="false" ht="14.25" hidden="true" customHeight="false" outlineLevel="0" collapsed="false">
      <c r="A950" s="26" t="n">
        <v>3255</v>
      </c>
      <c r="B950" s="34" t="s">
        <v>537</v>
      </c>
      <c r="C950" s="34"/>
      <c r="D950" s="34"/>
      <c r="E950" s="25" t="n">
        <v>45829</v>
      </c>
      <c r="F950" s="25" t="n">
        <v>45359</v>
      </c>
      <c r="G950" s="26" t="n">
        <v>20</v>
      </c>
      <c r="H950" s="71" t="e">
        <f aca="false">#DIV/0!</f>
        <v>#DIV/0!</v>
      </c>
      <c r="I950" s="71" t="e">
        <f aca="false">#DIV/0!</f>
        <v>#DIV/0!</v>
      </c>
      <c r="J950" s="38" t="s">
        <v>751</v>
      </c>
      <c r="K950" s="36" t="n">
        <v>40000</v>
      </c>
      <c r="L950" s="36" t="n">
        <v>60000</v>
      </c>
      <c r="M950" s="37"/>
      <c r="N950" s="30" t="n">
        <v>60000</v>
      </c>
      <c r="O950" s="30" t="n">
        <v>60000</v>
      </c>
      <c r="P950" s="36" t="n">
        <v>0</v>
      </c>
      <c r="Q950" s="302" t="n">
        <v>45852</v>
      </c>
    </row>
    <row r="951" customFormat="false" ht="14.25" hidden="true" customHeight="false" outlineLevel="0" collapsed="false">
      <c r="A951" s="26" t="n">
        <v>3262</v>
      </c>
      <c r="B951" s="34" t="s">
        <v>537</v>
      </c>
      <c r="C951" s="34"/>
      <c r="D951" s="34"/>
      <c r="E951" s="25" t="n">
        <v>45833</v>
      </c>
      <c r="F951" s="25" t="n">
        <v>45359</v>
      </c>
      <c r="G951" s="26" t="n">
        <v>20</v>
      </c>
      <c r="H951" s="71" t="e">
        <f aca="false">#DIV/0!</f>
        <v>#DIV/0!</v>
      </c>
      <c r="I951" s="71" t="e">
        <f aca="false">#DIV/0!</f>
        <v>#DIV/0!</v>
      </c>
      <c r="J951" s="38" t="s">
        <v>751</v>
      </c>
      <c r="K951" s="31" t="n">
        <v>20000</v>
      </c>
      <c r="L951" s="31" t="n">
        <v>30000</v>
      </c>
      <c r="M951" s="37"/>
      <c r="N951" s="30" t="n">
        <v>30000</v>
      </c>
      <c r="O951" s="30" t="n">
        <v>30000</v>
      </c>
      <c r="P951" s="36" t="n">
        <v>0</v>
      </c>
      <c r="Q951" s="302" t="n">
        <v>45852</v>
      </c>
    </row>
    <row r="952" customFormat="false" ht="14.25" hidden="true" customHeight="false" outlineLevel="0" collapsed="false">
      <c r="A952" s="26" t="n">
        <v>3267</v>
      </c>
      <c r="B952" s="34" t="s">
        <v>537</v>
      </c>
      <c r="C952" s="34"/>
      <c r="D952" s="34"/>
      <c r="E952" s="25" t="n">
        <v>45836</v>
      </c>
      <c r="F952" s="25" t="n">
        <v>45359</v>
      </c>
      <c r="G952" s="26" t="n">
        <v>20</v>
      </c>
      <c r="H952" s="71" t="e">
        <f aca="false">#DIV/0!</f>
        <v>#DIV/0!</v>
      </c>
      <c r="I952" s="71" t="e">
        <f aca="false">#DIV/0!</f>
        <v>#DIV/0!</v>
      </c>
      <c r="J952" s="38" t="s">
        <v>751</v>
      </c>
      <c r="K952" s="36" t="n">
        <v>20000</v>
      </c>
      <c r="L952" s="36" t="n">
        <v>30000</v>
      </c>
      <c r="M952" s="37"/>
      <c r="N952" s="30" t="n">
        <v>30000</v>
      </c>
      <c r="O952" s="30" t="n">
        <v>30000</v>
      </c>
      <c r="P952" s="36" t="n">
        <v>0</v>
      </c>
      <c r="Q952" s="302" t="n">
        <v>45852</v>
      </c>
    </row>
    <row r="953" customFormat="false" ht="14.25" hidden="true" customHeight="false" outlineLevel="0" collapsed="false">
      <c r="A953" s="26" t="n">
        <v>3278</v>
      </c>
      <c r="B953" s="34" t="s">
        <v>537</v>
      </c>
      <c r="C953" s="34"/>
      <c r="D953" s="34"/>
      <c r="E953" s="25" t="n">
        <v>45842</v>
      </c>
      <c r="F953" s="25" t="n">
        <v>45359</v>
      </c>
      <c r="G953" s="26" t="n">
        <v>20</v>
      </c>
      <c r="H953" s="71" t="e">
        <f aca="false">#DIV/0!</f>
        <v>#DIV/0!</v>
      </c>
      <c r="I953" s="71" t="e">
        <f aca="false">#DIV/0!</f>
        <v>#DIV/0!</v>
      </c>
      <c r="J953" s="38" t="s">
        <v>751</v>
      </c>
      <c r="K953" s="36" t="n">
        <v>20000</v>
      </c>
      <c r="L953" s="36" t="n">
        <v>30000</v>
      </c>
      <c r="M953" s="37"/>
      <c r="N953" s="30" t="n">
        <v>30000</v>
      </c>
      <c r="O953" s="30" t="n">
        <v>30000</v>
      </c>
      <c r="P953" s="36" t="n">
        <v>0</v>
      </c>
      <c r="Q953" s="302" t="n">
        <v>45852</v>
      </c>
    </row>
    <row r="954" customFormat="false" ht="14.9" hidden="false" customHeight="false" outlineLevel="0" collapsed="false">
      <c r="A954" s="26" t="n">
        <v>3119</v>
      </c>
      <c r="B954" s="21" t="s">
        <v>568</v>
      </c>
      <c r="C954" s="21" t="s">
        <v>569</v>
      </c>
      <c r="D954" s="34"/>
      <c r="E954" s="25" t="n">
        <v>45736</v>
      </c>
      <c r="F954" s="25" t="n">
        <v>45834</v>
      </c>
      <c r="G954" s="26" t="n">
        <v>70</v>
      </c>
      <c r="H954" s="71" t="n">
        <v>70</v>
      </c>
      <c r="I954" s="71" t="n">
        <v>0</v>
      </c>
      <c r="J954" s="22" t="s">
        <v>1270</v>
      </c>
      <c r="K954" s="36" t="n">
        <v>150000</v>
      </c>
      <c r="L954" s="36" t="n">
        <v>325500</v>
      </c>
      <c r="M954" s="37" t="n">
        <v>23250</v>
      </c>
      <c r="N954" s="30" t="n">
        <v>23250</v>
      </c>
      <c r="O954" s="30" t="n">
        <v>325500</v>
      </c>
      <c r="P954" s="36" t="n">
        <v>0</v>
      </c>
      <c r="Q954" s="302" t="n">
        <v>45852</v>
      </c>
    </row>
    <row r="955" customFormat="false" ht="14.9" hidden="true" customHeight="false" outlineLevel="0" collapsed="false">
      <c r="A955" s="26" t="n">
        <v>2990</v>
      </c>
      <c r="B955" s="21" t="s">
        <v>622</v>
      </c>
      <c r="C955" s="392"/>
      <c r="D955" s="34"/>
      <c r="E955" s="25" t="n">
        <v>45663</v>
      </c>
      <c r="F955" s="25" t="n">
        <v>45831</v>
      </c>
      <c r="G955" s="26" t="n">
        <v>120</v>
      </c>
      <c r="H955" s="71" t="n">
        <v>120</v>
      </c>
      <c r="I955" s="71" t="n">
        <v>0</v>
      </c>
      <c r="J955" s="35" t="s">
        <v>505</v>
      </c>
      <c r="K955" s="393" t="n">
        <v>300000</v>
      </c>
      <c r="L955" s="36" t="n">
        <v>792000</v>
      </c>
      <c r="M955" s="37" t="n">
        <v>33000</v>
      </c>
      <c r="N955" s="30" t="n">
        <v>132000</v>
      </c>
      <c r="O955" s="30" t="n">
        <v>792000</v>
      </c>
      <c r="P955" s="36" t="n">
        <v>0</v>
      </c>
      <c r="Q955" s="302" t="n">
        <v>45852</v>
      </c>
    </row>
    <row r="956" customFormat="false" ht="19.4" hidden="true" customHeight="false" outlineLevel="0" collapsed="false">
      <c r="A956" s="26" t="n">
        <v>2896</v>
      </c>
      <c r="B956" s="21" t="s">
        <v>634</v>
      </c>
      <c r="C956" s="21" t="s">
        <v>1130</v>
      </c>
      <c r="D956" s="34"/>
      <c r="E956" s="25" t="n">
        <v>45602</v>
      </c>
      <c r="F956" s="25" t="n">
        <v>45770</v>
      </c>
      <c r="G956" s="26" t="n">
        <v>120</v>
      </c>
      <c r="H956" s="71" t="n">
        <v>120</v>
      </c>
      <c r="I956" s="71" t="n">
        <v>0</v>
      </c>
      <c r="J956" s="35" t="s">
        <v>1271</v>
      </c>
      <c r="K956" s="36" t="n">
        <v>1000000</v>
      </c>
      <c r="L956" s="36" t="n">
        <v>2640000</v>
      </c>
      <c r="M956" s="37" t="n">
        <v>110000</v>
      </c>
      <c r="N956" s="30" t="n">
        <v>100000</v>
      </c>
      <c r="O956" s="30" t="n">
        <v>2640000</v>
      </c>
      <c r="P956" s="36" t="n">
        <v>0</v>
      </c>
      <c r="Q956" s="302" t="n">
        <v>45852</v>
      </c>
    </row>
    <row r="957" customFormat="false" ht="28.35" hidden="true" customHeight="false" outlineLevel="0" collapsed="false">
      <c r="A957" s="26" t="n">
        <v>3127</v>
      </c>
      <c r="B957" s="21" t="s">
        <v>1243</v>
      </c>
      <c r="C957" s="50" t="s">
        <v>314</v>
      </c>
      <c r="D957" s="34" t="n">
        <v>22375673</v>
      </c>
      <c r="E957" s="25" t="n">
        <v>45742</v>
      </c>
      <c r="F957" s="25" t="n">
        <v>45842</v>
      </c>
      <c r="G957" s="26" t="n">
        <v>72</v>
      </c>
      <c r="H957" s="71" t="n">
        <v>72</v>
      </c>
      <c r="I957" s="71" t="n">
        <v>0</v>
      </c>
      <c r="J957" s="22" t="s">
        <v>266</v>
      </c>
      <c r="K957" s="31" t="n">
        <v>100000</v>
      </c>
      <c r="L957" s="31" t="n">
        <v>216000</v>
      </c>
      <c r="M957" s="29" t="n">
        <v>15000</v>
      </c>
      <c r="N957" s="30" t="n">
        <v>3000</v>
      </c>
      <c r="O957" s="30" t="n">
        <v>216000</v>
      </c>
      <c r="P957" s="36" t="n">
        <v>0</v>
      </c>
      <c r="Q957" s="302" t="n">
        <v>45859</v>
      </c>
    </row>
    <row r="958" customFormat="false" ht="14.9" hidden="true" customHeight="false" outlineLevel="0" collapsed="false">
      <c r="A958" s="20" t="n">
        <v>3030</v>
      </c>
      <c r="B958" s="21" t="s">
        <v>336</v>
      </c>
      <c r="C958" s="21" t="s">
        <v>337</v>
      </c>
      <c r="D958" s="34"/>
      <c r="E958" s="25" t="n">
        <v>45684</v>
      </c>
      <c r="F958" s="25" t="n">
        <v>45852</v>
      </c>
      <c r="G958" s="26" t="n">
        <v>120</v>
      </c>
      <c r="H958" s="71" t="n">
        <v>120</v>
      </c>
      <c r="I958" s="71" t="n">
        <v>0</v>
      </c>
      <c r="J958" s="35" t="s">
        <v>1228</v>
      </c>
      <c r="K958" s="36" t="n">
        <v>100000</v>
      </c>
      <c r="L958" s="36" t="n">
        <v>264000</v>
      </c>
      <c r="M958" s="37" t="n">
        <v>11000</v>
      </c>
      <c r="N958" s="30" t="n">
        <v>44000</v>
      </c>
      <c r="O958" s="30" t="n">
        <v>264000</v>
      </c>
      <c r="P958" s="31" t="n">
        <v>0</v>
      </c>
      <c r="Q958" s="302" t="n">
        <v>45859</v>
      </c>
    </row>
    <row r="959" customFormat="false" ht="14.9" hidden="true" customHeight="false" outlineLevel="0" collapsed="false">
      <c r="A959" s="20" t="n">
        <v>3150</v>
      </c>
      <c r="B959" s="21" t="s">
        <v>336</v>
      </c>
      <c r="C959" s="21" t="s">
        <v>337</v>
      </c>
      <c r="D959" s="34"/>
      <c r="E959" s="25" t="n">
        <v>45758</v>
      </c>
      <c r="F959" s="25" t="n">
        <v>45870</v>
      </c>
      <c r="G959" s="26" t="n">
        <v>80</v>
      </c>
      <c r="H959" s="71" t="n">
        <v>80</v>
      </c>
      <c r="I959" s="71" t="n">
        <v>0</v>
      </c>
      <c r="J959" s="35" t="s">
        <v>954</v>
      </c>
      <c r="K959" s="31" t="n">
        <v>20000</v>
      </c>
      <c r="L959" s="31" t="n">
        <v>43200</v>
      </c>
      <c r="M959" s="37" t="n">
        <v>2700</v>
      </c>
      <c r="N959" s="30" t="n">
        <v>10800</v>
      </c>
      <c r="O959" s="30" t="n">
        <v>43200</v>
      </c>
      <c r="P959" s="31" t="n">
        <v>0</v>
      </c>
      <c r="Q959" s="302" t="n">
        <v>45859</v>
      </c>
    </row>
    <row r="960" customFormat="false" ht="19.4" hidden="true" customHeight="false" outlineLevel="0" collapsed="false">
      <c r="A960" s="20" t="n">
        <v>2964</v>
      </c>
      <c r="B960" s="21" t="s">
        <v>1182</v>
      </c>
      <c r="C960" s="21"/>
      <c r="D960" s="34"/>
      <c r="E960" s="25" t="n">
        <v>45647</v>
      </c>
      <c r="F960" s="25" t="n">
        <v>45800</v>
      </c>
      <c r="G960" s="26" t="n">
        <v>110</v>
      </c>
      <c r="H960" s="71" t="n">
        <v>110</v>
      </c>
      <c r="I960" s="71" t="n">
        <v>0</v>
      </c>
      <c r="J960" s="49" t="s">
        <v>1272</v>
      </c>
      <c r="K960" s="36" t="n">
        <v>100000</v>
      </c>
      <c r="L960" s="36" t="n">
        <v>264000</v>
      </c>
      <c r="M960" s="37" t="n">
        <v>12000</v>
      </c>
      <c r="N960" s="30" t="n">
        <v>24000</v>
      </c>
      <c r="O960" s="30" t="n">
        <v>264000</v>
      </c>
      <c r="P960" s="31" t="n">
        <v>0</v>
      </c>
      <c r="Q960" s="302" t="n">
        <v>45859</v>
      </c>
    </row>
    <row r="961" customFormat="false" ht="14.9" hidden="true" customHeight="false" outlineLevel="0" collapsed="false">
      <c r="A961" s="20" t="n">
        <v>3124</v>
      </c>
      <c r="B961" s="21" t="s">
        <v>380</v>
      </c>
      <c r="C961" s="21" t="s">
        <v>292</v>
      </c>
      <c r="D961" s="34"/>
      <c r="E961" s="25" t="n">
        <v>45741</v>
      </c>
      <c r="F961" s="25" t="n">
        <v>45841</v>
      </c>
      <c r="G961" s="26" t="n">
        <v>72</v>
      </c>
      <c r="H961" s="71" t="n">
        <v>72</v>
      </c>
      <c r="I961" s="71" t="n">
        <v>0</v>
      </c>
      <c r="J961" s="22" t="s">
        <v>381</v>
      </c>
      <c r="K961" s="36" t="n">
        <v>50000</v>
      </c>
      <c r="L961" s="36" t="n">
        <v>108000</v>
      </c>
      <c r="M961" s="37" t="n">
        <v>7500</v>
      </c>
      <c r="N961" s="30"/>
      <c r="O961" s="30" t="n">
        <v>108000</v>
      </c>
      <c r="P961" s="31" t="n">
        <v>0</v>
      </c>
      <c r="Q961" s="302" t="n">
        <v>45859</v>
      </c>
    </row>
    <row r="962" customFormat="false" ht="17.9" hidden="true" customHeight="false" outlineLevel="0" collapsed="false">
      <c r="A962" s="20" t="n">
        <v>3281</v>
      </c>
      <c r="B962" s="34" t="s">
        <v>429</v>
      </c>
      <c r="C962" s="34"/>
      <c r="D962" s="34"/>
      <c r="E962" s="25" t="n">
        <v>45849</v>
      </c>
      <c r="F962" s="25" t="n">
        <v>45777</v>
      </c>
      <c r="G962" s="26" t="n">
        <v>5</v>
      </c>
      <c r="H962" s="71" t="e">
        <f aca="false">#DIV/0!</f>
        <v>#DIV/0!</v>
      </c>
      <c r="I962" s="71" t="e">
        <f aca="false">#DIV/0!</f>
        <v>#DIV/0!</v>
      </c>
      <c r="J962" s="34" t="s">
        <v>580</v>
      </c>
      <c r="K962" s="36" t="n">
        <v>100000</v>
      </c>
      <c r="L962" s="36" t="n">
        <v>130000</v>
      </c>
      <c r="M962" s="37"/>
      <c r="N962" s="30" t="n">
        <v>130000</v>
      </c>
      <c r="O962" s="30" t="n">
        <v>130000</v>
      </c>
      <c r="P962" s="31" t="n">
        <v>0</v>
      </c>
      <c r="Q962" s="302" t="n">
        <v>45859</v>
      </c>
    </row>
    <row r="963" customFormat="false" ht="21.6" hidden="true" customHeight="false" outlineLevel="0" collapsed="false">
      <c r="A963" s="20" t="n">
        <v>3138</v>
      </c>
      <c r="B963" s="21" t="s">
        <v>1234</v>
      </c>
      <c r="C963" s="21" t="s">
        <v>451</v>
      </c>
      <c r="D963" s="34"/>
      <c r="E963" s="25" t="n">
        <v>45750</v>
      </c>
      <c r="F963" s="25" t="n">
        <v>45852</v>
      </c>
      <c r="G963" s="26" t="n">
        <v>72</v>
      </c>
      <c r="H963" s="71" t="n">
        <v>72</v>
      </c>
      <c r="I963" s="71" t="n">
        <v>0</v>
      </c>
      <c r="J963" s="22" t="s">
        <v>452</v>
      </c>
      <c r="K963" s="36" t="n">
        <v>30000</v>
      </c>
      <c r="L963" s="36" t="n">
        <v>64800</v>
      </c>
      <c r="M963" s="29" t="n">
        <v>4500</v>
      </c>
      <c r="N963" s="30" t="n">
        <v>1800</v>
      </c>
      <c r="O963" s="30" t="n">
        <v>64800</v>
      </c>
      <c r="P963" s="31" t="n">
        <v>0</v>
      </c>
      <c r="Q963" s="302" t="n">
        <v>45859</v>
      </c>
    </row>
    <row r="964" customFormat="false" ht="21.6" hidden="true" customHeight="false" outlineLevel="0" collapsed="false">
      <c r="A964" s="20" t="n">
        <v>2983</v>
      </c>
      <c r="B964" s="21" t="s">
        <v>1071</v>
      </c>
      <c r="C964" s="21" t="s">
        <v>451</v>
      </c>
      <c r="D964" s="34"/>
      <c r="E964" s="25" t="n">
        <v>45657</v>
      </c>
      <c r="F964" s="25" t="n">
        <v>45757</v>
      </c>
      <c r="G964" s="26" t="n">
        <v>72</v>
      </c>
      <c r="H964" s="71" t="n">
        <v>73.6666666666667</v>
      </c>
      <c r="I964" s="71" t="n">
        <v>-1.66666666666667</v>
      </c>
      <c r="J964" s="22" t="s">
        <v>749</v>
      </c>
      <c r="K964" s="36" t="n">
        <v>20000</v>
      </c>
      <c r="L964" s="36" t="n">
        <v>43200</v>
      </c>
      <c r="M964" s="37" t="n">
        <v>3000</v>
      </c>
      <c r="N964" s="30" t="n">
        <v>8000</v>
      </c>
      <c r="O964" s="30" t="n">
        <v>44200</v>
      </c>
      <c r="P964" s="36" t="n">
        <v>-1000</v>
      </c>
      <c r="Q964" s="302" t="n">
        <v>45859</v>
      </c>
    </row>
    <row r="965" customFormat="false" ht="14.9" hidden="true" customHeight="false" outlineLevel="0" collapsed="false">
      <c r="A965" s="20" t="n">
        <v>3065</v>
      </c>
      <c r="B965" s="21" t="s">
        <v>491</v>
      </c>
      <c r="C965" s="21" t="s">
        <v>492</v>
      </c>
      <c r="D965" s="34" t="n">
        <v>27329256826</v>
      </c>
      <c r="E965" s="25" t="n">
        <v>45705</v>
      </c>
      <c r="F965" s="25" t="n">
        <v>45873</v>
      </c>
      <c r="G965" s="26" t="n">
        <v>120</v>
      </c>
      <c r="H965" s="71" t="n">
        <v>120</v>
      </c>
      <c r="I965" s="71" t="n">
        <v>0</v>
      </c>
      <c r="J965" s="35" t="s">
        <v>1175</v>
      </c>
      <c r="K965" s="36" t="n">
        <v>50000</v>
      </c>
      <c r="L965" s="36" t="n">
        <v>132000</v>
      </c>
      <c r="M965" s="37" t="n">
        <v>5500</v>
      </c>
      <c r="N965" s="30" t="n">
        <v>48000</v>
      </c>
      <c r="O965" s="30" t="n">
        <v>132000</v>
      </c>
      <c r="P965" s="36" t="n">
        <v>0</v>
      </c>
      <c r="Q965" s="302" t="n">
        <v>45859</v>
      </c>
    </row>
    <row r="966" customFormat="false" ht="28.35" hidden="true" customHeight="false" outlineLevel="0" collapsed="false">
      <c r="A966" s="20" t="n">
        <v>3012</v>
      </c>
      <c r="B966" s="21" t="s">
        <v>548</v>
      </c>
      <c r="C966" s="21" t="s">
        <v>549</v>
      </c>
      <c r="D966" s="34" t="n">
        <v>20317686979</v>
      </c>
      <c r="E966" s="25" t="n">
        <v>45677</v>
      </c>
      <c r="F966" s="25" t="n">
        <v>45845</v>
      </c>
      <c r="G966" s="26" t="n">
        <v>120</v>
      </c>
      <c r="H966" s="71" t="n">
        <v>120</v>
      </c>
      <c r="I966" s="71" t="n">
        <v>0</v>
      </c>
      <c r="J966" s="35" t="s">
        <v>1273</v>
      </c>
      <c r="K966" s="31" t="n">
        <v>500000</v>
      </c>
      <c r="L966" s="31" t="n">
        <v>1320000</v>
      </c>
      <c r="M966" s="37" t="n">
        <v>55000</v>
      </c>
      <c r="N966" s="30" t="n">
        <v>220000</v>
      </c>
      <c r="O966" s="30" t="n">
        <v>1320000</v>
      </c>
      <c r="P966" s="36" t="n">
        <v>0</v>
      </c>
      <c r="Q966" s="302" t="n">
        <v>45859</v>
      </c>
    </row>
    <row r="967" customFormat="false" ht="14.9" hidden="false" customHeight="false" outlineLevel="0" collapsed="false">
      <c r="A967" s="26" t="n">
        <v>3084</v>
      </c>
      <c r="B967" s="21" t="s">
        <v>568</v>
      </c>
      <c r="C967" s="21" t="s">
        <v>569</v>
      </c>
      <c r="D967" s="34"/>
      <c r="E967" s="25" t="n">
        <v>45714</v>
      </c>
      <c r="F967" s="25" t="n">
        <v>45882</v>
      </c>
      <c r="G967" s="26" t="n">
        <v>120</v>
      </c>
      <c r="H967" s="71" t="n">
        <v>120</v>
      </c>
      <c r="I967" s="71" t="n">
        <v>0</v>
      </c>
      <c r="J967" s="35" t="s">
        <v>493</v>
      </c>
      <c r="K967" s="31" t="n">
        <v>150000</v>
      </c>
      <c r="L967" s="31" t="n">
        <v>396000</v>
      </c>
      <c r="M967" s="37" t="n">
        <v>16500</v>
      </c>
      <c r="N967" s="30" t="n">
        <v>66000</v>
      </c>
      <c r="O967" s="30" t="n">
        <v>396000</v>
      </c>
      <c r="P967" s="36" t="n">
        <v>0</v>
      </c>
      <c r="Q967" s="302" t="n">
        <v>45859</v>
      </c>
    </row>
    <row r="968" customFormat="false" ht="14.9" hidden="true" customHeight="false" outlineLevel="0" collapsed="false">
      <c r="A968" s="26" t="n">
        <v>3251</v>
      </c>
      <c r="B968" s="21" t="s">
        <v>578</v>
      </c>
      <c r="C968" s="21" t="s">
        <v>579</v>
      </c>
      <c r="D968" s="34"/>
      <c r="E968" s="25" t="n">
        <v>45827</v>
      </c>
      <c r="F968" s="25" t="n">
        <v>45853</v>
      </c>
      <c r="G968" s="26" t="n">
        <v>18</v>
      </c>
      <c r="H968" s="71" t="e">
        <f aca="false">#DIV/0!</f>
        <v>#DIV/0!</v>
      </c>
      <c r="I968" s="71" t="e">
        <f aca="false">#DIV/0!</f>
        <v>#DIV/0!</v>
      </c>
      <c r="J968" s="35" t="s">
        <v>580</v>
      </c>
      <c r="K968" s="36" t="n">
        <v>250000</v>
      </c>
      <c r="L968" s="36" t="n">
        <v>350000</v>
      </c>
      <c r="M968" s="37"/>
      <c r="N968" s="30" t="n">
        <v>350000</v>
      </c>
      <c r="O968" s="30" t="n">
        <v>350000</v>
      </c>
      <c r="P968" s="36" t="n">
        <v>0</v>
      </c>
      <c r="Q968" s="302" t="n">
        <v>45859</v>
      </c>
    </row>
    <row r="969" customFormat="false" ht="35.05" hidden="true" customHeight="false" outlineLevel="0" collapsed="false">
      <c r="A969" s="26" t="n">
        <v>2970</v>
      </c>
      <c r="B969" s="21" t="s">
        <v>584</v>
      </c>
      <c r="C969" s="21" t="s">
        <v>585</v>
      </c>
      <c r="D969" s="34"/>
      <c r="E969" s="25" t="n">
        <v>45650</v>
      </c>
      <c r="F969" s="25" t="n">
        <v>45804</v>
      </c>
      <c r="G969" s="26" t="n">
        <v>110</v>
      </c>
      <c r="H969" s="71" t="n">
        <v>110</v>
      </c>
      <c r="I969" s="71" t="n">
        <v>0</v>
      </c>
      <c r="J969" s="22" t="s">
        <v>1274</v>
      </c>
      <c r="K969" s="36" t="n">
        <v>400000</v>
      </c>
      <c r="L969" s="36" t="n">
        <v>1056000</v>
      </c>
      <c r="M969" s="37" t="n">
        <v>48000</v>
      </c>
      <c r="N969" s="30"/>
      <c r="O969" s="30" t="n">
        <v>1056000</v>
      </c>
      <c r="P969" s="36" t="n">
        <v>0</v>
      </c>
      <c r="Q969" s="302" t="n">
        <v>45859</v>
      </c>
    </row>
    <row r="970" customFormat="false" ht="35.05" hidden="true" customHeight="false" outlineLevel="0" collapsed="false">
      <c r="A970" s="26" t="n">
        <v>3043</v>
      </c>
      <c r="B970" s="21" t="s">
        <v>584</v>
      </c>
      <c r="C970" s="21" t="s">
        <v>585</v>
      </c>
      <c r="D970" s="34"/>
      <c r="E970" s="25" t="n">
        <v>45695</v>
      </c>
      <c r="F970" s="25" t="n">
        <v>45849</v>
      </c>
      <c r="G970" s="26" t="n">
        <v>110</v>
      </c>
      <c r="H970" s="71" t="n">
        <v>110</v>
      </c>
      <c r="I970" s="71" t="n">
        <v>0</v>
      </c>
      <c r="J970" s="22" t="s">
        <v>1275</v>
      </c>
      <c r="K970" s="31" t="n">
        <v>300000</v>
      </c>
      <c r="L970" s="31" t="n">
        <v>792000</v>
      </c>
      <c r="M970" s="37" t="n">
        <v>36000</v>
      </c>
      <c r="N970" s="30"/>
      <c r="O970" s="30" t="n">
        <v>792000</v>
      </c>
      <c r="P970" s="36" t="n">
        <v>0</v>
      </c>
      <c r="Q970" s="302" t="n">
        <v>45859</v>
      </c>
    </row>
    <row r="971" customFormat="false" ht="14.9" hidden="true" customHeight="false" outlineLevel="0" collapsed="false">
      <c r="A971" s="26" t="n">
        <v>3151</v>
      </c>
      <c r="B971" s="21" t="s">
        <v>599</v>
      </c>
      <c r="C971" s="21"/>
      <c r="D971" s="34"/>
      <c r="E971" s="25" t="n">
        <v>45759</v>
      </c>
      <c r="F971" s="25" t="n">
        <v>45856</v>
      </c>
      <c r="G971" s="26" t="n">
        <v>70</v>
      </c>
      <c r="H971" s="71" t="n">
        <v>70</v>
      </c>
      <c r="I971" s="71" t="n">
        <v>0</v>
      </c>
      <c r="J971" s="49" t="s">
        <v>1276</v>
      </c>
      <c r="K971" s="36" t="n">
        <v>80000</v>
      </c>
      <c r="L971" s="36" t="n">
        <v>172900</v>
      </c>
      <c r="M971" s="37" t="n">
        <v>12350</v>
      </c>
      <c r="N971" s="30" t="n">
        <v>22900</v>
      </c>
      <c r="O971" s="30" t="n">
        <v>172900</v>
      </c>
      <c r="P971" s="36" t="n">
        <v>0</v>
      </c>
      <c r="Q971" s="302" t="n">
        <v>45859</v>
      </c>
    </row>
    <row r="972" customFormat="false" ht="21.6" hidden="true" customHeight="false" outlineLevel="0" collapsed="false">
      <c r="A972" s="26" t="n">
        <v>3073</v>
      </c>
      <c r="B972" s="21" t="s">
        <v>619</v>
      </c>
      <c r="C972" s="21" t="s">
        <v>620</v>
      </c>
      <c r="D972" s="34"/>
      <c r="E972" s="25" t="n">
        <v>45708</v>
      </c>
      <c r="F972" s="25" t="n">
        <v>45810</v>
      </c>
      <c r="G972" s="26" t="n">
        <v>72</v>
      </c>
      <c r="H972" s="71" t="n">
        <v>73.3333333333333</v>
      </c>
      <c r="I972" s="71" t="n">
        <v>-1.33333333333333</v>
      </c>
      <c r="J972" s="22" t="s">
        <v>266</v>
      </c>
      <c r="K972" s="36" t="n">
        <v>100000</v>
      </c>
      <c r="L972" s="36" t="n">
        <v>216000</v>
      </c>
      <c r="M972" s="37" t="n">
        <v>15000</v>
      </c>
      <c r="N972" s="30" t="n">
        <v>35000</v>
      </c>
      <c r="O972" s="30" t="n">
        <v>220000</v>
      </c>
      <c r="P972" s="36" t="n">
        <v>-4000</v>
      </c>
      <c r="Q972" s="302" t="n">
        <v>45859</v>
      </c>
    </row>
    <row r="973" customFormat="false" ht="28.35" hidden="true" customHeight="false" outlineLevel="0" collapsed="false">
      <c r="A973" s="26" t="n">
        <v>2982</v>
      </c>
      <c r="B973" s="21" t="s">
        <v>326</v>
      </c>
      <c r="C973" s="21" t="s">
        <v>327</v>
      </c>
      <c r="D973" s="34" t="s">
        <v>328</v>
      </c>
      <c r="E973" s="25" t="n">
        <v>45657</v>
      </c>
      <c r="F973" s="25" t="n">
        <v>45853</v>
      </c>
      <c r="G973" s="26" t="n">
        <v>140</v>
      </c>
      <c r="H973" s="71" t="n">
        <v>140</v>
      </c>
      <c r="I973" s="71" t="n">
        <v>0</v>
      </c>
      <c r="J973" s="35" t="s">
        <v>1277</v>
      </c>
      <c r="K973" s="46" t="n">
        <v>150000</v>
      </c>
      <c r="L973" s="36" t="n">
        <v>406000</v>
      </c>
      <c r="M973" s="37" t="n">
        <v>14500</v>
      </c>
      <c r="N973" s="30" t="n">
        <v>14858</v>
      </c>
      <c r="O973" s="30" t="n">
        <v>406000</v>
      </c>
      <c r="P973" s="36" t="n">
        <v>0</v>
      </c>
      <c r="Q973" s="302" t="n">
        <v>45866</v>
      </c>
    </row>
    <row r="974" customFormat="false" ht="21.6" hidden="true" customHeight="false" outlineLevel="0" collapsed="false">
      <c r="A974" s="20" t="n">
        <v>3095</v>
      </c>
      <c r="B974" s="21" t="s">
        <v>385</v>
      </c>
      <c r="C974" s="21" t="s">
        <v>386</v>
      </c>
      <c r="D974" s="34"/>
      <c r="E974" s="25" t="n">
        <v>45723</v>
      </c>
      <c r="F974" s="25" t="n">
        <v>45835</v>
      </c>
      <c r="G974" s="26" t="n">
        <v>80</v>
      </c>
      <c r="H974" s="71" t="n">
        <v>80</v>
      </c>
      <c r="I974" s="71" t="n">
        <v>0</v>
      </c>
      <c r="J974" s="35" t="s">
        <v>388</v>
      </c>
      <c r="K974" s="36" t="n">
        <v>50000</v>
      </c>
      <c r="L974" s="36" t="n">
        <v>108000</v>
      </c>
      <c r="M974" s="37" t="n">
        <v>6750</v>
      </c>
      <c r="N974" s="30" t="n">
        <v>27000</v>
      </c>
      <c r="O974" s="30" t="n">
        <v>108000</v>
      </c>
      <c r="P974" s="31" t="n">
        <v>0</v>
      </c>
      <c r="Q974" s="302" t="n">
        <v>45866</v>
      </c>
    </row>
    <row r="975" customFormat="false" ht="17.9" hidden="true" customHeight="false" outlineLevel="0" collapsed="false">
      <c r="A975" s="20" t="n">
        <v>3309</v>
      </c>
      <c r="B975" s="34" t="s">
        <v>429</v>
      </c>
      <c r="C975" s="34"/>
      <c r="D975" s="34"/>
      <c r="E975" s="25" t="n">
        <v>45861</v>
      </c>
      <c r="F975" s="25" t="n">
        <v>45777</v>
      </c>
      <c r="G975" s="26" t="n">
        <v>5</v>
      </c>
      <c r="H975" s="71" t="e">
        <f aca="false">#DIV/0!</f>
        <v>#DIV/0!</v>
      </c>
      <c r="I975" s="71" t="e">
        <f aca="false">#DIV/0!</f>
        <v>#DIV/0!</v>
      </c>
      <c r="J975" s="34" t="s">
        <v>580</v>
      </c>
      <c r="K975" s="36" t="n">
        <v>100000</v>
      </c>
      <c r="L975" s="36" t="n">
        <v>130000</v>
      </c>
      <c r="M975" s="37"/>
      <c r="N975" s="30" t="n">
        <v>130000</v>
      </c>
      <c r="O975" s="30" t="n">
        <v>130000</v>
      </c>
      <c r="P975" s="31" t="n">
        <v>0</v>
      </c>
      <c r="Q975" s="302" t="n">
        <v>45866</v>
      </c>
    </row>
    <row r="976" customFormat="false" ht="17.9" hidden="true" customHeight="false" outlineLevel="0" collapsed="false">
      <c r="A976" s="20" t="n">
        <v>3310</v>
      </c>
      <c r="B976" s="34" t="s">
        <v>429</v>
      </c>
      <c r="C976" s="34"/>
      <c r="D976" s="34"/>
      <c r="E976" s="25" t="n">
        <v>45861</v>
      </c>
      <c r="F976" s="25" t="n">
        <v>45777</v>
      </c>
      <c r="G976" s="26" t="n">
        <v>5</v>
      </c>
      <c r="H976" s="71" t="e">
        <f aca="false">#DIV/0!</f>
        <v>#DIV/0!</v>
      </c>
      <c r="I976" s="71" t="e">
        <f aca="false">#DIV/0!</f>
        <v>#DIV/0!</v>
      </c>
      <c r="J976" s="34" t="s">
        <v>580</v>
      </c>
      <c r="K976" s="36" t="n">
        <v>130000</v>
      </c>
      <c r="L976" s="36" t="n">
        <v>169000</v>
      </c>
      <c r="M976" s="37"/>
      <c r="N976" s="30" t="n">
        <v>169000</v>
      </c>
      <c r="O976" s="30" t="n">
        <v>169000</v>
      </c>
      <c r="P976" s="31" t="n">
        <v>0</v>
      </c>
      <c r="Q976" s="302" t="n">
        <v>45866</v>
      </c>
    </row>
    <row r="977" customFormat="false" ht="14.9" hidden="true" customHeight="false" outlineLevel="0" collapsed="false">
      <c r="A977" s="20" t="n">
        <v>3154</v>
      </c>
      <c r="B977" s="21" t="s">
        <v>581</v>
      </c>
      <c r="C977" s="21" t="s">
        <v>582</v>
      </c>
      <c r="D977" s="44"/>
      <c r="E977" s="25" t="n">
        <v>45763</v>
      </c>
      <c r="F977" s="25" t="n">
        <v>45863</v>
      </c>
      <c r="G977" s="26" t="n">
        <v>72</v>
      </c>
      <c r="H977" s="71" t="n">
        <v>72</v>
      </c>
      <c r="I977" s="71" t="n">
        <v>0</v>
      </c>
      <c r="J977" s="22" t="s">
        <v>381</v>
      </c>
      <c r="K977" s="36" t="n">
        <v>50000</v>
      </c>
      <c r="L977" s="36" t="n">
        <v>108000</v>
      </c>
      <c r="M977" s="29" t="n">
        <v>7500</v>
      </c>
      <c r="N977" s="30" t="n">
        <v>10500</v>
      </c>
      <c r="O977" s="30" t="n">
        <v>108000</v>
      </c>
      <c r="P977" s="31" t="n">
        <v>0</v>
      </c>
      <c r="Q977" s="302" t="n">
        <v>45866</v>
      </c>
    </row>
    <row r="978" customFormat="false" ht="28.35" hidden="true" customHeight="false" outlineLevel="0" collapsed="false">
      <c r="A978" s="26" t="n">
        <v>3168</v>
      </c>
      <c r="B978" s="21" t="s">
        <v>222</v>
      </c>
      <c r="C978" s="21" t="s">
        <v>219</v>
      </c>
      <c r="D978" s="34"/>
      <c r="E978" s="25" t="n">
        <v>45772</v>
      </c>
      <c r="F978" s="25" t="n">
        <v>45874</v>
      </c>
      <c r="G978" s="26" t="n">
        <v>72</v>
      </c>
      <c r="H978" s="71" t="n">
        <v>72</v>
      </c>
      <c r="I978" s="71" t="n">
        <v>0</v>
      </c>
      <c r="J978" s="22" t="s">
        <v>1123</v>
      </c>
      <c r="K978" s="36" t="n">
        <v>80000</v>
      </c>
      <c r="L978" s="36" t="n">
        <v>172800</v>
      </c>
      <c r="M978" s="37" t="n">
        <v>12000</v>
      </c>
      <c r="N978" s="30" t="n">
        <v>16800</v>
      </c>
      <c r="O978" s="30" t="n">
        <v>172800</v>
      </c>
      <c r="P978" s="36" t="n">
        <v>0</v>
      </c>
      <c r="Q978" s="302" t="n">
        <v>45873</v>
      </c>
    </row>
    <row r="979" customFormat="false" ht="28.35" hidden="true" customHeight="false" outlineLevel="0" collapsed="false">
      <c r="A979" s="20" t="n">
        <v>3123</v>
      </c>
      <c r="B979" s="21" t="s">
        <v>260</v>
      </c>
      <c r="C979" s="21" t="s">
        <v>261</v>
      </c>
      <c r="D979" s="34"/>
      <c r="E979" s="25" t="n">
        <v>45740</v>
      </c>
      <c r="F979" s="25" t="n">
        <v>45852</v>
      </c>
      <c r="G979" s="42" t="n">
        <v>80</v>
      </c>
      <c r="H979" s="71" t="n">
        <v>80</v>
      </c>
      <c r="I979" s="71" t="n">
        <v>0</v>
      </c>
      <c r="J979" s="35" t="s">
        <v>1278</v>
      </c>
      <c r="K979" s="328" t="n">
        <v>1600000</v>
      </c>
      <c r="L979" s="36" t="n">
        <v>3456000</v>
      </c>
      <c r="M979" s="37" t="n">
        <v>216000</v>
      </c>
      <c r="N979" s="30" t="n">
        <v>264000</v>
      </c>
      <c r="O979" s="30" t="n">
        <v>3456000</v>
      </c>
      <c r="P979" s="31" t="n">
        <v>0</v>
      </c>
      <c r="Q979" s="302" t="n">
        <v>45873</v>
      </c>
    </row>
    <row r="980" customFormat="false" ht="19.4" hidden="true" customHeight="false" outlineLevel="0" collapsed="false">
      <c r="A980" s="20" t="n">
        <v>2824</v>
      </c>
      <c r="B980" s="21" t="s">
        <v>269</v>
      </c>
      <c r="C980" s="21"/>
      <c r="D980" s="34" t="n">
        <v>24016318</v>
      </c>
      <c r="E980" s="25" t="n">
        <v>45559</v>
      </c>
      <c r="F980" s="25" t="n">
        <v>45671</v>
      </c>
      <c r="G980" s="26" t="n">
        <v>80</v>
      </c>
      <c r="H980" s="71" t="n">
        <v>80</v>
      </c>
      <c r="I980" s="71" t="n">
        <v>0</v>
      </c>
      <c r="J980" s="35" t="s">
        <v>1279</v>
      </c>
      <c r="K980" s="31" t="n">
        <v>1000000</v>
      </c>
      <c r="L980" s="31" t="n">
        <v>2160000</v>
      </c>
      <c r="M980" s="37" t="n">
        <v>135000</v>
      </c>
      <c r="N980" s="30" t="n">
        <v>375000</v>
      </c>
      <c r="O980" s="30" t="n">
        <v>2160000</v>
      </c>
      <c r="P980" s="31" t="n">
        <v>0</v>
      </c>
      <c r="Q980" s="302" t="n">
        <v>45873</v>
      </c>
    </row>
    <row r="981" customFormat="false" ht="14.9" hidden="true" customHeight="false" outlineLevel="0" collapsed="false">
      <c r="A981" s="20" t="n">
        <v>2974</v>
      </c>
      <c r="B981" s="21" t="s">
        <v>374</v>
      </c>
      <c r="C981" s="21"/>
      <c r="D981" s="34"/>
      <c r="E981" s="25" t="n">
        <v>45652</v>
      </c>
      <c r="F981" s="25" t="n">
        <v>45764</v>
      </c>
      <c r="G981" s="26" t="n">
        <v>80</v>
      </c>
      <c r="H981" s="71" t="n">
        <v>80</v>
      </c>
      <c r="I981" s="71" t="n">
        <v>0</v>
      </c>
      <c r="J981" s="35" t="s">
        <v>376</v>
      </c>
      <c r="K981" s="36" t="n">
        <v>100000</v>
      </c>
      <c r="L981" s="36" t="n">
        <v>216000</v>
      </c>
      <c r="M981" s="37" t="n">
        <v>13500</v>
      </c>
      <c r="N981" s="30" t="n">
        <v>54000</v>
      </c>
      <c r="O981" s="30" t="n">
        <v>216000</v>
      </c>
      <c r="P981" s="31" t="n">
        <v>0</v>
      </c>
      <c r="Q981" s="302" t="n">
        <v>45873</v>
      </c>
    </row>
    <row r="982" customFormat="false" ht="28.35" hidden="true" customHeight="false" outlineLevel="0" collapsed="false">
      <c r="A982" s="20" t="n">
        <v>3303</v>
      </c>
      <c r="B982" s="21" t="s">
        <v>396</v>
      </c>
      <c r="C982" s="21" t="s">
        <v>1280</v>
      </c>
      <c r="D982" s="34" t="n">
        <v>27355741082</v>
      </c>
      <c r="E982" s="25" t="n">
        <v>45860</v>
      </c>
      <c r="F982" s="25" t="n">
        <v>45881</v>
      </c>
      <c r="G982" s="26" t="n">
        <v>15</v>
      </c>
      <c r="H982" s="320" t="e">
        <f aca="false">#VALUE!</f>
        <v>#VALUE!</v>
      </c>
      <c r="I982" s="320" t="e">
        <f aca="false">#VALUE!</f>
        <v>#VALUE!</v>
      </c>
      <c r="J982" s="22" t="s">
        <v>538</v>
      </c>
      <c r="K982" s="31" t="n">
        <v>200000</v>
      </c>
      <c r="L982" s="31" t="n">
        <v>280000</v>
      </c>
      <c r="M982" s="37" t="s">
        <v>214</v>
      </c>
      <c r="N982" s="30" t="n">
        <v>280000</v>
      </c>
      <c r="O982" s="30" t="n">
        <v>280000</v>
      </c>
      <c r="P982" s="31" t="n">
        <v>0</v>
      </c>
      <c r="Q982" s="302" t="n">
        <v>45873</v>
      </c>
    </row>
    <row r="983" customFormat="false" ht="17.9" hidden="true" customHeight="false" outlineLevel="0" collapsed="false">
      <c r="A983" s="20" t="n">
        <v>3328</v>
      </c>
      <c r="B983" s="34" t="s">
        <v>429</v>
      </c>
      <c r="C983" s="34"/>
      <c r="D983" s="34"/>
      <c r="E983" s="25" t="n">
        <v>45869</v>
      </c>
      <c r="F983" s="25" t="n">
        <v>45777</v>
      </c>
      <c r="G983" s="26" t="n">
        <v>5</v>
      </c>
      <c r="H983" s="71" t="e">
        <f aca="false">#DIV/0!</f>
        <v>#DIV/0!</v>
      </c>
      <c r="I983" s="71" t="e">
        <f aca="false">#DIV/0!</f>
        <v>#DIV/0!</v>
      </c>
      <c r="J983" s="34" t="s">
        <v>580</v>
      </c>
      <c r="K983" s="36" t="n">
        <v>100000</v>
      </c>
      <c r="L983" s="36" t="n">
        <v>130000</v>
      </c>
      <c r="M983" s="29"/>
      <c r="N983" s="30" t="n">
        <v>130000</v>
      </c>
      <c r="O983" s="30" t="n">
        <v>130000</v>
      </c>
      <c r="P983" s="31" t="n">
        <v>0</v>
      </c>
      <c r="Q983" s="302" t="n">
        <v>45873</v>
      </c>
    </row>
    <row r="984" customFormat="false" ht="17.9" hidden="true" customHeight="false" outlineLevel="0" collapsed="false">
      <c r="A984" s="20" t="n">
        <v>3329</v>
      </c>
      <c r="B984" s="34" t="s">
        <v>429</v>
      </c>
      <c r="C984" s="34"/>
      <c r="D984" s="34"/>
      <c r="E984" s="25" t="n">
        <v>45869</v>
      </c>
      <c r="F984" s="25" t="n">
        <v>45777</v>
      </c>
      <c r="G984" s="26" t="n">
        <v>5</v>
      </c>
      <c r="H984" s="71" t="e">
        <f aca="false">#DIV/0!</f>
        <v>#DIV/0!</v>
      </c>
      <c r="I984" s="71" t="e">
        <f aca="false">#DIV/0!</f>
        <v>#DIV/0!</v>
      </c>
      <c r="J984" s="34" t="s">
        <v>580</v>
      </c>
      <c r="K984" s="31" t="n">
        <v>130000</v>
      </c>
      <c r="L984" s="31" t="n">
        <v>169000</v>
      </c>
      <c r="M984" s="29"/>
      <c r="N984" s="30" t="n">
        <v>169000</v>
      </c>
      <c r="O984" s="30" t="n">
        <v>169000</v>
      </c>
      <c r="P984" s="31" t="n">
        <v>0</v>
      </c>
      <c r="Q984" s="302" t="n">
        <v>45873</v>
      </c>
    </row>
    <row r="985" customFormat="false" ht="28.35" hidden="true" customHeight="false" outlineLevel="0" collapsed="false">
      <c r="A985" s="20" t="n">
        <v>3038</v>
      </c>
      <c r="B985" s="21" t="s">
        <v>430</v>
      </c>
      <c r="C985" s="21" t="s">
        <v>431</v>
      </c>
      <c r="D985" s="34"/>
      <c r="E985" s="25" t="n">
        <v>45692</v>
      </c>
      <c r="F985" s="25" t="n">
        <v>45860</v>
      </c>
      <c r="G985" s="26" t="n">
        <v>120</v>
      </c>
      <c r="H985" s="71" t="n">
        <v>120</v>
      </c>
      <c r="I985" s="71" t="n">
        <v>0</v>
      </c>
      <c r="J985" s="65" t="s">
        <v>1281</v>
      </c>
      <c r="K985" s="57" t="n">
        <v>100000</v>
      </c>
      <c r="L985" s="36" t="n">
        <v>264000</v>
      </c>
      <c r="M985" s="37" t="n">
        <v>11000</v>
      </c>
      <c r="N985" s="30" t="n">
        <v>44000</v>
      </c>
      <c r="O985" s="30" t="n">
        <v>264000</v>
      </c>
      <c r="P985" s="31" t="n">
        <v>0</v>
      </c>
      <c r="Q985" s="302" t="n">
        <v>45873</v>
      </c>
    </row>
    <row r="986" customFormat="false" ht="28.35" hidden="true" customHeight="false" outlineLevel="0" collapsed="false">
      <c r="A986" s="20" t="n">
        <v>2950</v>
      </c>
      <c r="B986" s="21" t="s">
        <v>779</v>
      </c>
      <c r="C986" s="21"/>
      <c r="D986" s="34"/>
      <c r="E986" s="25" t="n">
        <v>45635</v>
      </c>
      <c r="F986" s="25" t="n">
        <v>45859</v>
      </c>
      <c r="G986" s="26" t="n">
        <v>160</v>
      </c>
      <c r="H986" s="71" t="n">
        <v>160</v>
      </c>
      <c r="I986" s="71" t="n">
        <v>0</v>
      </c>
      <c r="J986" s="35" t="s">
        <v>372</v>
      </c>
      <c r="K986" s="66" t="n">
        <v>200000</v>
      </c>
      <c r="L986" s="31" t="n">
        <v>600000</v>
      </c>
      <c r="M986" s="29" t="n">
        <v>18750</v>
      </c>
      <c r="N986" s="30" t="n">
        <v>75000</v>
      </c>
      <c r="O986" s="30" t="n">
        <v>600000</v>
      </c>
      <c r="P986" s="31" t="n">
        <v>0</v>
      </c>
      <c r="Q986" s="302" t="n">
        <v>45873</v>
      </c>
    </row>
    <row r="987" customFormat="false" ht="28.35" hidden="true" customHeight="false" outlineLevel="0" collapsed="false">
      <c r="A987" s="26" t="n">
        <v>3036</v>
      </c>
      <c r="B987" s="21" t="s">
        <v>779</v>
      </c>
      <c r="C987" s="21"/>
      <c r="D987" s="34"/>
      <c r="E987" s="25" t="n">
        <v>45688</v>
      </c>
      <c r="F987" s="25" t="n">
        <v>45856</v>
      </c>
      <c r="G987" s="26" t="n">
        <v>120</v>
      </c>
      <c r="H987" s="71" t="n">
        <v>120</v>
      </c>
      <c r="I987" s="71" t="n">
        <v>0</v>
      </c>
      <c r="J987" s="35" t="s">
        <v>295</v>
      </c>
      <c r="K987" s="36" t="n">
        <v>200000</v>
      </c>
      <c r="L987" s="36" t="n">
        <v>528000</v>
      </c>
      <c r="M987" s="37" t="n">
        <v>22000</v>
      </c>
      <c r="N987" s="30" t="n">
        <v>88000</v>
      </c>
      <c r="O987" s="30" t="n">
        <v>528000</v>
      </c>
      <c r="P987" s="36" t="n">
        <v>0</v>
      </c>
      <c r="Q987" s="302" t="n">
        <v>45873</v>
      </c>
    </row>
    <row r="988" customFormat="false" ht="28.35" hidden="true" customHeight="false" outlineLevel="0" collapsed="false">
      <c r="A988" s="26" t="n">
        <v>3079</v>
      </c>
      <c r="B988" s="21" t="s">
        <v>779</v>
      </c>
      <c r="C988" s="21"/>
      <c r="D988" s="34"/>
      <c r="E988" s="25" t="n">
        <v>45713</v>
      </c>
      <c r="F988" s="25" t="n">
        <v>45881</v>
      </c>
      <c r="G988" s="26" t="n">
        <v>120</v>
      </c>
      <c r="H988" s="71" t="n">
        <v>120</v>
      </c>
      <c r="I988" s="71" t="n">
        <v>0</v>
      </c>
      <c r="J988" s="35" t="s">
        <v>418</v>
      </c>
      <c r="K988" s="31" t="n">
        <v>100000</v>
      </c>
      <c r="L988" s="31" t="n">
        <v>264000</v>
      </c>
      <c r="M988" s="37" t="n">
        <v>11000</v>
      </c>
      <c r="N988" s="30" t="n">
        <v>44000</v>
      </c>
      <c r="O988" s="30" t="n">
        <v>264000</v>
      </c>
      <c r="P988" s="36" t="n">
        <v>0</v>
      </c>
      <c r="Q988" s="302" t="n">
        <v>45873</v>
      </c>
    </row>
    <row r="989" customFormat="false" ht="14.9" hidden="true" customHeight="false" outlineLevel="0" collapsed="false">
      <c r="A989" s="26" t="n">
        <v>3114</v>
      </c>
      <c r="B989" s="21" t="s">
        <v>519</v>
      </c>
      <c r="C989" s="21" t="s">
        <v>520</v>
      </c>
      <c r="D989" s="34"/>
      <c r="E989" s="25" t="n">
        <v>45734</v>
      </c>
      <c r="F989" s="25" t="n">
        <v>45834</v>
      </c>
      <c r="G989" s="26" t="n">
        <v>72</v>
      </c>
      <c r="H989" s="71" t="n">
        <v>75.3333333333333</v>
      </c>
      <c r="I989" s="71" t="n">
        <v>-3.33333333333333</v>
      </c>
      <c r="J989" s="22" t="s">
        <v>381</v>
      </c>
      <c r="K989" s="31" t="n">
        <v>50000</v>
      </c>
      <c r="L989" s="31" t="n">
        <v>108000</v>
      </c>
      <c r="M989" s="37" t="n">
        <v>7500</v>
      </c>
      <c r="N989" s="30" t="n">
        <v>7500</v>
      </c>
      <c r="O989" s="30" t="n">
        <v>113000</v>
      </c>
      <c r="P989" s="36" t="n">
        <v>-5000</v>
      </c>
      <c r="Q989" s="302" t="n">
        <v>45873</v>
      </c>
    </row>
    <row r="990" customFormat="false" ht="14.9" hidden="true" customHeight="false" outlineLevel="0" collapsed="false">
      <c r="A990" s="26" t="n">
        <v>3136</v>
      </c>
      <c r="B990" s="21" t="s">
        <v>519</v>
      </c>
      <c r="C990" s="21" t="s">
        <v>520</v>
      </c>
      <c r="D990" s="34"/>
      <c r="E990" s="25" t="n">
        <v>45748</v>
      </c>
      <c r="F990" s="25" t="n">
        <v>45848</v>
      </c>
      <c r="G990" s="26" t="n">
        <v>72</v>
      </c>
      <c r="H990" s="71" t="n">
        <v>72</v>
      </c>
      <c r="I990" s="71" t="n">
        <v>0</v>
      </c>
      <c r="J990" s="22" t="s">
        <v>266</v>
      </c>
      <c r="K990" s="36" t="n">
        <v>100000</v>
      </c>
      <c r="L990" s="36" t="n">
        <v>216000</v>
      </c>
      <c r="M990" s="37" t="n">
        <v>15000</v>
      </c>
      <c r="N990" s="30" t="n">
        <v>46000</v>
      </c>
      <c r="O990" s="30" t="n">
        <v>216000</v>
      </c>
      <c r="P990" s="36" t="n">
        <v>0</v>
      </c>
      <c r="Q990" s="302" t="n">
        <v>45873</v>
      </c>
    </row>
    <row r="991" customFormat="false" ht="14.9" hidden="true" customHeight="false" outlineLevel="0" collapsed="false">
      <c r="A991" s="26" t="n">
        <v>3145</v>
      </c>
      <c r="B991" s="21" t="s">
        <v>519</v>
      </c>
      <c r="C991" s="21" t="s">
        <v>520</v>
      </c>
      <c r="D991" s="34"/>
      <c r="E991" s="25" t="n">
        <v>45755</v>
      </c>
      <c r="F991" s="25" t="n">
        <v>45855</v>
      </c>
      <c r="G991" s="26" t="n">
        <v>72</v>
      </c>
      <c r="H991" s="71" t="n">
        <v>72</v>
      </c>
      <c r="I991" s="71" t="n">
        <v>0</v>
      </c>
      <c r="J991" s="22" t="s">
        <v>452</v>
      </c>
      <c r="K991" s="31" t="n">
        <v>30000</v>
      </c>
      <c r="L991" s="31" t="n">
        <v>64800</v>
      </c>
      <c r="M991" s="37" t="n">
        <v>4500</v>
      </c>
      <c r="N991" s="30" t="n">
        <v>16800</v>
      </c>
      <c r="O991" s="30" t="n">
        <v>64800</v>
      </c>
      <c r="P991" s="36" t="n">
        <v>0</v>
      </c>
      <c r="Q991" s="302" t="n">
        <v>45873</v>
      </c>
    </row>
    <row r="992" customFormat="false" ht="21.6" hidden="true" customHeight="false" outlineLevel="0" collapsed="false">
      <c r="A992" s="26" t="n">
        <v>3157</v>
      </c>
      <c r="B992" s="21" t="s">
        <v>1282</v>
      </c>
      <c r="C992" s="21"/>
      <c r="D992" s="34"/>
      <c r="E992" s="25" t="n">
        <v>45768</v>
      </c>
      <c r="F992" s="25" t="n">
        <v>45866</v>
      </c>
      <c r="G992" s="26" t="n">
        <v>70</v>
      </c>
      <c r="H992" s="71" t="n">
        <v>70</v>
      </c>
      <c r="I992" s="71" t="n">
        <v>0</v>
      </c>
      <c r="J992" s="35" t="s">
        <v>1223</v>
      </c>
      <c r="K992" s="57" t="n">
        <v>50000</v>
      </c>
      <c r="L992" s="36" t="n">
        <v>108000</v>
      </c>
      <c r="M992" s="56" t="n">
        <v>7714.28571428572</v>
      </c>
      <c r="N992" s="30" t="n">
        <v>27000</v>
      </c>
      <c r="O992" s="30" t="n">
        <v>108000</v>
      </c>
      <c r="P992" s="36" t="n">
        <v>0</v>
      </c>
      <c r="Q992" s="302" t="n">
        <v>45873</v>
      </c>
    </row>
    <row r="993" customFormat="false" ht="14.9" hidden="true" customHeight="false" outlineLevel="0" collapsed="false">
      <c r="A993" s="26" t="n">
        <v>3132</v>
      </c>
      <c r="B993" s="21" t="s">
        <v>1283</v>
      </c>
      <c r="C993" s="21"/>
      <c r="D993" s="34"/>
      <c r="E993" s="25" t="n">
        <v>45746</v>
      </c>
      <c r="F993" s="25" t="n">
        <v>45846</v>
      </c>
      <c r="G993" s="26" t="n">
        <v>72</v>
      </c>
      <c r="H993" s="71" t="n">
        <v>72</v>
      </c>
      <c r="I993" s="71" t="n">
        <v>0</v>
      </c>
      <c r="J993" s="22" t="s">
        <v>266</v>
      </c>
      <c r="K993" s="36" t="n">
        <v>100000</v>
      </c>
      <c r="L993" s="36" t="n">
        <v>216000</v>
      </c>
      <c r="M993" s="29" t="n">
        <v>15000</v>
      </c>
      <c r="N993" s="30" t="n">
        <v>36000</v>
      </c>
      <c r="O993" s="30" t="n">
        <v>216000</v>
      </c>
      <c r="P993" s="36" t="n">
        <v>0</v>
      </c>
      <c r="Q993" s="302" t="n">
        <v>45873</v>
      </c>
    </row>
    <row r="994" customFormat="false" ht="19.4" hidden="true" customHeight="false" outlineLevel="0" collapsed="false">
      <c r="A994" s="26" t="n">
        <v>3134</v>
      </c>
      <c r="B994" s="21" t="s">
        <v>1284</v>
      </c>
      <c r="C994" s="21" t="s">
        <v>426</v>
      </c>
      <c r="D994" s="34"/>
      <c r="E994" s="25" t="n">
        <v>45747</v>
      </c>
      <c r="F994" s="25" t="n">
        <v>45859</v>
      </c>
      <c r="G994" s="26" t="n">
        <v>80</v>
      </c>
      <c r="H994" s="71" t="n">
        <v>80</v>
      </c>
      <c r="I994" s="71" t="n">
        <v>0</v>
      </c>
      <c r="J994" s="35" t="s">
        <v>1258</v>
      </c>
      <c r="K994" s="36" t="n">
        <v>100000</v>
      </c>
      <c r="L994" s="36" t="n">
        <v>216000</v>
      </c>
      <c r="M994" s="37" t="n">
        <v>13500</v>
      </c>
      <c r="N994" s="30" t="n">
        <v>54000</v>
      </c>
      <c r="O994" s="30" t="n">
        <v>216000</v>
      </c>
      <c r="P994" s="36" t="n">
        <v>0</v>
      </c>
      <c r="Q994" s="302" t="n">
        <v>45880</v>
      </c>
    </row>
    <row r="995" customFormat="false" ht="14.25" hidden="true" customHeight="false" outlineLevel="0" collapsed="false">
      <c r="A995" s="20" t="n">
        <v>3285</v>
      </c>
      <c r="B995" s="21" t="s">
        <v>861</v>
      </c>
      <c r="C995" s="21"/>
      <c r="D995" s="34"/>
      <c r="E995" s="25" t="n">
        <v>45850</v>
      </c>
      <c r="F995" s="25" t="n">
        <v>45820</v>
      </c>
      <c r="G995" s="26" t="n">
        <v>20</v>
      </c>
      <c r="H995" s="71" t="e">
        <f aca="false">#VALUE!</f>
        <v>#VALUE!</v>
      </c>
      <c r="I995" s="71" t="e">
        <f aca="false">#VALUE!</f>
        <v>#VALUE!</v>
      </c>
      <c r="J995" s="35" t="s">
        <v>538</v>
      </c>
      <c r="K995" s="36" t="n">
        <v>75000</v>
      </c>
      <c r="L995" s="36" t="n">
        <v>112500</v>
      </c>
      <c r="M995" s="37" t="s">
        <v>214</v>
      </c>
      <c r="N995" s="30" t="n">
        <v>112500</v>
      </c>
      <c r="O995" s="30" t="n">
        <v>112500</v>
      </c>
      <c r="P995" s="36" t="n">
        <v>0</v>
      </c>
      <c r="Q995" s="302" t="n">
        <v>45880</v>
      </c>
    </row>
    <row r="996" customFormat="false" ht="14.25" hidden="true" customHeight="false" outlineLevel="0" collapsed="false">
      <c r="A996" s="26" t="n">
        <v>3286</v>
      </c>
      <c r="B996" s="21" t="s">
        <v>861</v>
      </c>
      <c r="C996" s="21"/>
      <c r="D996" s="34"/>
      <c r="E996" s="25" t="n">
        <v>45850</v>
      </c>
      <c r="F996" s="25" t="n">
        <v>45820</v>
      </c>
      <c r="G996" s="26" t="n">
        <v>20</v>
      </c>
      <c r="H996" s="71" t="e">
        <f aca="false">#DIV/0!</f>
        <v>#DIV/0!</v>
      </c>
      <c r="I996" s="71" t="e">
        <f aca="false">#DIV/0!</f>
        <v>#DIV/0!</v>
      </c>
      <c r="J996" s="35" t="s">
        <v>538</v>
      </c>
      <c r="K996" s="31" t="n">
        <v>30000</v>
      </c>
      <c r="L996" s="31" t="n">
        <v>45000</v>
      </c>
      <c r="M996" s="37"/>
      <c r="N996" s="30" t="n">
        <v>45000</v>
      </c>
      <c r="O996" s="30" t="n">
        <v>45000</v>
      </c>
      <c r="P996" s="36" t="n">
        <v>0</v>
      </c>
      <c r="Q996" s="302" t="n">
        <v>45880</v>
      </c>
    </row>
    <row r="997" customFormat="false" ht="14.9" hidden="true" customHeight="false" outlineLevel="0" collapsed="false">
      <c r="A997" s="26" t="n">
        <v>3293</v>
      </c>
      <c r="B997" s="21" t="s">
        <v>1285</v>
      </c>
      <c r="C997" s="21"/>
      <c r="D997" s="34"/>
      <c r="E997" s="25" t="n">
        <v>45854</v>
      </c>
      <c r="F997" s="25" t="n">
        <v>45820</v>
      </c>
      <c r="G997" s="26" t="n">
        <v>20</v>
      </c>
      <c r="H997" s="71" t="e">
        <f aca="false">#DIV/0!</f>
        <v>#DIV/0!</v>
      </c>
      <c r="I997" s="71" t="e">
        <f aca="false">#DIV/0!</f>
        <v>#DIV/0!</v>
      </c>
      <c r="J997" s="35" t="s">
        <v>538</v>
      </c>
      <c r="K997" s="36" t="n">
        <v>100000</v>
      </c>
      <c r="L997" s="36" t="n">
        <v>150000</v>
      </c>
      <c r="M997" s="37"/>
      <c r="N997" s="30" t="n">
        <v>150000</v>
      </c>
      <c r="O997" s="30" t="n">
        <v>150000</v>
      </c>
      <c r="P997" s="36" t="n">
        <v>0</v>
      </c>
      <c r="Q997" s="302" t="n">
        <v>45880</v>
      </c>
    </row>
    <row r="998" customFormat="false" ht="35.05" hidden="true" customHeight="false" outlineLevel="0" collapsed="false">
      <c r="A998" s="26" t="n">
        <v>3186</v>
      </c>
      <c r="B998" s="21" t="s">
        <v>939</v>
      </c>
      <c r="C998" s="21" t="s">
        <v>1286</v>
      </c>
      <c r="D998" s="34"/>
      <c r="E998" s="25" t="n">
        <v>45785</v>
      </c>
      <c r="F998" s="25" t="n">
        <v>45869</v>
      </c>
      <c r="G998" s="27" t="n">
        <v>60</v>
      </c>
      <c r="H998" s="71" t="n">
        <v>60</v>
      </c>
      <c r="I998" s="71" t="n">
        <v>0</v>
      </c>
      <c r="J998" s="35" t="s">
        <v>1287</v>
      </c>
      <c r="K998" s="31" t="n">
        <v>400000</v>
      </c>
      <c r="L998" s="31" t="n">
        <v>740000</v>
      </c>
      <c r="M998" s="40" t="n">
        <v>61666.6666666667</v>
      </c>
      <c r="N998" s="30" t="n">
        <v>247000</v>
      </c>
      <c r="O998" s="30" t="n">
        <v>740000</v>
      </c>
      <c r="P998" s="36" t="n">
        <v>0</v>
      </c>
      <c r="Q998" s="302" t="n">
        <v>45880</v>
      </c>
    </row>
    <row r="999" customFormat="false" ht="14.25" hidden="true" customHeight="false" outlineLevel="0" collapsed="false">
      <c r="A999" s="26" t="n">
        <v>3289</v>
      </c>
      <c r="B999" s="34" t="s">
        <v>537</v>
      </c>
      <c r="C999" s="34"/>
      <c r="D999" s="34"/>
      <c r="E999" s="25" t="n">
        <v>45853</v>
      </c>
      <c r="F999" s="25" t="n">
        <v>45359</v>
      </c>
      <c r="G999" s="26" t="n">
        <v>20</v>
      </c>
      <c r="H999" s="71" t="e">
        <f aca="false">#DIV/0!</f>
        <v>#DIV/0!</v>
      </c>
      <c r="I999" s="71" t="e">
        <f aca="false">#DIV/0!</f>
        <v>#DIV/0!</v>
      </c>
      <c r="J999" s="38" t="s">
        <v>751</v>
      </c>
      <c r="K999" s="31" t="n">
        <v>40000</v>
      </c>
      <c r="L999" s="31" t="n">
        <v>60000</v>
      </c>
      <c r="M999" s="37"/>
      <c r="N999" s="30" t="n">
        <v>60000</v>
      </c>
      <c r="O999" s="30" t="n">
        <v>60000</v>
      </c>
      <c r="P999" s="36" t="n">
        <v>0</v>
      </c>
      <c r="Q999" s="302" t="n">
        <v>45880</v>
      </c>
    </row>
    <row r="1000" customFormat="false" ht="14.25" hidden="true" customHeight="false" outlineLevel="0" collapsed="false">
      <c r="A1000" s="26" t="n">
        <v>3300</v>
      </c>
      <c r="B1000" s="34" t="s">
        <v>537</v>
      </c>
      <c r="C1000" s="34"/>
      <c r="D1000" s="34"/>
      <c r="E1000" s="25" t="n">
        <v>45857</v>
      </c>
      <c r="F1000" s="25" t="n">
        <v>45359</v>
      </c>
      <c r="G1000" s="26" t="n">
        <v>20</v>
      </c>
      <c r="H1000" s="71" t="e">
        <f aca="false">#DIV/0!</f>
        <v>#DIV/0!</v>
      </c>
      <c r="I1000" s="71" t="e">
        <f aca="false">#DIV/0!</f>
        <v>#DIV/0!</v>
      </c>
      <c r="J1000" s="38" t="s">
        <v>751</v>
      </c>
      <c r="K1000" s="36" t="n">
        <v>40000</v>
      </c>
      <c r="L1000" s="36" t="n">
        <v>60000</v>
      </c>
      <c r="M1000" s="37"/>
      <c r="N1000" s="30" t="n">
        <v>60000</v>
      </c>
      <c r="O1000" s="30" t="n">
        <v>60000</v>
      </c>
      <c r="P1000" s="36" t="n">
        <v>0</v>
      </c>
      <c r="Q1000" s="302" t="n">
        <v>45880</v>
      </c>
    </row>
    <row r="1001" customFormat="false" ht="14.25" hidden="true" customHeight="false" outlineLevel="0" collapsed="false">
      <c r="A1001" s="26" t="n">
        <v>3306</v>
      </c>
      <c r="B1001" s="34" t="s">
        <v>537</v>
      </c>
      <c r="C1001" s="34"/>
      <c r="D1001" s="34"/>
      <c r="E1001" s="25" t="n">
        <v>45860</v>
      </c>
      <c r="F1001" s="25" t="n">
        <v>45359</v>
      </c>
      <c r="G1001" s="26" t="n">
        <v>20</v>
      </c>
      <c r="H1001" s="71" t="e">
        <f aca="false">#DIV/0!</f>
        <v>#DIV/0!</v>
      </c>
      <c r="I1001" s="71" t="e">
        <f aca="false">#DIV/0!</f>
        <v>#DIV/0!</v>
      </c>
      <c r="J1001" s="38" t="s">
        <v>751</v>
      </c>
      <c r="K1001" s="36" t="n">
        <v>10000</v>
      </c>
      <c r="L1001" s="36" t="n">
        <v>15000</v>
      </c>
      <c r="M1001" s="37"/>
      <c r="N1001" s="30" t="n">
        <v>15000</v>
      </c>
      <c r="O1001" s="30" t="n">
        <v>15000</v>
      </c>
      <c r="P1001" s="36" t="n">
        <v>0</v>
      </c>
      <c r="Q1001" s="302" t="n">
        <v>45880</v>
      </c>
    </row>
    <row r="1002" customFormat="false" ht="14.25" hidden="true" customHeight="false" outlineLevel="0" collapsed="false">
      <c r="A1002" s="26" t="n">
        <v>3311</v>
      </c>
      <c r="B1002" s="34" t="s">
        <v>537</v>
      </c>
      <c r="C1002" s="34"/>
      <c r="D1002" s="34"/>
      <c r="E1002" s="25" t="n">
        <v>45861</v>
      </c>
      <c r="F1002" s="25" t="n">
        <v>45359</v>
      </c>
      <c r="G1002" s="26" t="n">
        <v>20</v>
      </c>
      <c r="H1002" s="71" t="e">
        <f aca="false">#DIV/0!</f>
        <v>#DIV/0!</v>
      </c>
      <c r="I1002" s="71" t="e">
        <f aca="false">#DIV/0!</f>
        <v>#DIV/0!</v>
      </c>
      <c r="J1002" s="38" t="s">
        <v>751</v>
      </c>
      <c r="K1002" s="36" t="n">
        <v>10000</v>
      </c>
      <c r="L1002" s="36" t="n">
        <v>15000</v>
      </c>
      <c r="M1002" s="37"/>
      <c r="N1002" s="30" t="n">
        <v>15000</v>
      </c>
      <c r="O1002" s="30" t="n">
        <v>15000</v>
      </c>
      <c r="P1002" s="36" t="n">
        <v>0</v>
      </c>
      <c r="Q1002" s="302" t="n">
        <v>45880</v>
      </c>
    </row>
    <row r="1003" customFormat="false" ht="14.25" hidden="true" customHeight="false" outlineLevel="0" collapsed="false">
      <c r="A1003" s="26" t="n">
        <v>3326</v>
      </c>
      <c r="B1003" s="34" t="s">
        <v>537</v>
      </c>
      <c r="C1003" s="34"/>
      <c r="D1003" s="34"/>
      <c r="E1003" s="25" t="n">
        <v>45868</v>
      </c>
      <c r="F1003" s="25" t="n">
        <v>45359</v>
      </c>
      <c r="G1003" s="26" t="n">
        <v>20</v>
      </c>
      <c r="H1003" s="71" t="e">
        <f aca="false">#DIV/0!</f>
        <v>#DIV/0!</v>
      </c>
      <c r="I1003" s="71" t="e">
        <f aca="false">#DIV/0!</f>
        <v>#DIV/0!</v>
      </c>
      <c r="J1003" s="38" t="s">
        <v>751</v>
      </c>
      <c r="K1003" s="36" t="n">
        <v>10000</v>
      </c>
      <c r="L1003" s="36" t="n">
        <v>15000</v>
      </c>
      <c r="M1003" s="37"/>
      <c r="N1003" s="30" t="n">
        <v>15000</v>
      </c>
      <c r="O1003" s="30" t="n">
        <v>15000</v>
      </c>
      <c r="P1003" s="36" t="n">
        <v>0</v>
      </c>
      <c r="Q1003" s="302" t="n">
        <v>45880</v>
      </c>
    </row>
    <row r="1004" customFormat="false" ht="14.25" hidden="true" customHeight="false" outlineLevel="0" collapsed="false">
      <c r="A1004" s="78" t="n">
        <v>3336</v>
      </c>
      <c r="B1004" s="34" t="s">
        <v>537</v>
      </c>
      <c r="C1004" s="34"/>
      <c r="D1004" s="34"/>
      <c r="E1004" s="25" t="n">
        <v>45877</v>
      </c>
      <c r="F1004" s="25" t="n">
        <v>45884</v>
      </c>
      <c r="G1004" s="26" t="n">
        <v>5</v>
      </c>
      <c r="H1004" s="71" t="e">
        <f aca="false">#DIV/0!</f>
        <v>#DIV/0!</v>
      </c>
      <c r="I1004" s="71" t="e">
        <f aca="false">#DIV/0!</f>
        <v>#DIV/0!</v>
      </c>
      <c r="J1004" s="38" t="s">
        <v>751</v>
      </c>
      <c r="K1004" s="36" t="n">
        <v>10000</v>
      </c>
      <c r="L1004" s="36" t="n">
        <v>15000</v>
      </c>
      <c r="M1004" s="37"/>
      <c r="N1004" s="30" t="n">
        <v>15000</v>
      </c>
      <c r="O1004" s="30" t="n">
        <v>15000</v>
      </c>
      <c r="P1004" s="36" t="n">
        <v>0</v>
      </c>
      <c r="Q1004" s="302" t="n">
        <v>45880</v>
      </c>
    </row>
    <row r="1005" customFormat="false" ht="14.25" hidden="true" customHeight="false" outlineLevel="0" collapsed="false">
      <c r="A1005" s="78" t="n">
        <v>3350</v>
      </c>
      <c r="B1005" s="34" t="s">
        <v>537</v>
      </c>
      <c r="C1005" s="21"/>
      <c r="D1005" s="34"/>
      <c r="E1005" s="25" t="n">
        <v>45884</v>
      </c>
      <c r="F1005" s="25" t="n">
        <v>45891</v>
      </c>
      <c r="G1005" s="26" t="n">
        <v>5</v>
      </c>
      <c r="H1005" s="71" t="e">
        <f aca="false">#VALUE!</f>
        <v>#VALUE!</v>
      </c>
      <c r="I1005" s="71" t="e">
        <f aca="false">#VALUE!</f>
        <v>#VALUE!</v>
      </c>
      <c r="J1005" s="35" t="s">
        <v>538</v>
      </c>
      <c r="K1005" s="31" t="n">
        <v>10000</v>
      </c>
      <c r="L1005" s="31" t="n">
        <v>15500</v>
      </c>
      <c r="M1005" s="37" t="s">
        <v>214</v>
      </c>
      <c r="N1005" s="30" t="n">
        <v>15500</v>
      </c>
      <c r="O1005" s="30" t="n">
        <v>15500</v>
      </c>
      <c r="P1005" s="36" t="n">
        <v>0</v>
      </c>
      <c r="Q1005" s="302" t="n">
        <v>45880</v>
      </c>
    </row>
    <row r="1006" customFormat="false" ht="21.6" hidden="true" customHeight="false" outlineLevel="0" collapsed="false">
      <c r="A1006" s="26" t="n">
        <v>3182</v>
      </c>
      <c r="B1006" s="21" t="s">
        <v>256</v>
      </c>
      <c r="C1006" s="21" t="s">
        <v>257</v>
      </c>
      <c r="D1006" s="34"/>
      <c r="E1006" s="25" t="n">
        <v>45785</v>
      </c>
      <c r="F1006" s="25" t="n">
        <v>45897</v>
      </c>
      <c r="G1006" s="26" t="n">
        <v>80</v>
      </c>
      <c r="H1006" s="71" t="n">
        <v>80</v>
      </c>
      <c r="I1006" s="71" t="n">
        <v>0</v>
      </c>
      <c r="J1006" s="35" t="s">
        <v>511</v>
      </c>
      <c r="K1006" s="31" t="n">
        <v>200000</v>
      </c>
      <c r="L1006" s="31" t="n">
        <v>432000</v>
      </c>
      <c r="M1006" s="37" t="n">
        <v>27000</v>
      </c>
      <c r="N1006" s="30" t="n">
        <v>100000</v>
      </c>
      <c r="O1006" s="30" t="n">
        <v>432000</v>
      </c>
      <c r="P1006" s="36" t="n">
        <v>0</v>
      </c>
      <c r="Q1006" s="302" t="n">
        <v>45887</v>
      </c>
    </row>
    <row r="1007" customFormat="false" ht="14.9" hidden="true" customHeight="false" outlineLevel="0" collapsed="false">
      <c r="A1007" s="20" t="n">
        <v>3181</v>
      </c>
      <c r="B1007" s="21" t="s">
        <v>336</v>
      </c>
      <c r="C1007" s="21" t="s">
        <v>337</v>
      </c>
      <c r="D1007" s="34"/>
      <c r="E1007" s="25" t="n">
        <v>45783</v>
      </c>
      <c r="F1007" s="25" t="n">
        <v>45895</v>
      </c>
      <c r="G1007" s="26" t="n">
        <v>80</v>
      </c>
      <c r="H1007" s="71" t="n">
        <v>80</v>
      </c>
      <c r="I1007" s="71" t="n">
        <v>0</v>
      </c>
      <c r="J1007" s="35" t="s">
        <v>954</v>
      </c>
      <c r="K1007" s="36" t="n">
        <v>20000</v>
      </c>
      <c r="L1007" s="36" t="n">
        <v>43200</v>
      </c>
      <c r="M1007" s="37" t="n">
        <v>2700</v>
      </c>
      <c r="N1007" s="30" t="n">
        <v>10800</v>
      </c>
      <c r="O1007" s="30" t="n">
        <v>43200</v>
      </c>
      <c r="P1007" s="31" t="n">
        <v>0</v>
      </c>
      <c r="Q1007" s="302" t="n">
        <v>45887</v>
      </c>
    </row>
    <row r="1008" customFormat="false" ht="14.9" hidden="true" customHeight="false" outlineLevel="0" collapsed="false">
      <c r="A1008" s="20" t="n">
        <v>3195</v>
      </c>
      <c r="B1008" s="21" t="s">
        <v>336</v>
      </c>
      <c r="C1008" s="21" t="s">
        <v>337</v>
      </c>
      <c r="D1008" s="34"/>
      <c r="E1008" s="25" t="n">
        <v>45792</v>
      </c>
      <c r="F1008" s="25" t="n">
        <v>45904</v>
      </c>
      <c r="G1008" s="26" t="n">
        <v>80</v>
      </c>
      <c r="H1008" s="71" t="n">
        <v>80</v>
      </c>
      <c r="I1008" s="71" t="n">
        <v>0</v>
      </c>
      <c r="J1008" s="35" t="s">
        <v>954</v>
      </c>
      <c r="K1008" s="36" t="n">
        <v>20000</v>
      </c>
      <c r="L1008" s="36" t="n">
        <v>43200</v>
      </c>
      <c r="M1008" s="37" t="n">
        <v>2700</v>
      </c>
      <c r="N1008" s="30" t="n">
        <v>10800</v>
      </c>
      <c r="O1008" s="30" t="n">
        <v>43200</v>
      </c>
      <c r="P1008" s="31" t="n">
        <v>0</v>
      </c>
      <c r="Q1008" s="302" t="n">
        <v>45887</v>
      </c>
    </row>
    <row r="1009" customFormat="false" ht="14.25" hidden="true" customHeight="false" outlineLevel="0" collapsed="false">
      <c r="A1009" s="20" t="n">
        <v>3156</v>
      </c>
      <c r="B1009" s="21" t="s">
        <v>1182</v>
      </c>
      <c r="C1009" s="21"/>
      <c r="D1009" s="34"/>
      <c r="E1009" s="25" t="n">
        <v>45766</v>
      </c>
      <c r="F1009" s="25" t="n">
        <v>45863</v>
      </c>
      <c r="G1009" s="26" t="n">
        <v>70</v>
      </c>
      <c r="H1009" s="71" t="n">
        <v>70.0583279325988</v>
      </c>
      <c r="I1009" s="71" t="n">
        <v>-0.0583279325988286</v>
      </c>
      <c r="J1009" s="49" t="s">
        <v>1288</v>
      </c>
      <c r="K1009" s="36" t="n">
        <v>50000</v>
      </c>
      <c r="L1009" s="36" t="n">
        <v>108010</v>
      </c>
      <c r="M1009" s="29" t="n">
        <v>7715</v>
      </c>
      <c r="N1009" s="30" t="n">
        <v>16500</v>
      </c>
      <c r="O1009" s="30" t="n">
        <v>108100</v>
      </c>
      <c r="P1009" s="31" t="n">
        <v>-90</v>
      </c>
      <c r="Q1009" s="302" t="n">
        <v>45887</v>
      </c>
    </row>
    <row r="1010" customFormat="false" ht="14.9" hidden="true" customHeight="false" outlineLevel="0" collapsed="false">
      <c r="A1010" s="20" t="n">
        <v>3143</v>
      </c>
      <c r="B1010" s="21" t="s">
        <v>416</v>
      </c>
      <c r="C1010" s="21" t="s">
        <v>417</v>
      </c>
      <c r="D1010" s="34" t="n">
        <v>13589728</v>
      </c>
      <c r="E1010" s="25" t="n">
        <v>45754</v>
      </c>
      <c r="F1010" s="25" t="n">
        <v>45866</v>
      </c>
      <c r="G1010" s="26" t="n">
        <v>80</v>
      </c>
      <c r="H1010" s="71" t="n">
        <v>80</v>
      </c>
      <c r="I1010" s="71" t="n">
        <v>0</v>
      </c>
      <c r="J1010" s="35" t="s">
        <v>1223</v>
      </c>
      <c r="K1010" s="57" t="n">
        <v>50000</v>
      </c>
      <c r="L1010" s="36" t="n">
        <v>108000</v>
      </c>
      <c r="M1010" s="37" t="n">
        <v>6750</v>
      </c>
      <c r="N1010" s="30" t="n">
        <v>27000</v>
      </c>
      <c r="O1010" s="30" t="n">
        <v>108000</v>
      </c>
      <c r="P1010" s="31" t="n">
        <v>0</v>
      </c>
      <c r="Q1010" s="302" t="n">
        <v>45887</v>
      </c>
    </row>
    <row r="1011" customFormat="false" ht="17.9" hidden="true" customHeight="false" outlineLevel="0" collapsed="false">
      <c r="A1011" s="318" t="n">
        <v>3338</v>
      </c>
      <c r="B1011" s="34" t="s">
        <v>429</v>
      </c>
      <c r="C1011" s="34"/>
      <c r="D1011" s="34"/>
      <c r="E1011" s="25" t="n">
        <v>45877</v>
      </c>
      <c r="F1011" s="25" t="n">
        <v>45777</v>
      </c>
      <c r="G1011" s="26" t="n">
        <v>5</v>
      </c>
      <c r="H1011" s="71" t="e">
        <f aca="false">#DIV/0!</f>
        <v>#DIV/0!</v>
      </c>
      <c r="I1011" s="71" t="e">
        <f aca="false">#DIV/0!</f>
        <v>#DIV/0!</v>
      </c>
      <c r="J1011" s="34" t="s">
        <v>580</v>
      </c>
      <c r="K1011" s="31" t="n">
        <v>100000</v>
      </c>
      <c r="L1011" s="31" t="n">
        <v>130000</v>
      </c>
      <c r="M1011" s="37"/>
      <c r="N1011" s="30" t="n">
        <v>130000</v>
      </c>
      <c r="O1011" s="30" t="n">
        <v>130000</v>
      </c>
      <c r="P1011" s="36" t="n">
        <v>0</v>
      </c>
      <c r="Q1011" s="302" t="n">
        <v>45887</v>
      </c>
    </row>
    <row r="1012" customFormat="false" ht="17.9" hidden="true" customHeight="false" outlineLevel="0" collapsed="false">
      <c r="A1012" s="318" t="n">
        <v>3339</v>
      </c>
      <c r="B1012" s="34" t="s">
        <v>429</v>
      </c>
      <c r="C1012" s="34"/>
      <c r="D1012" s="34"/>
      <c r="E1012" s="25" t="n">
        <v>45877</v>
      </c>
      <c r="F1012" s="25" t="n">
        <v>45777</v>
      </c>
      <c r="G1012" s="26" t="n">
        <v>5</v>
      </c>
      <c r="H1012" s="71" t="e">
        <f aca="false">#DIV/0!</f>
        <v>#DIV/0!</v>
      </c>
      <c r="I1012" s="71" t="e">
        <f aca="false">#DIV/0!</f>
        <v>#DIV/0!</v>
      </c>
      <c r="J1012" s="34" t="s">
        <v>580</v>
      </c>
      <c r="K1012" s="36" t="n">
        <v>130000</v>
      </c>
      <c r="L1012" s="36" t="n">
        <v>169000</v>
      </c>
      <c r="M1012" s="37"/>
      <c r="N1012" s="30" t="n">
        <v>169000</v>
      </c>
      <c r="O1012" s="30" t="n">
        <v>169000</v>
      </c>
      <c r="P1012" s="36" t="n">
        <v>0</v>
      </c>
      <c r="Q1012" s="302" t="n">
        <v>45887</v>
      </c>
    </row>
    <row r="1013" customFormat="false" ht="21.6" hidden="true" customHeight="false" outlineLevel="0" collapsed="false">
      <c r="A1013" s="310" t="n">
        <v>2979</v>
      </c>
      <c r="B1013" s="21" t="s">
        <v>450</v>
      </c>
      <c r="C1013" s="21" t="s">
        <v>451</v>
      </c>
      <c r="D1013" s="34"/>
      <c r="E1013" s="25" t="n">
        <v>45656</v>
      </c>
      <c r="F1013" s="25" t="n">
        <v>45756</v>
      </c>
      <c r="G1013" s="26" t="n">
        <v>72</v>
      </c>
      <c r="H1013" s="71" t="n">
        <v>72.0833333333333</v>
      </c>
      <c r="I1013" s="71" t="n">
        <v>-0.0833333333333286</v>
      </c>
      <c r="J1013" s="22" t="s">
        <v>749</v>
      </c>
      <c r="K1013" s="66" t="n">
        <v>20000</v>
      </c>
      <c r="L1013" s="31" t="n">
        <v>43200</v>
      </c>
      <c r="M1013" s="37" t="n">
        <v>3000</v>
      </c>
      <c r="N1013" s="30" t="n">
        <v>8000</v>
      </c>
      <c r="O1013" s="30" t="n">
        <v>43250</v>
      </c>
      <c r="P1013" s="36" t="n">
        <v>-50</v>
      </c>
      <c r="Q1013" s="302" t="n">
        <v>45887</v>
      </c>
    </row>
    <row r="1014" customFormat="false" ht="21.6" hidden="true" customHeight="false" outlineLevel="0" collapsed="false">
      <c r="A1014" s="20" t="n">
        <v>3137</v>
      </c>
      <c r="B1014" s="21" t="s">
        <v>565</v>
      </c>
      <c r="C1014" s="21" t="s">
        <v>566</v>
      </c>
      <c r="D1014" s="44"/>
      <c r="E1014" s="25" t="n">
        <v>45749</v>
      </c>
      <c r="F1014" s="25" t="n">
        <v>45847</v>
      </c>
      <c r="G1014" s="26" t="n">
        <v>70</v>
      </c>
      <c r="H1014" s="71" t="n">
        <v>70.001512345679</v>
      </c>
      <c r="I1014" s="71" t="n">
        <v>-0.00151234567901781</v>
      </c>
      <c r="J1014" s="49" t="s">
        <v>1289</v>
      </c>
      <c r="K1014" s="36" t="n">
        <v>300000</v>
      </c>
      <c r="L1014" s="36" t="n">
        <v>648000</v>
      </c>
      <c r="M1014" s="37" t="n">
        <v>46285.7142857143</v>
      </c>
      <c r="N1014" s="30" t="n">
        <v>92500</v>
      </c>
      <c r="O1014" s="30" t="n">
        <v>648014</v>
      </c>
      <c r="P1014" s="36" t="n">
        <v>-14</v>
      </c>
      <c r="Q1014" s="302" t="n">
        <v>45887</v>
      </c>
    </row>
    <row r="1015" customFormat="false" ht="14.9" hidden="true" customHeight="false" outlineLevel="0" collapsed="false">
      <c r="A1015" s="26" t="n">
        <v>3171</v>
      </c>
      <c r="B1015" s="21" t="s">
        <v>578</v>
      </c>
      <c r="C1015" s="21" t="s">
        <v>579</v>
      </c>
      <c r="D1015" s="34"/>
      <c r="E1015" s="25" t="n">
        <v>45775</v>
      </c>
      <c r="F1015" s="25" t="n">
        <v>45875</v>
      </c>
      <c r="G1015" s="26" t="n">
        <v>72</v>
      </c>
      <c r="H1015" s="71" t="n">
        <v>77.5</v>
      </c>
      <c r="I1015" s="71" t="n">
        <v>-5.5</v>
      </c>
      <c r="J1015" s="22" t="s">
        <v>244</v>
      </c>
      <c r="K1015" s="57" t="n">
        <v>200000</v>
      </c>
      <c r="L1015" s="36" t="n">
        <v>432000</v>
      </c>
      <c r="M1015" s="37" t="n">
        <v>30000</v>
      </c>
      <c r="N1015" s="30" t="n">
        <v>15000</v>
      </c>
      <c r="O1015" s="30" t="n">
        <v>465000</v>
      </c>
      <c r="P1015" s="36" t="n">
        <v>-33000</v>
      </c>
      <c r="Q1015" s="302" t="n">
        <v>45887</v>
      </c>
    </row>
    <row r="1016" customFormat="false" ht="14.9" hidden="true" customHeight="false" outlineLevel="0" collapsed="false">
      <c r="A1016" s="26" t="n">
        <v>3209</v>
      </c>
      <c r="B1016" s="21" t="s">
        <v>578</v>
      </c>
      <c r="C1016" s="21" t="s">
        <v>579</v>
      </c>
      <c r="D1016" s="34"/>
      <c r="E1016" s="25" t="n">
        <v>45799</v>
      </c>
      <c r="F1016" s="25" t="n">
        <v>45901</v>
      </c>
      <c r="G1016" s="26" t="n">
        <v>72</v>
      </c>
      <c r="H1016" s="71" t="n">
        <v>72</v>
      </c>
      <c r="I1016" s="71" t="n">
        <v>0</v>
      </c>
      <c r="J1016" s="22" t="s">
        <v>266</v>
      </c>
      <c r="K1016" s="36" t="n">
        <v>100000</v>
      </c>
      <c r="L1016" s="36" t="n">
        <v>216000</v>
      </c>
      <c r="M1016" s="29" t="n">
        <v>15000</v>
      </c>
      <c r="N1016" s="30" t="n">
        <v>51000</v>
      </c>
      <c r="O1016" s="30" t="n">
        <v>216000</v>
      </c>
      <c r="P1016" s="36" t="n">
        <v>0</v>
      </c>
      <c r="Q1016" s="302" t="n">
        <v>45887</v>
      </c>
    </row>
    <row r="1017" customFormat="false" ht="14.9" hidden="true" customHeight="false" outlineLevel="0" collapsed="false">
      <c r="A1017" s="26" t="n">
        <v>3319</v>
      </c>
      <c r="B1017" s="21" t="s">
        <v>578</v>
      </c>
      <c r="C1017" s="21" t="s">
        <v>579</v>
      </c>
      <c r="D1017" s="34"/>
      <c r="E1017" s="25" t="n">
        <v>45864</v>
      </c>
      <c r="F1017" s="25" t="n">
        <v>45889</v>
      </c>
      <c r="G1017" s="26" t="n">
        <v>18</v>
      </c>
      <c r="H1017" s="71" t="e">
        <f aca="false">#DIV/0!</f>
        <v>#DIV/0!</v>
      </c>
      <c r="I1017" s="71" t="e">
        <f aca="false">#DIV/0!</f>
        <v>#DIV/0!</v>
      </c>
      <c r="J1017" s="35" t="s">
        <v>580</v>
      </c>
      <c r="K1017" s="36" t="n">
        <v>250000</v>
      </c>
      <c r="L1017" s="36" t="n">
        <v>350000</v>
      </c>
      <c r="M1017" s="37"/>
      <c r="N1017" s="30" t="n">
        <v>350000</v>
      </c>
      <c r="O1017" s="30" t="n">
        <v>350000</v>
      </c>
      <c r="P1017" s="36" t="n">
        <v>0</v>
      </c>
      <c r="Q1017" s="302" t="n">
        <v>45887</v>
      </c>
    </row>
    <row r="1018" customFormat="false" ht="14.9" hidden="true" customHeight="false" outlineLevel="0" collapsed="false">
      <c r="A1018" s="26" t="n">
        <v>3215</v>
      </c>
      <c r="B1018" s="21" t="s">
        <v>1148</v>
      </c>
      <c r="C1018" s="21"/>
      <c r="D1018" s="44"/>
      <c r="E1018" s="25" t="n">
        <v>45803</v>
      </c>
      <c r="F1018" s="25" t="n">
        <v>45901</v>
      </c>
      <c r="G1018" s="26" t="n">
        <v>70</v>
      </c>
      <c r="H1018" s="71" t="n">
        <v>70</v>
      </c>
      <c r="I1018" s="71" t="n">
        <v>0</v>
      </c>
      <c r="J1018" s="68" t="s">
        <v>1290</v>
      </c>
      <c r="K1018" s="36" t="n">
        <v>100000</v>
      </c>
      <c r="L1018" s="36" t="n">
        <v>217000</v>
      </c>
      <c r="M1018" s="37" t="n">
        <v>15500</v>
      </c>
      <c r="N1018" s="30" t="n">
        <v>93000</v>
      </c>
      <c r="O1018" s="30" t="n">
        <v>217000</v>
      </c>
      <c r="P1018" s="36" t="n">
        <v>0</v>
      </c>
      <c r="Q1018" s="302" t="n">
        <v>45887</v>
      </c>
    </row>
    <row r="1019" customFormat="false" ht="14.9" hidden="true" customHeight="false" outlineLevel="0" collapsed="false">
      <c r="A1019" s="26" t="n">
        <v>3218</v>
      </c>
      <c r="B1019" s="21" t="s">
        <v>236</v>
      </c>
      <c r="C1019" s="21" t="s">
        <v>237</v>
      </c>
      <c r="D1019" s="34"/>
      <c r="E1019" s="25" t="n">
        <v>45805</v>
      </c>
      <c r="F1019" s="25" t="n">
        <v>45905</v>
      </c>
      <c r="G1019" s="26" t="n">
        <v>72</v>
      </c>
      <c r="H1019" s="71" t="n">
        <v>72</v>
      </c>
      <c r="I1019" s="71" t="n">
        <v>0</v>
      </c>
      <c r="J1019" s="22" t="s">
        <v>244</v>
      </c>
      <c r="K1019" s="36" t="n">
        <v>200000</v>
      </c>
      <c r="L1019" s="36" t="n">
        <v>432000</v>
      </c>
      <c r="M1019" s="37" t="n">
        <v>30000</v>
      </c>
      <c r="N1019" s="30" t="n">
        <v>154000</v>
      </c>
      <c r="O1019" s="30" t="n">
        <v>432000</v>
      </c>
      <c r="P1019" s="36" t="n">
        <v>0</v>
      </c>
      <c r="Q1019" s="302" t="n">
        <v>45894</v>
      </c>
    </row>
    <row r="1020" customFormat="false" ht="14.9" hidden="true" customHeight="false" outlineLevel="0" collapsed="false">
      <c r="A1020" s="20" t="n">
        <v>3225</v>
      </c>
      <c r="B1020" s="21" t="s">
        <v>1291</v>
      </c>
      <c r="C1020" s="21" t="s">
        <v>241</v>
      </c>
      <c r="D1020" s="34"/>
      <c r="E1020" s="25" t="n">
        <v>45808</v>
      </c>
      <c r="F1020" s="25" t="n">
        <v>45909</v>
      </c>
      <c r="G1020" s="26" t="n">
        <v>72</v>
      </c>
      <c r="H1020" s="71" t="n">
        <v>72</v>
      </c>
      <c r="I1020" s="71" t="n">
        <v>0</v>
      </c>
      <c r="J1020" s="22" t="s">
        <v>792</v>
      </c>
      <c r="K1020" s="36" t="n">
        <v>60000</v>
      </c>
      <c r="L1020" s="36" t="n">
        <v>129600</v>
      </c>
      <c r="M1020" s="37" t="n">
        <v>9000</v>
      </c>
      <c r="N1020" s="30" t="n">
        <v>6600</v>
      </c>
      <c r="O1020" s="30" t="n">
        <v>129600</v>
      </c>
      <c r="P1020" s="31" t="n">
        <v>0</v>
      </c>
      <c r="Q1020" s="302" t="n">
        <v>45894</v>
      </c>
    </row>
    <row r="1021" customFormat="false" ht="14.9" hidden="true" customHeight="false" outlineLevel="0" collapsed="false">
      <c r="A1021" s="20" t="n">
        <v>3190</v>
      </c>
      <c r="B1021" s="21" t="s">
        <v>264</v>
      </c>
      <c r="C1021" s="21" t="s">
        <v>265</v>
      </c>
      <c r="D1021" s="34"/>
      <c r="E1021" s="25" t="n">
        <v>45790</v>
      </c>
      <c r="F1021" s="25" t="n">
        <v>45890</v>
      </c>
      <c r="G1021" s="26" t="n">
        <v>72</v>
      </c>
      <c r="H1021" s="71" t="n">
        <v>72</v>
      </c>
      <c r="I1021" s="71" t="n">
        <v>0</v>
      </c>
      <c r="J1021" s="22" t="s">
        <v>244</v>
      </c>
      <c r="K1021" s="46" t="n">
        <v>200000</v>
      </c>
      <c r="L1021" s="36" t="n">
        <v>432000</v>
      </c>
      <c r="M1021" s="37" t="n">
        <v>30000</v>
      </c>
      <c r="N1021" s="30" t="n">
        <v>22000</v>
      </c>
      <c r="O1021" s="30" t="n">
        <v>432000</v>
      </c>
      <c r="P1021" s="31" t="n">
        <v>0</v>
      </c>
      <c r="Q1021" s="302" t="n">
        <v>45894</v>
      </c>
    </row>
    <row r="1022" customFormat="false" ht="28.35" hidden="true" customHeight="false" outlineLevel="0" collapsed="false">
      <c r="A1022" s="20" t="n">
        <v>2717</v>
      </c>
      <c r="B1022" s="21" t="s">
        <v>459</v>
      </c>
      <c r="C1022" s="21" t="s">
        <v>834</v>
      </c>
      <c r="D1022" s="34"/>
      <c r="E1022" s="25" t="n">
        <v>45490</v>
      </c>
      <c r="F1022" s="25" t="n">
        <v>45658</v>
      </c>
      <c r="G1022" s="26" t="n">
        <v>120</v>
      </c>
      <c r="H1022" s="71" t="n">
        <v>133.036363636364</v>
      </c>
      <c r="I1022" s="71" t="n">
        <v>-13.0363636363636</v>
      </c>
      <c r="J1022" s="35" t="s">
        <v>1292</v>
      </c>
      <c r="K1022" s="36" t="n">
        <v>150000</v>
      </c>
      <c r="L1022" s="36" t="n">
        <v>396000</v>
      </c>
      <c r="M1022" s="37" t="n">
        <v>16500</v>
      </c>
      <c r="N1022" s="30" t="n">
        <v>40000</v>
      </c>
      <c r="O1022" s="30" t="n">
        <v>439020</v>
      </c>
      <c r="P1022" s="31" t="n">
        <v>-43020</v>
      </c>
      <c r="Q1022" s="302" t="n">
        <v>45894</v>
      </c>
    </row>
    <row r="1023" customFormat="false" ht="17.9" hidden="true" customHeight="false" outlineLevel="0" collapsed="false">
      <c r="A1023" s="318" t="n">
        <v>3366</v>
      </c>
      <c r="B1023" s="34" t="s">
        <v>429</v>
      </c>
      <c r="C1023" s="34"/>
      <c r="D1023" s="34"/>
      <c r="E1023" s="25" t="n">
        <v>45894</v>
      </c>
      <c r="F1023" s="25" t="n">
        <v>45777</v>
      </c>
      <c r="G1023" s="26" t="n">
        <v>5</v>
      </c>
      <c r="H1023" s="71" t="e">
        <f aca="false">#DIV/0!</f>
        <v>#DIV/0!</v>
      </c>
      <c r="I1023" s="71" t="e">
        <f aca="false">#DIV/0!</f>
        <v>#DIV/0!</v>
      </c>
      <c r="J1023" s="34" t="s">
        <v>580</v>
      </c>
      <c r="K1023" s="66" t="n">
        <v>300000</v>
      </c>
      <c r="L1023" s="31" t="n">
        <v>390000</v>
      </c>
      <c r="M1023" s="37"/>
      <c r="N1023" s="30" t="n">
        <v>390000</v>
      </c>
      <c r="O1023" s="30" t="n">
        <v>390000</v>
      </c>
      <c r="P1023" s="36" t="n">
        <v>0</v>
      </c>
      <c r="Q1023" s="302" t="n">
        <v>45894</v>
      </c>
    </row>
    <row r="1024" customFormat="false" ht="21.6" hidden="true" customHeight="false" outlineLevel="0" collapsed="false">
      <c r="A1024" s="26" t="n">
        <v>3254</v>
      </c>
      <c r="B1024" s="21" t="s">
        <v>249</v>
      </c>
      <c r="C1024" s="21" t="s">
        <v>250</v>
      </c>
      <c r="D1024" s="34" t="n">
        <v>27252034574</v>
      </c>
      <c r="E1024" s="25" t="n">
        <v>45828</v>
      </c>
      <c r="F1024" s="25" t="n">
        <v>45884</v>
      </c>
      <c r="G1024" s="26" t="n">
        <v>40</v>
      </c>
      <c r="H1024" s="71" t="n">
        <v>40</v>
      </c>
      <c r="I1024" s="71" t="n">
        <v>0</v>
      </c>
      <c r="J1024" s="22" t="s">
        <v>1293</v>
      </c>
      <c r="K1024" s="36" t="n">
        <v>100000</v>
      </c>
      <c r="L1024" s="36" t="n">
        <v>180000</v>
      </c>
      <c r="M1024" s="37" t="n">
        <v>22500</v>
      </c>
      <c r="N1024" s="30" t="n">
        <v>22500</v>
      </c>
      <c r="O1024" s="30" t="n">
        <v>180000</v>
      </c>
      <c r="P1024" s="36" t="n">
        <v>0</v>
      </c>
      <c r="Q1024" s="302" t="n">
        <v>45901</v>
      </c>
    </row>
    <row r="1025" customFormat="false" ht="28.35" hidden="true" customHeight="false" outlineLevel="0" collapsed="false">
      <c r="A1025" s="20" t="n">
        <v>3365</v>
      </c>
      <c r="B1025" s="21" t="s">
        <v>251</v>
      </c>
      <c r="C1025" s="21" t="s">
        <v>252</v>
      </c>
      <c r="D1025" s="34" t="s">
        <v>253</v>
      </c>
      <c r="E1025" s="25" t="n">
        <v>45892</v>
      </c>
      <c r="F1025" s="25" t="n">
        <v>45902</v>
      </c>
      <c r="G1025" s="26" t="n">
        <v>7</v>
      </c>
      <c r="H1025" s="71" t="e">
        <f aca="false">#DIV/0!</f>
        <v>#DIV/0!</v>
      </c>
      <c r="I1025" s="71" t="e">
        <f aca="false">#DIV/0!</f>
        <v>#DIV/0!</v>
      </c>
      <c r="J1025" s="35" t="s">
        <v>1294</v>
      </c>
      <c r="K1025" s="36" t="n">
        <v>50000</v>
      </c>
      <c r="L1025" s="36" t="n">
        <v>70000</v>
      </c>
      <c r="M1025" s="37"/>
      <c r="N1025" s="30" t="n">
        <v>70000</v>
      </c>
      <c r="O1025" s="30" t="n">
        <v>70000</v>
      </c>
      <c r="P1025" s="31" t="n">
        <v>0</v>
      </c>
      <c r="Q1025" s="302" t="n">
        <v>45901</v>
      </c>
    </row>
    <row r="1026" customFormat="false" ht="14.9" hidden="true" customHeight="false" outlineLevel="0" collapsed="false">
      <c r="A1026" s="20" t="n">
        <v>3169</v>
      </c>
      <c r="B1026" s="21" t="s">
        <v>519</v>
      </c>
      <c r="C1026" s="21" t="s">
        <v>520</v>
      </c>
      <c r="D1026" s="34"/>
      <c r="E1026" s="25" t="n">
        <v>45772</v>
      </c>
      <c r="F1026" s="25" t="n">
        <v>45874</v>
      </c>
      <c r="G1026" s="26" t="n">
        <v>72</v>
      </c>
      <c r="H1026" s="71" t="n">
        <v>72</v>
      </c>
      <c r="I1026" s="71" t="n">
        <v>0</v>
      </c>
      <c r="J1026" s="22" t="s">
        <v>381</v>
      </c>
      <c r="K1026" s="31" t="n">
        <v>50000</v>
      </c>
      <c r="L1026" s="31" t="n">
        <v>108000</v>
      </c>
      <c r="M1026" s="37" t="n">
        <v>7500</v>
      </c>
      <c r="N1026" s="30" t="n">
        <v>29500</v>
      </c>
      <c r="O1026" s="30" t="n">
        <v>108000</v>
      </c>
      <c r="P1026" s="31" t="n">
        <v>0</v>
      </c>
      <c r="Q1026" s="302" t="n">
        <v>45901</v>
      </c>
    </row>
    <row r="1027" customFormat="false" ht="35.05" hidden="true" customHeight="false" outlineLevel="0" collapsed="false">
      <c r="A1027" s="26" t="n">
        <v>3179</v>
      </c>
      <c r="B1027" s="21" t="s">
        <v>280</v>
      </c>
      <c r="C1027" s="21" t="s">
        <v>281</v>
      </c>
      <c r="D1027" s="34" t="n">
        <v>20386454729</v>
      </c>
      <c r="E1027" s="25" t="n">
        <v>45780</v>
      </c>
      <c r="F1027" s="25" t="n">
        <f aca="false">WORKDAY(E1027,G1027)</f>
        <v>45891</v>
      </c>
      <c r="G1027" s="26" t="n">
        <v>80</v>
      </c>
      <c r="H1027" s="71" t="n">
        <f aca="false">(FG1027* 5)/M1027</f>
        <v>0</v>
      </c>
      <c r="I1027" s="71" t="n">
        <f aca="false">G1027-H1027</f>
        <v>80</v>
      </c>
      <c r="J1027" s="35" t="s">
        <v>259</v>
      </c>
      <c r="K1027" s="31" t="n">
        <v>100000</v>
      </c>
      <c r="L1027" s="31" t="n">
        <v>216000</v>
      </c>
      <c r="M1027" s="37" t="n">
        <f aca="false">(L1027/G1027)*5</f>
        <v>13500</v>
      </c>
      <c r="N1027" s="30" t="n">
        <v>54000</v>
      </c>
      <c r="O1027" s="30" t="n">
        <v>216000</v>
      </c>
      <c r="P1027" s="36" t="n">
        <v>0</v>
      </c>
      <c r="Q1027" s="302" t="n">
        <v>45901</v>
      </c>
    </row>
    <row r="1028" customFormat="false" ht="14.9" hidden="true" customHeight="false" outlineLevel="0" collapsed="false">
      <c r="A1028" s="20" t="n">
        <v>3370</v>
      </c>
      <c r="B1028" s="21" t="s">
        <v>374</v>
      </c>
      <c r="C1028" s="21" t="s">
        <v>337</v>
      </c>
      <c r="D1028" s="34"/>
      <c r="E1028" s="25" t="n">
        <v>45897</v>
      </c>
      <c r="F1028" s="25" t="n">
        <f aca="false">WORKDAY(E1028,G1028)</f>
        <v>45911</v>
      </c>
      <c r="G1028" s="26" t="n">
        <v>10</v>
      </c>
      <c r="H1028" s="71" t="e">
        <f aca="false">(FH1028* 5)/M1028</f>
        <v>#VALUE!</v>
      </c>
      <c r="I1028" s="71" t="e">
        <f aca="false">G1028-H1028</f>
        <v>#VALUE!</v>
      </c>
      <c r="J1028" s="35" t="s">
        <v>538</v>
      </c>
      <c r="K1028" s="36" t="n">
        <v>80000</v>
      </c>
      <c r="L1028" s="36" t="n">
        <v>120000</v>
      </c>
      <c r="M1028" s="37" t="s">
        <v>214</v>
      </c>
      <c r="N1028" s="30" t="n">
        <v>120000</v>
      </c>
      <c r="O1028" s="30"/>
      <c r="P1028" s="41" t="n">
        <f aca="false">SUM(N1028:O1028)</f>
        <v>120000</v>
      </c>
      <c r="Q1028" s="302" t="n">
        <v>45901</v>
      </c>
    </row>
    <row r="1029" customFormat="false" ht="28.35" hidden="true" customHeight="false" outlineLevel="0" collapsed="false">
      <c r="A1029" s="20" t="n">
        <v>3191</v>
      </c>
      <c r="B1029" s="21" t="s">
        <v>218</v>
      </c>
      <c r="C1029" s="21" t="s">
        <v>219</v>
      </c>
      <c r="D1029" s="34"/>
      <c r="E1029" s="25" t="n">
        <v>45790</v>
      </c>
      <c r="F1029" s="25" t="n">
        <v>45902</v>
      </c>
      <c r="G1029" s="26" t="n">
        <v>80</v>
      </c>
      <c r="H1029" s="71" t="n">
        <v>80</v>
      </c>
      <c r="I1029" s="71" t="n">
        <v>0</v>
      </c>
      <c r="J1029" s="35" t="s">
        <v>1258</v>
      </c>
      <c r="K1029" s="31" t="n">
        <v>100000</v>
      </c>
      <c r="L1029" s="31" t="n">
        <v>216000</v>
      </c>
      <c r="M1029" s="37" t="n">
        <v>13500</v>
      </c>
      <c r="N1029" s="30" t="n">
        <v>54000</v>
      </c>
      <c r="O1029" s="30" t="n">
        <v>216000</v>
      </c>
      <c r="P1029" s="36" t="n">
        <v>0</v>
      </c>
      <c r="Q1029" s="302" t="n">
        <v>45908</v>
      </c>
    </row>
    <row r="1030" customFormat="false" ht="28.35" hidden="true" customHeight="false" outlineLevel="0" collapsed="false">
      <c r="A1030" s="20" t="n">
        <v>3096</v>
      </c>
      <c r="B1030" s="21" t="s">
        <v>227</v>
      </c>
      <c r="C1030" s="21" t="s">
        <v>228</v>
      </c>
      <c r="D1030" s="34"/>
      <c r="E1030" s="25" t="n">
        <v>45724</v>
      </c>
      <c r="F1030" s="25" t="n">
        <v>45891</v>
      </c>
      <c r="G1030" s="26" t="n">
        <v>120</v>
      </c>
      <c r="H1030" s="71" t="n">
        <v>120</v>
      </c>
      <c r="I1030" s="71" t="n">
        <v>0</v>
      </c>
      <c r="J1030" s="35" t="s">
        <v>1295</v>
      </c>
      <c r="K1030" s="36" t="n">
        <v>60000</v>
      </c>
      <c r="L1030" s="36" t="n">
        <v>158400</v>
      </c>
      <c r="M1030" s="391" t="n">
        <v>6600</v>
      </c>
      <c r="N1030" s="30" t="n">
        <v>36400</v>
      </c>
      <c r="O1030" s="30" t="n">
        <v>158400</v>
      </c>
      <c r="P1030" s="31" t="n">
        <v>0</v>
      </c>
      <c r="Q1030" s="302" t="n">
        <v>45908</v>
      </c>
    </row>
    <row r="1031" customFormat="false" ht="21.6" hidden="true" customHeight="false" outlineLevel="0" collapsed="false">
      <c r="A1031" s="20" t="n">
        <v>3100</v>
      </c>
      <c r="B1031" s="21" t="s">
        <v>230</v>
      </c>
      <c r="C1031" s="21" t="s">
        <v>231</v>
      </c>
      <c r="D1031" s="34"/>
      <c r="E1031" s="25" t="n">
        <v>45726</v>
      </c>
      <c r="F1031" s="25" t="n">
        <v>45894</v>
      </c>
      <c r="G1031" s="26" t="n">
        <v>120</v>
      </c>
      <c r="H1031" s="71" t="n">
        <v>120</v>
      </c>
      <c r="I1031" s="71" t="n">
        <v>0</v>
      </c>
      <c r="J1031" s="35" t="s">
        <v>1296</v>
      </c>
      <c r="K1031" s="394" t="n">
        <v>60000</v>
      </c>
      <c r="L1031" s="36" t="n">
        <v>158400</v>
      </c>
      <c r="M1031" s="37" t="n">
        <v>6600</v>
      </c>
      <c r="N1031" s="30" t="n">
        <v>26400</v>
      </c>
      <c r="O1031" s="30" t="n">
        <v>158400</v>
      </c>
      <c r="P1031" s="31" t="n">
        <v>0</v>
      </c>
      <c r="Q1031" s="302" t="n">
        <v>45908</v>
      </c>
    </row>
    <row r="1032" customFormat="false" ht="21.6" hidden="true" customHeight="false" outlineLevel="0" collapsed="false">
      <c r="A1032" s="20" t="n">
        <v>3187</v>
      </c>
      <c r="B1032" s="21" t="s">
        <v>230</v>
      </c>
      <c r="C1032" s="21" t="s">
        <v>231</v>
      </c>
      <c r="D1032" s="34"/>
      <c r="E1032" s="25" t="n">
        <v>45786</v>
      </c>
      <c r="F1032" s="25" t="n">
        <v>45898</v>
      </c>
      <c r="G1032" s="26" t="n">
        <v>80</v>
      </c>
      <c r="H1032" s="71" t="n">
        <v>80</v>
      </c>
      <c r="I1032" s="71" t="n">
        <v>0</v>
      </c>
      <c r="J1032" s="35" t="s">
        <v>1297</v>
      </c>
      <c r="K1032" s="394" t="n">
        <v>30000</v>
      </c>
      <c r="L1032" s="36" t="n">
        <v>64800</v>
      </c>
      <c r="M1032" s="37" t="n">
        <v>4050</v>
      </c>
      <c r="N1032" s="30" t="n">
        <v>16200</v>
      </c>
      <c r="O1032" s="30" t="n">
        <v>64800</v>
      </c>
      <c r="P1032" s="31" t="n">
        <v>0</v>
      </c>
      <c r="Q1032" s="302" t="n">
        <v>45908</v>
      </c>
    </row>
    <row r="1033" customFormat="false" ht="14.9" hidden="true" customHeight="false" outlineLevel="0" collapsed="false">
      <c r="A1033" s="20" t="n">
        <v>3229</v>
      </c>
      <c r="B1033" s="21" t="s">
        <v>240</v>
      </c>
      <c r="C1033" s="21" t="s">
        <v>241</v>
      </c>
      <c r="D1033" s="34"/>
      <c r="E1033" s="25" t="n">
        <v>45815</v>
      </c>
      <c r="F1033" s="25" t="n">
        <v>45916</v>
      </c>
      <c r="G1033" s="26" t="n">
        <v>72</v>
      </c>
      <c r="H1033" s="71" t="n">
        <v>72</v>
      </c>
      <c r="I1033" s="71" t="n">
        <v>0</v>
      </c>
      <c r="J1033" s="22" t="s">
        <v>792</v>
      </c>
      <c r="K1033" s="36" t="n">
        <v>60000</v>
      </c>
      <c r="L1033" s="36" t="n">
        <v>129600</v>
      </c>
      <c r="M1033" s="37" t="n">
        <v>9000</v>
      </c>
      <c r="N1033" s="30" t="n">
        <v>12600</v>
      </c>
      <c r="O1033" s="30" t="n">
        <v>129600</v>
      </c>
      <c r="P1033" s="31" t="n">
        <v>0</v>
      </c>
      <c r="Q1033" s="302" t="n">
        <v>45908</v>
      </c>
    </row>
    <row r="1034" customFormat="false" ht="14.9" hidden="true" customHeight="false" outlineLevel="0" collapsed="false">
      <c r="A1034" s="20" t="n">
        <v>2975</v>
      </c>
      <c r="B1034" s="21" t="s">
        <v>1298</v>
      </c>
      <c r="C1034" s="21" t="s">
        <v>241</v>
      </c>
      <c r="D1034" s="34"/>
      <c r="E1034" s="25" t="n">
        <v>45652</v>
      </c>
      <c r="F1034" s="25" t="n">
        <v>45754</v>
      </c>
      <c r="G1034" s="26" t="n">
        <v>72</v>
      </c>
      <c r="H1034" s="71" t="n">
        <v>73.4514156285391</v>
      </c>
      <c r="I1034" s="71" t="n">
        <v>-1.45141562853907</v>
      </c>
      <c r="J1034" s="22" t="s">
        <v>244</v>
      </c>
      <c r="K1034" s="36" t="n">
        <v>200000</v>
      </c>
      <c r="L1034" s="36" t="n">
        <v>441500</v>
      </c>
      <c r="M1034" s="37" t="n">
        <v>30659.7222222222</v>
      </c>
      <c r="N1034" s="30" t="n">
        <v>30000</v>
      </c>
      <c r="O1034" s="30" t="n">
        <v>450400</v>
      </c>
      <c r="P1034" s="31" t="n">
        <v>-8900</v>
      </c>
      <c r="Q1034" s="302" t="n">
        <v>45908</v>
      </c>
    </row>
    <row r="1035" customFormat="false" ht="21.6" hidden="true" customHeight="false" outlineLevel="0" collapsed="false">
      <c r="A1035" s="20" t="n">
        <v>3257</v>
      </c>
      <c r="B1035" s="21" t="s">
        <v>256</v>
      </c>
      <c r="C1035" s="21" t="s">
        <v>257</v>
      </c>
      <c r="D1035" s="34"/>
      <c r="E1035" s="25" t="n">
        <v>45832</v>
      </c>
      <c r="F1035" s="25" t="n">
        <v>45932</v>
      </c>
      <c r="G1035" s="26" t="n">
        <v>72</v>
      </c>
      <c r="H1035" s="71" t="n">
        <v>72</v>
      </c>
      <c r="I1035" s="71" t="n">
        <v>0</v>
      </c>
      <c r="J1035" s="22" t="s">
        <v>243</v>
      </c>
      <c r="K1035" s="36" t="n">
        <v>150000</v>
      </c>
      <c r="L1035" s="36" t="n">
        <v>324000</v>
      </c>
      <c r="M1035" s="37" t="n">
        <v>22500</v>
      </c>
      <c r="N1035" s="30" t="n">
        <v>89000</v>
      </c>
      <c r="O1035" s="30" t="n">
        <v>324000</v>
      </c>
      <c r="P1035" s="31" t="n">
        <v>0</v>
      </c>
      <c r="Q1035" s="302" t="n">
        <v>45908</v>
      </c>
    </row>
    <row r="1036" customFormat="false" ht="35.05" hidden="true" customHeight="false" outlineLevel="0" collapsed="false">
      <c r="A1036" s="20" t="n">
        <v>3112</v>
      </c>
      <c r="B1036" s="21" t="s">
        <v>272</v>
      </c>
      <c r="C1036" s="21" t="s">
        <v>917</v>
      </c>
      <c r="D1036" s="34"/>
      <c r="E1036" s="25" t="n">
        <v>45734</v>
      </c>
      <c r="F1036" s="25" t="n">
        <v>45902</v>
      </c>
      <c r="G1036" s="26" t="n">
        <v>120</v>
      </c>
      <c r="H1036" s="71" t="n">
        <v>120</v>
      </c>
      <c r="I1036" s="71" t="n">
        <v>0</v>
      </c>
      <c r="J1036" s="48" t="s">
        <v>1299</v>
      </c>
      <c r="K1036" s="29" t="n">
        <v>70000</v>
      </c>
      <c r="L1036" s="36" t="n">
        <v>184800</v>
      </c>
      <c r="M1036" s="37" t="n">
        <v>7700</v>
      </c>
      <c r="N1036" s="30" t="n">
        <v>30800</v>
      </c>
      <c r="O1036" s="30" t="n">
        <v>184800</v>
      </c>
      <c r="P1036" s="31" t="n">
        <v>0</v>
      </c>
      <c r="Q1036" s="302" t="n">
        <v>45908</v>
      </c>
    </row>
    <row r="1037" customFormat="false" ht="14.9" hidden="true" customHeight="false" outlineLevel="0" collapsed="false">
      <c r="A1037" s="20" t="n">
        <v>3014</v>
      </c>
      <c r="B1037" s="21" t="s">
        <v>291</v>
      </c>
      <c r="C1037" s="21" t="s">
        <v>292</v>
      </c>
      <c r="D1037" s="34"/>
      <c r="E1037" s="25" t="n">
        <v>45678</v>
      </c>
      <c r="F1037" s="25" t="n">
        <v>45888</v>
      </c>
      <c r="G1037" s="26" t="n">
        <v>150</v>
      </c>
      <c r="H1037" s="71" t="n">
        <v>150</v>
      </c>
      <c r="I1037" s="71" t="n">
        <v>0</v>
      </c>
      <c r="J1037" s="35" t="s">
        <v>1300</v>
      </c>
      <c r="K1037" s="36" t="n">
        <v>150000</v>
      </c>
      <c r="L1037" s="36" t="n">
        <v>450000</v>
      </c>
      <c r="M1037" s="29" t="n">
        <v>15000</v>
      </c>
      <c r="N1037" s="30" t="n">
        <v>30000</v>
      </c>
      <c r="O1037" s="30" t="n">
        <v>450000</v>
      </c>
      <c r="P1037" s="31" t="n">
        <v>0</v>
      </c>
      <c r="Q1037" s="302" t="n">
        <v>45908</v>
      </c>
    </row>
    <row r="1038" customFormat="false" ht="17.9" hidden="true" customHeight="false" outlineLevel="0" collapsed="false">
      <c r="A1038" s="20" t="n">
        <v>3374</v>
      </c>
      <c r="B1038" s="34" t="s">
        <v>429</v>
      </c>
      <c r="C1038" s="34"/>
      <c r="D1038" s="34"/>
      <c r="E1038" s="25" t="n">
        <v>45898</v>
      </c>
      <c r="F1038" s="25" t="n">
        <v>45777</v>
      </c>
      <c r="G1038" s="26" t="n">
        <v>5</v>
      </c>
      <c r="H1038" s="71" t="e">
        <f aca="false">#DIV/0!</f>
        <v>#DIV/0!</v>
      </c>
      <c r="I1038" s="71" t="e">
        <f aca="false">#DIV/0!</f>
        <v>#DIV/0!</v>
      </c>
      <c r="J1038" s="34" t="s">
        <v>580</v>
      </c>
      <c r="K1038" s="36" t="n">
        <v>300000</v>
      </c>
      <c r="L1038" s="36" t="n">
        <v>390000</v>
      </c>
      <c r="M1038" s="37"/>
      <c r="N1038" s="30" t="n">
        <v>390000</v>
      </c>
      <c r="O1038" s="30" t="n">
        <v>390000</v>
      </c>
      <c r="P1038" s="31" t="n">
        <v>0</v>
      </c>
      <c r="Q1038" s="302" t="n">
        <v>45908</v>
      </c>
    </row>
    <row r="1039" customFormat="false" ht="28.35" hidden="true" customHeight="false" outlineLevel="0" collapsed="false">
      <c r="A1039" s="20" t="n">
        <v>3217</v>
      </c>
      <c r="B1039" s="21" t="s">
        <v>430</v>
      </c>
      <c r="C1039" s="21" t="s">
        <v>431</v>
      </c>
      <c r="D1039" s="34"/>
      <c r="E1039" s="25" t="n">
        <v>45804</v>
      </c>
      <c r="F1039" s="25" t="n">
        <v>45916</v>
      </c>
      <c r="G1039" s="26" t="n">
        <v>80</v>
      </c>
      <c r="H1039" s="71" t="n">
        <v>80</v>
      </c>
      <c r="I1039" s="71" t="n">
        <v>0</v>
      </c>
      <c r="J1039" s="65" t="s">
        <v>1301</v>
      </c>
      <c r="K1039" s="46" t="n">
        <v>50000</v>
      </c>
      <c r="L1039" s="36" t="n">
        <v>108000</v>
      </c>
      <c r="M1039" s="37" t="n">
        <v>6750</v>
      </c>
      <c r="N1039" s="30" t="n">
        <v>27000</v>
      </c>
      <c r="O1039" s="30" t="n">
        <v>108000</v>
      </c>
      <c r="P1039" s="36" t="n">
        <v>0</v>
      </c>
      <c r="Q1039" s="302" t="n">
        <v>45908</v>
      </c>
    </row>
    <row r="1040" customFormat="false" ht="48.5" hidden="true" customHeight="false" outlineLevel="0" collapsed="false">
      <c r="A1040" s="20" t="n">
        <v>3199</v>
      </c>
      <c r="B1040" s="21" t="s">
        <v>466</v>
      </c>
      <c r="C1040" s="21" t="s">
        <v>467</v>
      </c>
      <c r="D1040" s="34" t="n">
        <v>27249921551</v>
      </c>
      <c r="E1040" s="25" t="n">
        <v>45793</v>
      </c>
      <c r="F1040" s="25" t="n">
        <v>45895</v>
      </c>
      <c r="G1040" s="26" t="n">
        <v>72</v>
      </c>
      <c r="H1040" s="71" t="n">
        <v>72</v>
      </c>
      <c r="I1040" s="71" t="n">
        <v>0</v>
      </c>
      <c r="J1040" s="22" t="s">
        <v>266</v>
      </c>
      <c r="K1040" s="31" t="n">
        <v>100000</v>
      </c>
      <c r="L1040" s="31" t="n">
        <v>216000</v>
      </c>
      <c r="M1040" s="37" t="n">
        <v>15000</v>
      </c>
      <c r="N1040" s="30" t="n">
        <v>36000</v>
      </c>
      <c r="O1040" s="30" t="n">
        <v>216000</v>
      </c>
      <c r="P1040" s="36" t="n">
        <v>0</v>
      </c>
      <c r="Q1040" s="302" t="n">
        <v>45908</v>
      </c>
    </row>
    <row r="1041" customFormat="false" ht="48.5" hidden="true" customHeight="false" outlineLevel="0" collapsed="false">
      <c r="A1041" s="26" t="n">
        <v>3208</v>
      </c>
      <c r="B1041" s="21" t="s">
        <v>466</v>
      </c>
      <c r="C1041" s="21" t="s">
        <v>467</v>
      </c>
      <c r="D1041" s="34" t="n">
        <v>27249921551</v>
      </c>
      <c r="E1041" s="25" t="n">
        <v>45799</v>
      </c>
      <c r="F1041" s="25" t="n">
        <v>45901</v>
      </c>
      <c r="G1041" s="26" t="n">
        <v>72</v>
      </c>
      <c r="H1041" s="71" t="n">
        <v>72</v>
      </c>
      <c r="I1041" s="71" t="n">
        <v>0</v>
      </c>
      <c r="J1041" s="22" t="s">
        <v>381</v>
      </c>
      <c r="K1041" s="36" t="n">
        <v>70000</v>
      </c>
      <c r="L1041" s="36" t="n">
        <v>151200</v>
      </c>
      <c r="M1041" s="37" t="n">
        <v>10500</v>
      </c>
      <c r="N1041" s="30" t="n">
        <v>35700</v>
      </c>
      <c r="O1041" s="30" t="n">
        <v>151200</v>
      </c>
      <c r="P1041" s="36" t="n">
        <v>0</v>
      </c>
      <c r="Q1041" s="302" t="n">
        <v>45908</v>
      </c>
    </row>
    <row r="1042" customFormat="false" ht="21.6" hidden="true" customHeight="false" outlineLevel="0" collapsed="false">
      <c r="A1042" s="26" t="n">
        <v>3045</v>
      </c>
      <c r="B1042" s="21" t="s">
        <v>1202</v>
      </c>
      <c r="C1042" s="21" t="s">
        <v>1203</v>
      </c>
      <c r="D1042" s="34"/>
      <c r="E1042" s="25" t="n">
        <v>45695</v>
      </c>
      <c r="F1042" s="25" t="n">
        <v>45807</v>
      </c>
      <c r="G1042" s="26" t="n">
        <v>80</v>
      </c>
      <c r="H1042" s="71" t="n">
        <v>86.2962962962963</v>
      </c>
      <c r="I1042" s="71" t="n">
        <v>-6.29629629629629</v>
      </c>
      <c r="J1042" s="35" t="s">
        <v>233</v>
      </c>
      <c r="K1042" s="36" t="n">
        <v>120000</v>
      </c>
      <c r="L1042" s="36" t="n">
        <v>259200</v>
      </c>
      <c r="M1042" s="37" t="n">
        <v>16200</v>
      </c>
      <c r="N1042" s="30" t="n">
        <v>50000</v>
      </c>
      <c r="O1042" s="30" t="n">
        <v>279600</v>
      </c>
      <c r="P1042" s="36" t="n">
        <v>-20400</v>
      </c>
      <c r="Q1042" s="302" t="n">
        <v>45908</v>
      </c>
    </row>
    <row r="1043" customFormat="false" ht="14.9" hidden="true" customHeight="false" outlineLevel="0" collapsed="false">
      <c r="A1043" s="26" t="n">
        <v>3345</v>
      </c>
      <c r="B1043" s="21" t="s">
        <v>1285</v>
      </c>
      <c r="C1043" s="21"/>
      <c r="D1043" s="34"/>
      <c r="E1043" s="25" t="n">
        <v>45881</v>
      </c>
      <c r="F1043" s="25" t="n">
        <v>45820</v>
      </c>
      <c r="G1043" s="26" t="n">
        <v>20</v>
      </c>
      <c r="H1043" s="71" t="e">
        <f aca="false">#VALUE!</f>
        <v>#VALUE!</v>
      </c>
      <c r="I1043" s="71" t="e">
        <f aca="false">#VALUE!</f>
        <v>#VALUE!</v>
      </c>
      <c r="J1043" s="35" t="s">
        <v>538</v>
      </c>
      <c r="K1043" s="36" t="n">
        <v>100000</v>
      </c>
      <c r="L1043" s="36" t="n">
        <v>150000</v>
      </c>
      <c r="M1043" s="37" t="s">
        <v>214</v>
      </c>
      <c r="N1043" s="30" t="n">
        <v>150000</v>
      </c>
      <c r="O1043" s="30" t="n">
        <v>150000</v>
      </c>
      <c r="P1043" s="36" t="n">
        <v>0</v>
      </c>
      <c r="Q1043" s="302" t="n">
        <v>45908</v>
      </c>
    </row>
    <row r="1044" customFormat="false" ht="14.25" hidden="true" customHeight="false" outlineLevel="0" collapsed="false">
      <c r="A1044" s="78" t="n">
        <v>3376</v>
      </c>
      <c r="B1044" s="21" t="s">
        <v>504</v>
      </c>
      <c r="C1044" s="21"/>
      <c r="D1044" s="34"/>
      <c r="E1044" s="25" t="n">
        <v>45903</v>
      </c>
      <c r="F1044" s="25" t="n">
        <v>45820</v>
      </c>
      <c r="G1044" s="26" t="n">
        <v>20</v>
      </c>
      <c r="H1044" s="71" t="e">
        <f aca="false">#DIV/0!</f>
        <v>#DIV/0!</v>
      </c>
      <c r="I1044" s="71" t="e">
        <f aca="false">#DIV/0!</f>
        <v>#DIV/0!</v>
      </c>
      <c r="J1044" s="35" t="s">
        <v>538</v>
      </c>
      <c r="K1044" s="57" t="n">
        <v>20000</v>
      </c>
      <c r="L1044" s="36" t="n">
        <v>30000</v>
      </c>
      <c r="M1044" s="37"/>
      <c r="N1044" s="30" t="n">
        <v>30000</v>
      </c>
      <c r="O1044" s="30" t="n">
        <v>30000</v>
      </c>
      <c r="P1044" s="36" t="n">
        <v>0</v>
      </c>
      <c r="Q1044" s="302" t="n">
        <v>45908</v>
      </c>
    </row>
    <row r="1045" customFormat="false" ht="14.9" hidden="true" customHeight="false" outlineLevel="0" collapsed="false">
      <c r="A1045" s="26" t="n">
        <v>3174</v>
      </c>
      <c r="B1045" s="21" t="s">
        <v>510</v>
      </c>
      <c r="C1045" s="21"/>
      <c r="D1045" s="34"/>
      <c r="E1045" s="25" t="n">
        <v>45776</v>
      </c>
      <c r="F1045" s="25" t="n">
        <v>45888</v>
      </c>
      <c r="G1045" s="26" t="n">
        <v>80</v>
      </c>
      <c r="H1045" s="71" t="n">
        <v>80</v>
      </c>
      <c r="I1045" s="71" t="n">
        <v>0</v>
      </c>
      <c r="J1045" s="35" t="s">
        <v>1302</v>
      </c>
      <c r="K1045" s="36" t="n">
        <v>80000</v>
      </c>
      <c r="L1045" s="36" t="n">
        <v>172800</v>
      </c>
      <c r="M1045" s="37" t="n">
        <v>10800</v>
      </c>
      <c r="N1045" s="30" t="n">
        <v>43200</v>
      </c>
      <c r="O1045" s="30" t="n">
        <v>172800</v>
      </c>
      <c r="P1045" s="31" t="n">
        <v>0</v>
      </c>
      <c r="Q1045" s="302" t="n">
        <v>45908</v>
      </c>
    </row>
    <row r="1046" customFormat="false" ht="14.25" hidden="true" customHeight="false" outlineLevel="0" collapsed="false">
      <c r="A1046" s="26" t="n">
        <v>3352</v>
      </c>
      <c r="B1046" s="34" t="s">
        <v>537</v>
      </c>
      <c r="C1046" s="21"/>
      <c r="D1046" s="34"/>
      <c r="E1046" s="25" t="n">
        <v>45884</v>
      </c>
      <c r="F1046" s="25" t="n">
        <v>45891</v>
      </c>
      <c r="G1046" s="26" t="n">
        <v>5</v>
      </c>
      <c r="H1046" s="71" t="e">
        <f aca="false">#DIV/0!</f>
        <v>#DIV/0!</v>
      </c>
      <c r="I1046" s="71" t="e">
        <f aca="false">#DIV/0!</f>
        <v>#DIV/0!</v>
      </c>
      <c r="J1046" s="35" t="s">
        <v>538</v>
      </c>
      <c r="K1046" s="31" t="n">
        <v>20000</v>
      </c>
      <c r="L1046" s="31" t="n">
        <v>30000</v>
      </c>
      <c r="M1046" s="37"/>
      <c r="N1046" s="30" t="n">
        <v>30000</v>
      </c>
      <c r="O1046" s="30" t="n">
        <v>30000</v>
      </c>
      <c r="P1046" s="36" t="n">
        <v>0</v>
      </c>
      <c r="Q1046" s="302" t="n">
        <v>45908</v>
      </c>
    </row>
    <row r="1047" customFormat="false" ht="14.25" hidden="true" customHeight="false" outlineLevel="0" collapsed="false">
      <c r="A1047" s="26" t="n">
        <v>3356</v>
      </c>
      <c r="B1047" s="34" t="s">
        <v>537</v>
      </c>
      <c r="C1047" s="21"/>
      <c r="D1047" s="34"/>
      <c r="E1047" s="25" t="n">
        <v>45888</v>
      </c>
      <c r="F1047" s="25" t="n">
        <v>45895</v>
      </c>
      <c r="G1047" s="26" t="n">
        <v>5</v>
      </c>
      <c r="H1047" s="71" t="e">
        <f aca="false">#DIV/0!</f>
        <v>#DIV/0!</v>
      </c>
      <c r="I1047" s="71" t="e">
        <f aca="false">#DIV/0!</f>
        <v>#DIV/0!</v>
      </c>
      <c r="J1047" s="35" t="s">
        <v>538</v>
      </c>
      <c r="K1047" s="36" t="n">
        <v>50000</v>
      </c>
      <c r="L1047" s="36" t="n">
        <v>75000</v>
      </c>
      <c r="M1047" s="29"/>
      <c r="N1047" s="30" t="n">
        <v>75000</v>
      </c>
      <c r="O1047" s="30" t="n">
        <v>75000</v>
      </c>
      <c r="P1047" s="36" t="n">
        <v>0</v>
      </c>
      <c r="Q1047" s="302" t="n">
        <v>45908</v>
      </c>
    </row>
    <row r="1048" customFormat="false" ht="14.25" hidden="true" customHeight="false" outlineLevel="0" collapsed="false">
      <c r="A1048" s="26" t="n">
        <v>3359</v>
      </c>
      <c r="B1048" s="34" t="s">
        <v>537</v>
      </c>
      <c r="C1048" s="21"/>
      <c r="D1048" s="34"/>
      <c r="E1048" s="25" t="n">
        <v>45891</v>
      </c>
      <c r="F1048" s="25" t="n">
        <v>45912</v>
      </c>
      <c r="G1048" s="26" t="n">
        <v>15</v>
      </c>
      <c r="H1048" s="71" t="e">
        <f aca="false">#DIV/0!</f>
        <v>#DIV/0!</v>
      </c>
      <c r="I1048" s="71" t="e">
        <f aca="false">#DIV/0!</f>
        <v>#DIV/0!</v>
      </c>
      <c r="J1048" s="35" t="s">
        <v>538</v>
      </c>
      <c r="K1048" s="36" t="n">
        <v>30000</v>
      </c>
      <c r="L1048" s="36" t="n">
        <v>45000</v>
      </c>
      <c r="M1048" s="29"/>
      <c r="N1048" s="30" t="n">
        <v>45000</v>
      </c>
      <c r="O1048" s="30" t="n">
        <v>45000</v>
      </c>
      <c r="P1048" s="36" t="n">
        <v>0</v>
      </c>
      <c r="Q1048" s="302" t="n">
        <v>45908</v>
      </c>
    </row>
    <row r="1049" customFormat="false" ht="14.25" hidden="true" customHeight="false" outlineLevel="0" collapsed="false">
      <c r="A1049" s="26" t="n">
        <v>3369</v>
      </c>
      <c r="B1049" s="34" t="s">
        <v>537</v>
      </c>
      <c r="C1049" s="21"/>
      <c r="D1049" s="34"/>
      <c r="E1049" s="25" t="n">
        <v>45891</v>
      </c>
      <c r="F1049" s="25" t="n">
        <v>45912</v>
      </c>
      <c r="G1049" s="26" t="n">
        <v>15</v>
      </c>
      <c r="H1049" s="71" t="e">
        <f aca="false">#DIV/0!</f>
        <v>#DIV/0!</v>
      </c>
      <c r="I1049" s="71" t="e">
        <f aca="false">#DIV/0!</f>
        <v>#DIV/0!</v>
      </c>
      <c r="J1049" s="35" t="s">
        <v>538</v>
      </c>
      <c r="K1049" s="36" t="n">
        <v>40000</v>
      </c>
      <c r="L1049" s="36" t="n">
        <v>60000</v>
      </c>
      <c r="M1049" s="29"/>
      <c r="N1049" s="30" t="n">
        <v>60000</v>
      </c>
      <c r="O1049" s="30" t="n">
        <v>60000</v>
      </c>
      <c r="P1049" s="36" t="n">
        <v>0</v>
      </c>
      <c r="Q1049" s="302" t="n">
        <v>45908</v>
      </c>
    </row>
    <row r="1050" customFormat="false" ht="14.25" hidden="true" customHeight="false" outlineLevel="0" collapsed="false">
      <c r="A1050" s="26" t="n">
        <v>3372</v>
      </c>
      <c r="B1050" s="34" t="s">
        <v>537</v>
      </c>
      <c r="C1050" s="21"/>
      <c r="D1050" s="34"/>
      <c r="E1050" s="25" t="n">
        <v>45897</v>
      </c>
      <c r="F1050" s="25" t="n">
        <v>45918</v>
      </c>
      <c r="G1050" s="26" t="n">
        <v>15</v>
      </c>
      <c r="H1050" s="71" t="e">
        <f aca="false">#DIV/0!</f>
        <v>#DIV/0!</v>
      </c>
      <c r="I1050" s="71" t="e">
        <f aca="false">#DIV/0!</f>
        <v>#DIV/0!</v>
      </c>
      <c r="J1050" s="35" t="s">
        <v>538</v>
      </c>
      <c r="K1050" s="36" t="n">
        <v>30000</v>
      </c>
      <c r="L1050" s="36" t="n">
        <v>45000</v>
      </c>
      <c r="M1050" s="37"/>
      <c r="N1050" s="30" t="n">
        <v>45000</v>
      </c>
      <c r="O1050" s="30" t="n">
        <v>45000</v>
      </c>
      <c r="P1050" s="36" t="n">
        <v>0</v>
      </c>
      <c r="Q1050" s="302" t="n">
        <v>45908</v>
      </c>
    </row>
    <row r="1051" customFormat="false" ht="14.9" hidden="true" customHeight="false" outlineLevel="0" collapsed="false">
      <c r="A1051" s="26" t="n">
        <v>3094</v>
      </c>
      <c r="B1051" s="21" t="s">
        <v>631</v>
      </c>
      <c r="C1051" s="21" t="s">
        <v>632</v>
      </c>
      <c r="D1051" s="34"/>
      <c r="E1051" s="25" t="n">
        <v>45723</v>
      </c>
      <c r="F1051" s="25" t="n">
        <v>45891</v>
      </c>
      <c r="G1051" s="26" t="n">
        <v>120</v>
      </c>
      <c r="H1051" s="71" t="n">
        <v>120</v>
      </c>
      <c r="I1051" s="71" t="n">
        <v>0</v>
      </c>
      <c r="J1051" s="35" t="s">
        <v>1303</v>
      </c>
      <c r="K1051" s="31" t="n">
        <v>500000</v>
      </c>
      <c r="L1051" s="31" t="n">
        <v>1320000</v>
      </c>
      <c r="M1051" s="56" t="n">
        <v>55000</v>
      </c>
      <c r="N1051" s="30" t="n">
        <v>220000</v>
      </c>
      <c r="O1051" s="30" t="n">
        <v>1320000</v>
      </c>
      <c r="P1051" s="36" t="n">
        <v>0</v>
      </c>
      <c r="Q1051" s="302" t="n">
        <v>45908</v>
      </c>
    </row>
    <row r="1052" customFormat="false" ht="19.4" hidden="true" customHeight="false" outlineLevel="0" collapsed="false">
      <c r="A1052" s="26" t="n">
        <v>2959</v>
      </c>
      <c r="B1052" s="21" t="s">
        <v>638</v>
      </c>
      <c r="C1052" s="21" t="s">
        <v>639</v>
      </c>
      <c r="D1052" s="34" t="n">
        <v>2034839888</v>
      </c>
      <c r="E1052" s="25" t="n">
        <v>45644</v>
      </c>
      <c r="F1052" s="25" t="n">
        <v>45868</v>
      </c>
      <c r="G1052" s="26" t="n">
        <v>160</v>
      </c>
      <c r="H1052" s="71" t="n">
        <v>160</v>
      </c>
      <c r="I1052" s="71" t="n">
        <v>0</v>
      </c>
      <c r="J1052" s="35" t="s">
        <v>1304</v>
      </c>
      <c r="K1052" s="36" t="n">
        <v>350000</v>
      </c>
      <c r="L1052" s="36" t="n">
        <v>1050000</v>
      </c>
      <c r="M1052" s="37" t="n">
        <v>32812.5</v>
      </c>
      <c r="N1052" s="30" t="n">
        <v>256500</v>
      </c>
      <c r="O1052" s="30" t="n">
        <v>1050000</v>
      </c>
      <c r="P1052" s="36" t="n">
        <v>0</v>
      </c>
      <c r="Q1052" s="302" t="n">
        <v>45908</v>
      </c>
    </row>
    <row r="1053" customFormat="false" ht="14.9" hidden="true" customHeight="false" outlineLevel="0" collapsed="false">
      <c r="A1053" s="26" t="n">
        <v>3001</v>
      </c>
      <c r="B1053" s="21" t="s">
        <v>638</v>
      </c>
      <c r="C1053" s="21" t="s">
        <v>639</v>
      </c>
      <c r="D1053" s="34" t="n">
        <v>2034839888</v>
      </c>
      <c r="E1053" s="25" t="n">
        <v>45668</v>
      </c>
      <c r="F1053" s="25" t="n">
        <v>45835</v>
      </c>
      <c r="G1053" s="26" t="n">
        <v>120</v>
      </c>
      <c r="H1053" s="71" t="n">
        <v>120</v>
      </c>
      <c r="I1053" s="71" t="n">
        <v>0</v>
      </c>
      <c r="J1053" s="35" t="s">
        <v>641</v>
      </c>
      <c r="K1053" s="36" t="n">
        <v>50000</v>
      </c>
      <c r="L1053" s="36" t="n">
        <v>132000</v>
      </c>
      <c r="M1053" s="29" t="n">
        <v>5500</v>
      </c>
      <c r="N1053" s="30" t="n">
        <v>22000</v>
      </c>
      <c r="O1053" s="30" t="n">
        <v>132000</v>
      </c>
      <c r="P1053" s="36" t="n">
        <v>0</v>
      </c>
      <c r="Q1053" s="302" t="n">
        <v>45908</v>
      </c>
    </row>
    <row r="1054" customFormat="false" ht="14.9" hidden="true" customHeight="false" outlineLevel="0" collapsed="false">
      <c r="A1054" s="26" t="n">
        <v>2901</v>
      </c>
      <c r="B1054" s="21" t="s">
        <v>251</v>
      </c>
      <c r="C1054" s="21" t="s">
        <v>252</v>
      </c>
      <c r="D1054" s="34" t="s">
        <v>253</v>
      </c>
      <c r="E1054" s="25" t="n">
        <v>45605</v>
      </c>
      <c r="F1054" s="25" t="n">
        <v>45884</v>
      </c>
      <c r="G1054" s="26" t="n">
        <v>200</v>
      </c>
      <c r="H1054" s="71" t="n">
        <v>200.904522613065</v>
      </c>
      <c r="I1054" s="71" t="n">
        <v>-0.904522613065325</v>
      </c>
      <c r="J1054" s="35" t="s">
        <v>1305</v>
      </c>
      <c r="K1054" s="36" t="n">
        <v>300000</v>
      </c>
      <c r="L1054" s="36" t="n">
        <v>995000</v>
      </c>
      <c r="M1054" s="29" t="n">
        <v>24875</v>
      </c>
      <c r="N1054" s="30" t="n">
        <v>99950</v>
      </c>
      <c r="O1054" s="30" t="n">
        <v>999500</v>
      </c>
      <c r="P1054" s="36" t="n">
        <v>-4500</v>
      </c>
      <c r="Q1054" s="302" t="n">
        <v>45915</v>
      </c>
    </row>
    <row r="1055" customFormat="false" ht="21.6" hidden="true" customHeight="false" outlineLevel="0" collapsed="false">
      <c r="A1055" s="20" t="n">
        <v>3211</v>
      </c>
      <c r="B1055" s="21" t="s">
        <v>285</v>
      </c>
      <c r="C1055" s="21" t="s">
        <v>286</v>
      </c>
      <c r="D1055" s="34"/>
      <c r="E1055" s="25" t="n">
        <v>45801</v>
      </c>
      <c r="F1055" s="25" t="n">
        <v>45912</v>
      </c>
      <c r="G1055" s="26" t="n">
        <v>80</v>
      </c>
      <c r="H1055" s="71" t="n">
        <v>80</v>
      </c>
      <c r="I1055" s="71" t="n">
        <v>0</v>
      </c>
      <c r="J1055" s="35" t="s">
        <v>259</v>
      </c>
      <c r="K1055" s="36" t="n">
        <v>100000</v>
      </c>
      <c r="L1055" s="36" t="n">
        <v>216000</v>
      </c>
      <c r="M1055" s="56" t="n">
        <v>13500</v>
      </c>
      <c r="N1055" s="30" t="n">
        <v>54000</v>
      </c>
      <c r="O1055" s="30" t="n">
        <v>216000</v>
      </c>
      <c r="P1055" s="31" t="n">
        <v>0</v>
      </c>
      <c r="Q1055" s="302" t="n">
        <v>45915</v>
      </c>
    </row>
    <row r="1056" customFormat="false" ht="28.35" hidden="true" customHeight="false" outlineLevel="0" collapsed="false">
      <c r="A1056" s="20" t="n">
        <v>3351</v>
      </c>
      <c r="B1056" s="21" t="s">
        <v>396</v>
      </c>
      <c r="C1056" s="21" t="s">
        <v>1280</v>
      </c>
      <c r="D1056" s="34" t="n">
        <v>27355741082</v>
      </c>
      <c r="E1056" s="25" t="n">
        <v>45884</v>
      </c>
      <c r="F1056" s="25" t="n">
        <v>45912</v>
      </c>
      <c r="G1056" s="26" t="n">
        <v>20</v>
      </c>
      <c r="H1056" s="320" t="e">
        <f aca="false">#VALUE!</f>
        <v>#VALUE!</v>
      </c>
      <c r="I1056" s="320" t="e">
        <f aca="false">#VALUE!</f>
        <v>#VALUE!</v>
      </c>
      <c r="J1056" s="22" t="s">
        <v>538</v>
      </c>
      <c r="K1056" s="31" t="n">
        <v>150000</v>
      </c>
      <c r="L1056" s="31" t="n">
        <v>225000</v>
      </c>
      <c r="M1056" s="29"/>
      <c r="N1056" s="30" t="n">
        <v>225000</v>
      </c>
      <c r="O1056" s="30" t="n">
        <v>225000</v>
      </c>
      <c r="P1056" s="31" t="n">
        <v>0</v>
      </c>
      <c r="Q1056" s="302" t="n">
        <v>45915</v>
      </c>
    </row>
    <row r="1057" customFormat="false" ht="17.9" hidden="true" customHeight="false" outlineLevel="0" collapsed="false">
      <c r="A1057" s="20" t="n">
        <v>3380</v>
      </c>
      <c r="B1057" s="34" t="s">
        <v>429</v>
      </c>
      <c r="C1057" s="34"/>
      <c r="D1057" s="34"/>
      <c r="E1057" s="25" t="n">
        <v>45908</v>
      </c>
      <c r="F1057" s="25" t="n">
        <v>45915</v>
      </c>
      <c r="G1057" s="26" t="n">
        <v>5</v>
      </c>
      <c r="H1057" s="71" t="e">
        <f aca="false">#DIV/0!</f>
        <v>#DIV/0!</v>
      </c>
      <c r="I1057" s="71" t="e">
        <f aca="false">#DIV/0!</f>
        <v>#DIV/0!</v>
      </c>
      <c r="J1057" s="34" t="s">
        <v>580</v>
      </c>
      <c r="K1057" s="57" t="n">
        <v>300000</v>
      </c>
      <c r="L1057" s="36" t="n">
        <v>390000</v>
      </c>
      <c r="M1057" s="37"/>
      <c r="N1057" s="30" t="n">
        <v>390000</v>
      </c>
      <c r="O1057" s="30" t="n">
        <v>390000</v>
      </c>
      <c r="P1057" s="36" t="n">
        <v>0</v>
      </c>
      <c r="Q1057" s="302" t="n">
        <v>45915</v>
      </c>
    </row>
    <row r="1058" customFormat="false" ht="28.35" hidden="true" customHeight="false" outlineLevel="0" collapsed="false">
      <c r="A1058" s="20" t="n">
        <v>3082</v>
      </c>
      <c r="B1058" s="21" t="s">
        <v>430</v>
      </c>
      <c r="C1058" s="21" t="s">
        <v>431</v>
      </c>
      <c r="D1058" s="34"/>
      <c r="E1058" s="25" t="n">
        <v>45714</v>
      </c>
      <c r="F1058" s="25" t="n">
        <v>45882</v>
      </c>
      <c r="G1058" s="26" t="n">
        <v>120</v>
      </c>
      <c r="H1058" s="71" t="n">
        <v>120.454545454545</v>
      </c>
      <c r="I1058" s="71" t="n">
        <v>-0.454545454545453</v>
      </c>
      <c r="J1058" s="65" t="s">
        <v>1281</v>
      </c>
      <c r="K1058" s="46" t="n">
        <v>100000</v>
      </c>
      <c r="L1058" s="36" t="n">
        <v>264000</v>
      </c>
      <c r="M1058" s="29" t="n">
        <v>11000</v>
      </c>
      <c r="N1058" s="30" t="n">
        <v>44000</v>
      </c>
      <c r="O1058" s="30" t="n">
        <v>265000</v>
      </c>
      <c r="P1058" s="36" t="n">
        <v>-1000</v>
      </c>
      <c r="Q1058" s="302" t="n">
        <v>45915</v>
      </c>
    </row>
    <row r="1059" customFormat="false" ht="28.35" hidden="true" customHeight="false" outlineLevel="0" collapsed="false">
      <c r="A1059" s="20" t="n">
        <v>3131</v>
      </c>
      <c r="B1059" s="21" t="s">
        <v>779</v>
      </c>
      <c r="C1059" s="21" t="s">
        <v>1306</v>
      </c>
      <c r="D1059" s="34"/>
      <c r="E1059" s="25" t="n">
        <v>45746</v>
      </c>
      <c r="F1059" s="25" t="n">
        <v>45912</v>
      </c>
      <c r="G1059" s="26" t="n">
        <v>120</v>
      </c>
      <c r="H1059" s="71" t="n">
        <v>120</v>
      </c>
      <c r="I1059" s="71" t="n">
        <v>0</v>
      </c>
      <c r="J1059" s="35" t="s">
        <v>418</v>
      </c>
      <c r="K1059" s="57" t="n">
        <v>100000</v>
      </c>
      <c r="L1059" s="36" t="n">
        <v>264000</v>
      </c>
      <c r="M1059" s="37" t="n">
        <v>11000</v>
      </c>
      <c r="N1059" s="30" t="n">
        <v>88000</v>
      </c>
      <c r="O1059" s="30" t="n">
        <v>264000</v>
      </c>
      <c r="P1059" s="36" t="n">
        <v>0</v>
      </c>
      <c r="Q1059" s="302" t="n">
        <v>45915</v>
      </c>
    </row>
    <row r="1060" customFormat="false" ht="28.35" hidden="true" customHeight="false" outlineLevel="0" collapsed="false">
      <c r="A1060" s="26" t="n">
        <v>3226</v>
      </c>
      <c r="B1060" s="21" t="s">
        <v>779</v>
      </c>
      <c r="C1060" s="21" t="s">
        <v>1306</v>
      </c>
      <c r="D1060" s="34"/>
      <c r="E1060" s="25" t="n">
        <v>45809</v>
      </c>
      <c r="F1060" s="25" t="n">
        <v>45975</v>
      </c>
      <c r="G1060" s="26" t="n">
        <v>120</v>
      </c>
      <c r="H1060" s="71" t="n">
        <v>120</v>
      </c>
      <c r="I1060" s="71" t="n">
        <v>0</v>
      </c>
      <c r="J1060" s="35" t="s">
        <v>418</v>
      </c>
      <c r="K1060" s="57" t="n">
        <v>100000</v>
      </c>
      <c r="L1060" s="36" t="n">
        <v>264000</v>
      </c>
      <c r="M1060" s="37" t="n">
        <v>11000</v>
      </c>
      <c r="N1060" s="30" t="n">
        <v>176000</v>
      </c>
      <c r="O1060" s="30" t="n">
        <v>264000</v>
      </c>
      <c r="P1060" s="36" t="n">
        <v>0</v>
      </c>
      <c r="Q1060" s="302" t="n">
        <v>45915</v>
      </c>
    </row>
    <row r="1061" customFormat="false" ht="14.9" hidden="true" customHeight="false" outlineLevel="0" collapsed="false">
      <c r="A1061" s="26" t="n">
        <v>3363</v>
      </c>
      <c r="B1061" s="21" t="s">
        <v>578</v>
      </c>
      <c r="C1061" s="21" t="s">
        <v>579</v>
      </c>
      <c r="D1061" s="34"/>
      <c r="E1061" s="25" t="n">
        <v>45892</v>
      </c>
      <c r="F1061" s="25" t="n">
        <v>45917</v>
      </c>
      <c r="G1061" s="26" t="n">
        <v>18</v>
      </c>
      <c r="H1061" s="71" t="e">
        <f aca="false">#DIV/0!</f>
        <v>#DIV/0!</v>
      </c>
      <c r="I1061" s="71" t="e">
        <f aca="false">#DIV/0!</f>
        <v>#DIV/0!</v>
      </c>
      <c r="J1061" s="35" t="s">
        <v>580</v>
      </c>
      <c r="K1061" s="31" t="n">
        <v>250000</v>
      </c>
      <c r="L1061" s="31" t="n">
        <v>350000</v>
      </c>
      <c r="M1061" s="37"/>
      <c r="N1061" s="30" t="n">
        <v>350000</v>
      </c>
      <c r="O1061" s="30" t="n">
        <v>350000</v>
      </c>
      <c r="P1061" s="36" t="n">
        <v>0</v>
      </c>
      <c r="Q1061" s="302" t="n">
        <v>45915</v>
      </c>
    </row>
    <row r="1062" customFormat="false" ht="21.6" hidden="true" customHeight="false" outlineLevel="0" collapsed="false">
      <c r="A1062" s="26" t="n">
        <v>2978</v>
      </c>
      <c r="B1062" s="21" t="s">
        <v>607</v>
      </c>
      <c r="C1062" s="21" t="s">
        <v>608</v>
      </c>
      <c r="D1062" s="34" t="n">
        <v>35869349</v>
      </c>
      <c r="E1062" s="25" t="n">
        <v>45654</v>
      </c>
      <c r="F1062" s="25" t="n">
        <v>45807</v>
      </c>
      <c r="G1062" s="26" t="n">
        <v>110</v>
      </c>
      <c r="H1062" s="71" t="n">
        <v>110.909090909091</v>
      </c>
      <c r="I1062" s="71" t="n">
        <v>-0.909090909090907</v>
      </c>
      <c r="J1062" s="49" t="s">
        <v>1307</v>
      </c>
      <c r="K1062" s="36" t="n">
        <v>200000</v>
      </c>
      <c r="L1062" s="36" t="n">
        <v>484000</v>
      </c>
      <c r="M1062" s="37" t="n">
        <v>22000</v>
      </c>
      <c r="N1062" s="30" t="n">
        <v>48000</v>
      </c>
      <c r="O1062" s="30" t="n">
        <v>488000</v>
      </c>
      <c r="P1062" s="36" t="n">
        <v>-4000</v>
      </c>
      <c r="Q1062" s="302" t="n">
        <v>45915</v>
      </c>
    </row>
    <row r="1063" customFormat="false" ht="14.9" hidden="true" customHeight="false" outlineLevel="0" collapsed="false">
      <c r="A1063" s="26" t="n">
        <v>3234</v>
      </c>
      <c r="B1063" s="21" t="s">
        <v>264</v>
      </c>
      <c r="C1063" s="21" t="s">
        <v>265</v>
      </c>
      <c r="D1063" s="34"/>
      <c r="E1063" s="25" t="n">
        <v>45818</v>
      </c>
      <c r="F1063" s="25" t="n">
        <v>45918</v>
      </c>
      <c r="G1063" s="26" t="n">
        <v>72</v>
      </c>
      <c r="H1063" s="71" t="n">
        <v>72</v>
      </c>
      <c r="I1063" s="71" t="n">
        <v>0</v>
      </c>
      <c r="J1063" s="22" t="s">
        <v>266</v>
      </c>
      <c r="K1063" s="46" t="n">
        <v>100000</v>
      </c>
      <c r="L1063" s="36" t="n">
        <v>216000</v>
      </c>
      <c r="M1063" s="37" t="n">
        <v>15000</v>
      </c>
      <c r="N1063" s="30" t="n">
        <v>6000</v>
      </c>
      <c r="O1063" s="30" t="n">
        <v>216000</v>
      </c>
      <c r="P1063" s="36" t="n">
        <v>0</v>
      </c>
      <c r="Q1063" s="302" t="n">
        <v>45915</v>
      </c>
    </row>
    <row r="1064" customFormat="false" ht="14.9" hidden="true" customHeight="false" outlineLevel="0" collapsed="false">
      <c r="A1064" s="20" t="n">
        <v>2956</v>
      </c>
      <c r="B1064" s="21" t="s">
        <v>1308</v>
      </c>
      <c r="C1064" s="21" t="s">
        <v>292</v>
      </c>
      <c r="D1064" s="34"/>
      <c r="E1064" s="25" t="n">
        <v>45642</v>
      </c>
      <c r="F1064" s="25" t="n">
        <v>45894</v>
      </c>
      <c r="G1064" s="26" t="n">
        <v>180</v>
      </c>
      <c r="H1064" s="71" t="n">
        <v>180</v>
      </c>
      <c r="I1064" s="71" t="n">
        <v>0</v>
      </c>
      <c r="J1064" s="35" t="s">
        <v>1309</v>
      </c>
      <c r="K1064" s="31" t="n">
        <v>150000</v>
      </c>
      <c r="L1064" s="31" t="n">
        <v>405000</v>
      </c>
      <c r="M1064" s="37" t="n">
        <v>11250</v>
      </c>
      <c r="N1064" s="30" t="n">
        <v>45000</v>
      </c>
      <c r="O1064" s="30" t="n">
        <v>405000</v>
      </c>
      <c r="P1064" s="31" t="n">
        <v>0</v>
      </c>
      <c r="Q1064" s="302" t="n">
        <v>45915</v>
      </c>
    </row>
    <row r="1065" customFormat="false" ht="14.9" hidden="true" customHeight="false" outlineLevel="0" collapsed="false">
      <c r="A1065" s="20" t="n">
        <v>3028</v>
      </c>
      <c r="B1065" s="21" t="s">
        <v>374</v>
      </c>
      <c r="C1065" s="21"/>
      <c r="D1065" s="34"/>
      <c r="E1065" s="25" t="n">
        <v>45684</v>
      </c>
      <c r="F1065" s="25" t="n">
        <v>45796</v>
      </c>
      <c r="G1065" s="26" t="n">
        <v>80</v>
      </c>
      <c r="H1065" s="71" t="n">
        <v>127.111111111111</v>
      </c>
      <c r="I1065" s="71" t="n">
        <v>16.4444444444444</v>
      </c>
      <c r="J1065" s="35" t="s">
        <v>1217</v>
      </c>
      <c r="K1065" s="31" t="n">
        <v>50000</v>
      </c>
      <c r="L1065" s="31" t="n">
        <v>108000</v>
      </c>
      <c r="M1065" s="37" t="n">
        <v>6750</v>
      </c>
      <c r="N1065" s="315"/>
      <c r="O1065" s="30" t="n">
        <v>171600</v>
      </c>
      <c r="P1065" s="32" t="n">
        <v>12.7111111111111</v>
      </c>
      <c r="Q1065" s="302" t="n">
        <v>45915</v>
      </c>
    </row>
    <row r="1066" customFormat="false" ht="14.9" hidden="true" customHeight="false" outlineLevel="0" collapsed="false">
      <c r="A1066" s="20" t="n">
        <v>3236</v>
      </c>
      <c r="B1066" s="21" t="s">
        <v>380</v>
      </c>
      <c r="C1066" s="21" t="s">
        <v>292</v>
      </c>
      <c r="D1066" s="34"/>
      <c r="E1066" s="25" t="n">
        <v>45819</v>
      </c>
      <c r="F1066" s="25" t="n">
        <v>45919</v>
      </c>
      <c r="G1066" s="26" t="n">
        <v>72</v>
      </c>
      <c r="H1066" s="71" t="n">
        <v>71.3333333333333</v>
      </c>
      <c r="I1066" s="71" t="n">
        <v>0.666666666666671</v>
      </c>
      <c r="J1066" s="22" t="s">
        <v>266</v>
      </c>
      <c r="K1066" s="36" t="n">
        <v>100000</v>
      </c>
      <c r="L1066" s="36" t="n">
        <v>216000</v>
      </c>
      <c r="M1066" s="37" t="n">
        <v>15000</v>
      </c>
      <c r="N1066" s="30" t="n">
        <v>2000</v>
      </c>
      <c r="O1066" s="30" t="n">
        <v>214000</v>
      </c>
      <c r="P1066" s="36" t="n">
        <v>0</v>
      </c>
      <c r="Q1066" s="302" t="n">
        <v>45915</v>
      </c>
    </row>
    <row r="1067" customFormat="false" ht="17.9" hidden="true" customHeight="false" outlineLevel="0" collapsed="false">
      <c r="A1067" s="20" t="n">
        <v>3401</v>
      </c>
      <c r="B1067" s="34" t="s">
        <v>429</v>
      </c>
      <c r="C1067" s="34"/>
      <c r="D1067" s="34"/>
      <c r="E1067" s="25" t="n">
        <v>45916</v>
      </c>
      <c r="F1067" s="25" t="n">
        <v>45923</v>
      </c>
      <c r="G1067" s="26" t="n">
        <v>5</v>
      </c>
      <c r="H1067" s="71" t="e">
        <f aca="false">#DIV/0!</f>
        <v>#DIV/0!</v>
      </c>
      <c r="I1067" s="71" t="e">
        <f aca="false">#DIV/0!</f>
        <v>#DIV/0!</v>
      </c>
      <c r="J1067" s="34" t="s">
        <v>580</v>
      </c>
      <c r="K1067" s="45" t="n">
        <v>300000</v>
      </c>
      <c r="L1067" s="31" t="n">
        <v>390000</v>
      </c>
      <c r="M1067" s="37"/>
      <c r="N1067" s="30" t="n">
        <v>390000</v>
      </c>
      <c r="O1067" s="30" t="n">
        <v>390000</v>
      </c>
      <c r="P1067" s="36" t="n">
        <v>0</v>
      </c>
      <c r="Q1067" s="302" t="n">
        <v>45915</v>
      </c>
    </row>
    <row r="1068" customFormat="false" ht="14.9" hidden="true" customHeight="false" outlineLevel="0" collapsed="false">
      <c r="A1068" s="20" t="n">
        <v>3272</v>
      </c>
      <c r="B1068" s="21" t="s">
        <v>240</v>
      </c>
      <c r="C1068" s="21" t="s">
        <v>241</v>
      </c>
      <c r="D1068" s="34"/>
      <c r="E1068" s="25" t="n">
        <v>45838</v>
      </c>
      <c r="F1068" s="25" t="n">
        <v>45938</v>
      </c>
      <c r="G1068" s="26" t="n">
        <v>72</v>
      </c>
      <c r="H1068" s="71" t="n">
        <v>72</v>
      </c>
      <c r="I1068" s="71" t="n">
        <v>0</v>
      </c>
      <c r="J1068" s="22" t="s">
        <v>266</v>
      </c>
      <c r="K1068" s="31" t="n">
        <v>100000</v>
      </c>
      <c r="L1068" s="31" t="n">
        <v>216000</v>
      </c>
      <c r="M1068" s="37" t="n">
        <v>15000</v>
      </c>
      <c r="N1068" s="30" t="n">
        <v>10800</v>
      </c>
      <c r="O1068" s="30" t="n">
        <v>216000</v>
      </c>
      <c r="P1068" s="36" t="n">
        <v>0</v>
      </c>
      <c r="Q1068" s="302" t="n">
        <v>45922</v>
      </c>
    </row>
    <row r="1069" customFormat="false" ht="19.4" hidden="true" customHeight="false" outlineLevel="0" collapsed="false">
      <c r="A1069" s="20" t="n">
        <v>2617</v>
      </c>
      <c r="B1069" s="21" t="s">
        <v>276</v>
      </c>
      <c r="C1069" s="21" t="s">
        <v>277</v>
      </c>
      <c r="D1069" s="34"/>
      <c r="E1069" s="25" t="n">
        <v>45422</v>
      </c>
      <c r="F1069" s="25" t="n">
        <v>45618</v>
      </c>
      <c r="G1069" s="26" t="n">
        <v>140</v>
      </c>
      <c r="H1069" s="71" t="n">
        <v>140</v>
      </c>
      <c r="I1069" s="395" t="n">
        <v>0</v>
      </c>
      <c r="J1069" s="396" t="s">
        <v>1310</v>
      </c>
      <c r="K1069" s="31" t="n">
        <v>250000</v>
      </c>
      <c r="L1069" s="36" t="n">
        <v>660100</v>
      </c>
      <c r="M1069" s="37" t="n">
        <v>23575</v>
      </c>
      <c r="N1069" s="30" t="n">
        <v>37750</v>
      </c>
      <c r="O1069" s="30" t="n">
        <v>660100</v>
      </c>
      <c r="P1069" s="31" t="n">
        <v>0</v>
      </c>
      <c r="Q1069" s="302" t="n">
        <v>45922</v>
      </c>
    </row>
    <row r="1070" customFormat="false" ht="28.35" hidden="true" customHeight="false" outlineLevel="0" collapsed="false">
      <c r="A1070" s="26" t="n">
        <v>3258</v>
      </c>
      <c r="B1070" s="21" t="s">
        <v>1243</v>
      </c>
      <c r="C1070" s="50" t="s">
        <v>314</v>
      </c>
      <c r="D1070" s="34" t="n">
        <v>22375673</v>
      </c>
      <c r="E1070" s="25" t="n">
        <v>45832</v>
      </c>
      <c r="F1070" s="25" t="n">
        <v>45932</v>
      </c>
      <c r="G1070" s="26" t="n">
        <v>72</v>
      </c>
      <c r="H1070" s="71" t="n">
        <v>72</v>
      </c>
      <c r="I1070" s="395" t="n">
        <v>0</v>
      </c>
      <c r="J1070" s="397" t="s">
        <v>243</v>
      </c>
      <c r="K1070" s="31" t="n">
        <v>150000</v>
      </c>
      <c r="L1070" s="36" t="n">
        <v>324000</v>
      </c>
      <c r="M1070" s="37" t="n">
        <v>22500</v>
      </c>
      <c r="N1070" s="30" t="n">
        <v>129500</v>
      </c>
      <c r="O1070" s="30" t="n">
        <v>324000</v>
      </c>
      <c r="P1070" s="36" t="n">
        <v>0</v>
      </c>
      <c r="Q1070" s="302" t="n">
        <v>45922</v>
      </c>
    </row>
    <row r="1071" customFormat="false" ht="14.9" hidden="true" customHeight="false" outlineLevel="0" collapsed="false">
      <c r="A1071" s="26" t="n">
        <v>3259</v>
      </c>
      <c r="B1071" s="21" t="s">
        <v>333</v>
      </c>
      <c r="C1071" s="21" t="s">
        <v>334</v>
      </c>
      <c r="D1071" s="34"/>
      <c r="E1071" s="25" t="n">
        <v>45832</v>
      </c>
      <c r="F1071" s="25" t="n">
        <v>45930</v>
      </c>
      <c r="G1071" s="26" t="n">
        <v>70</v>
      </c>
      <c r="H1071" s="71" t="n">
        <v>70</v>
      </c>
      <c r="I1071" s="395" t="n">
        <v>0</v>
      </c>
      <c r="J1071" s="398" t="s">
        <v>1311</v>
      </c>
      <c r="K1071" s="31" t="n">
        <v>700000</v>
      </c>
      <c r="L1071" s="36" t="n">
        <v>1512000</v>
      </c>
      <c r="M1071" s="37" t="n">
        <v>108000</v>
      </c>
      <c r="N1071" s="30" t="n">
        <v>216000</v>
      </c>
      <c r="O1071" s="30" t="n">
        <v>1512000</v>
      </c>
      <c r="P1071" s="36" t="n">
        <v>0</v>
      </c>
      <c r="Q1071" s="302" t="n">
        <v>45922</v>
      </c>
    </row>
    <row r="1072" customFormat="false" ht="14.9" hidden="true" customHeight="false" outlineLevel="0" collapsed="false">
      <c r="A1072" s="26" t="n">
        <v>3388</v>
      </c>
      <c r="B1072" s="21" t="s">
        <v>342</v>
      </c>
      <c r="C1072" s="21" t="s">
        <v>343</v>
      </c>
      <c r="D1072" s="34" t="n">
        <v>27350892988</v>
      </c>
      <c r="E1072" s="25" t="n">
        <v>45910</v>
      </c>
      <c r="F1072" s="25" t="n">
        <v>45938</v>
      </c>
      <c r="G1072" s="26" t="n">
        <v>20</v>
      </c>
      <c r="H1072" s="71" t="n">
        <v>20</v>
      </c>
      <c r="I1072" s="399" t="n">
        <v>0</v>
      </c>
      <c r="J1072" s="397" t="s">
        <v>1312</v>
      </c>
      <c r="K1072" s="36" t="n">
        <v>200000</v>
      </c>
      <c r="L1072" s="36" t="n">
        <v>280000</v>
      </c>
      <c r="M1072" s="29" t="n">
        <v>70000</v>
      </c>
      <c r="N1072" s="30" t="n">
        <v>70000</v>
      </c>
      <c r="O1072" s="30" t="n">
        <v>280000</v>
      </c>
      <c r="P1072" s="36" t="n">
        <v>0</v>
      </c>
      <c r="Q1072" s="302" t="n">
        <v>45922</v>
      </c>
    </row>
    <row r="1073" customFormat="false" ht="21.6" hidden="true" customHeight="false" outlineLevel="0" collapsed="false">
      <c r="A1073" s="26" t="n">
        <v>2996</v>
      </c>
      <c r="B1073" s="21" t="s">
        <v>345</v>
      </c>
      <c r="C1073" s="21" t="s">
        <v>346</v>
      </c>
      <c r="D1073" s="34" t="n">
        <v>27212523</v>
      </c>
      <c r="E1073" s="25" t="n">
        <v>45667</v>
      </c>
      <c r="F1073" s="25" t="n">
        <v>45821</v>
      </c>
      <c r="G1073" s="26" t="n">
        <v>110</v>
      </c>
      <c r="H1073" s="71" t="n">
        <v>126.510416666667</v>
      </c>
      <c r="I1073" s="395" t="n">
        <v>-16.5104166666667</v>
      </c>
      <c r="J1073" s="396" t="s">
        <v>1246</v>
      </c>
      <c r="K1073" s="36" t="n">
        <v>80000</v>
      </c>
      <c r="L1073" s="36" t="n">
        <v>211200</v>
      </c>
      <c r="M1073" s="29" t="n">
        <v>9600</v>
      </c>
      <c r="N1073" s="30" t="n">
        <v>60000</v>
      </c>
      <c r="O1073" s="30" t="n">
        <v>242900</v>
      </c>
      <c r="P1073" s="36" t="n">
        <v>-31700</v>
      </c>
      <c r="Q1073" s="302" t="n">
        <v>45922</v>
      </c>
    </row>
    <row r="1074" customFormat="false" ht="21.6" hidden="true" customHeight="false" outlineLevel="0" collapsed="false">
      <c r="A1074" s="20" t="n">
        <v>3140</v>
      </c>
      <c r="B1074" s="21" t="s">
        <v>1242</v>
      </c>
      <c r="C1074" s="21" t="s">
        <v>370</v>
      </c>
      <c r="D1074" s="34"/>
      <c r="E1074" s="25" t="n">
        <v>45750</v>
      </c>
      <c r="F1074" s="25" t="n">
        <v>45852</v>
      </c>
      <c r="G1074" s="26" t="n">
        <v>72</v>
      </c>
      <c r="H1074" s="71" t="n">
        <v>72</v>
      </c>
      <c r="I1074" s="71" t="n">
        <v>0</v>
      </c>
      <c r="J1074" s="22" t="s">
        <v>266</v>
      </c>
      <c r="K1074" s="36" t="n">
        <v>100000</v>
      </c>
      <c r="L1074" s="36" t="n">
        <v>216000</v>
      </c>
      <c r="M1074" s="37" t="n">
        <v>15000</v>
      </c>
      <c r="N1074" s="30" t="n">
        <v>6000</v>
      </c>
      <c r="O1074" s="30" t="n">
        <v>216000</v>
      </c>
      <c r="P1074" s="31" t="n">
        <v>0</v>
      </c>
      <c r="Q1074" s="302" t="n">
        <v>45922</v>
      </c>
    </row>
    <row r="1075" customFormat="false" ht="41.75" hidden="true" customHeight="false" outlineLevel="0" collapsed="false">
      <c r="A1075" s="20" t="n">
        <v>3335</v>
      </c>
      <c r="B1075" s="21" t="s">
        <v>456</v>
      </c>
      <c r="C1075" s="21" t="s">
        <v>457</v>
      </c>
      <c r="D1075" s="34"/>
      <c r="E1075" s="25" t="n">
        <v>45878</v>
      </c>
      <c r="F1075" s="25" t="n">
        <v>45961</v>
      </c>
      <c r="G1075" s="26" t="n">
        <v>60</v>
      </c>
      <c r="H1075" s="71" t="n">
        <v>60</v>
      </c>
      <c r="I1075" s="320" t="n">
        <v>0</v>
      </c>
      <c r="J1075" s="35" t="s">
        <v>1313</v>
      </c>
      <c r="K1075" s="36" t="n">
        <v>400000</v>
      </c>
      <c r="L1075" s="36" t="n">
        <v>768000</v>
      </c>
      <c r="M1075" s="37" t="n">
        <v>64000</v>
      </c>
      <c r="N1075" s="30" t="n">
        <v>256000</v>
      </c>
      <c r="O1075" s="30" t="n">
        <v>768000</v>
      </c>
      <c r="P1075" s="31" t="n">
        <v>0</v>
      </c>
      <c r="Q1075" s="302" t="n">
        <v>45922</v>
      </c>
    </row>
    <row r="1076" customFormat="false" ht="14.9" hidden="true" customHeight="false" outlineLevel="0" collapsed="false">
      <c r="A1076" s="20" t="n">
        <v>3400</v>
      </c>
      <c r="B1076" s="21" t="s">
        <v>251</v>
      </c>
      <c r="C1076" s="21" t="s">
        <v>252</v>
      </c>
      <c r="D1076" s="34" t="s">
        <v>253</v>
      </c>
      <c r="E1076" s="25" t="n">
        <v>45916</v>
      </c>
      <c r="F1076" s="25" t="n">
        <v>45923</v>
      </c>
      <c r="G1076" s="26" t="n">
        <v>5</v>
      </c>
      <c r="H1076" s="35" t="s">
        <v>538</v>
      </c>
      <c r="I1076" s="31" t="n">
        <v>100000</v>
      </c>
      <c r="J1076" s="31" t="n">
        <v>145000</v>
      </c>
      <c r="K1076" s="29"/>
      <c r="L1076" s="36" t="n">
        <v>145000</v>
      </c>
      <c r="M1076" s="37"/>
      <c r="N1076" s="30" t="n">
        <v>45000</v>
      </c>
      <c r="O1076" s="30" t="n">
        <v>145000</v>
      </c>
      <c r="P1076" s="31" t="n">
        <v>0</v>
      </c>
      <c r="Q1076" s="302" t="n">
        <v>45929</v>
      </c>
    </row>
    <row r="1077" customFormat="false" ht="28.35" hidden="true" customHeight="false" outlineLevel="0" collapsed="false">
      <c r="A1077" s="20" t="n">
        <v>3240</v>
      </c>
      <c r="B1077" s="21" t="s">
        <v>407</v>
      </c>
      <c r="C1077" s="21" t="s">
        <v>397</v>
      </c>
      <c r="D1077" s="34"/>
      <c r="E1077" s="25" t="n">
        <v>45822</v>
      </c>
      <c r="F1077" s="25" t="n">
        <v>45923</v>
      </c>
      <c r="G1077" s="26" t="n">
        <v>72</v>
      </c>
      <c r="H1077" s="22" t="s">
        <v>244</v>
      </c>
      <c r="I1077" s="31" t="n">
        <v>200000</v>
      </c>
      <c r="J1077" s="31" t="n">
        <v>432000</v>
      </c>
      <c r="K1077" s="29" t="n">
        <v>30000</v>
      </c>
      <c r="L1077" s="36" t="n">
        <v>432000</v>
      </c>
      <c r="M1077" s="37" t="n">
        <v>30000</v>
      </c>
      <c r="N1077" s="30" t="n">
        <v>42000</v>
      </c>
      <c r="O1077" s="30" t="n">
        <v>432000</v>
      </c>
      <c r="P1077" s="31" t="n">
        <v>0</v>
      </c>
      <c r="Q1077" s="302" t="n">
        <v>45929</v>
      </c>
    </row>
    <row r="1078" customFormat="false" ht="21.6" hidden="true" customHeight="false" outlineLevel="0" collapsed="false">
      <c r="A1078" s="20" t="n">
        <v>3175</v>
      </c>
      <c r="B1078" s="21" t="s">
        <v>543</v>
      </c>
      <c r="C1078" s="21" t="s">
        <v>532</v>
      </c>
      <c r="D1078" s="34"/>
      <c r="E1078" s="25" t="n">
        <v>45777</v>
      </c>
      <c r="F1078" s="25" t="n">
        <v>45945</v>
      </c>
      <c r="G1078" s="26" t="n">
        <v>120</v>
      </c>
      <c r="H1078" s="35" t="s">
        <v>418</v>
      </c>
      <c r="I1078" s="31" t="n">
        <v>100000</v>
      </c>
      <c r="J1078" s="31" t="n">
        <v>264000</v>
      </c>
      <c r="K1078" s="29" t="n">
        <v>11000</v>
      </c>
      <c r="L1078" s="36" t="n">
        <v>264000</v>
      </c>
      <c r="M1078" s="37" t="n">
        <v>11000</v>
      </c>
      <c r="N1078" s="30" t="n">
        <v>98000</v>
      </c>
      <c r="O1078" s="30" t="n">
        <v>264000</v>
      </c>
      <c r="P1078" s="31" t="n">
        <v>0</v>
      </c>
      <c r="Q1078" s="302" t="n">
        <v>45929</v>
      </c>
    </row>
    <row r="1079" customFormat="false" ht="26.1" hidden="true" customHeight="false" outlineLevel="0" collapsed="false">
      <c r="A1079" s="20" t="n">
        <v>3241</v>
      </c>
      <c r="B1079" s="34" t="s">
        <v>560</v>
      </c>
      <c r="C1079" s="34" t="s">
        <v>933</v>
      </c>
      <c r="D1079" s="34" t="n">
        <v>24324078</v>
      </c>
      <c r="E1079" s="25" t="n">
        <v>45822</v>
      </c>
      <c r="F1079" s="25" t="n">
        <v>45933</v>
      </c>
      <c r="G1079" s="72" t="n">
        <v>80</v>
      </c>
      <c r="H1079" s="34" t="s">
        <v>1232</v>
      </c>
      <c r="I1079" s="31" t="n">
        <v>100000</v>
      </c>
      <c r="J1079" s="31" t="n">
        <v>216000</v>
      </c>
      <c r="K1079" s="29" t="n">
        <v>13500</v>
      </c>
      <c r="L1079" s="36" t="n">
        <v>216000</v>
      </c>
      <c r="M1079" s="37" t="n">
        <v>13500</v>
      </c>
      <c r="N1079" s="30" t="n">
        <v>54000</v>
      </c>
      <c r="O1079" s="30" t="n">
        <v>216000</v>
      </c>
      <c r="P1079" s="31" t="n">
        <v>0</v>
      </c>
      <c r="Q1079" s="302" t="n">
        <v>45929</v>
      </c>
    </row>
    <row r="1080" customFormat="false" ht="14.9" hidden="true" customHeight="false" outlineLevel="0" collapsed="false">
      <c r="A1080" s="318" t="n">
        <v>3422</v>
      </c>
      <c r="B1080" s="21" t="s">
        <v>1314</v>
      </c>
      <c r="C1080" s="21"/>
      <c r="D1080" s="34"/>
      <c r="E1080" s="25" t="n">
        <v>45930</v>
      </c>
      <c r="F1080" s="25" t="n">
        <v>45937</v>
      </c>
      <c r="G1080" s="26" t="n">
        <v>5</v>
      </c>
      <c r="H1080" s="22" t="s">
        <v>538</v>
      </c>
      <c r="I1080" s="31" t="n">
        <v>20000</v>
      </c>
      <c r="J1080" s="31" t="n">
        <v>26000</v>
      </c>
      <c r="K1080" s="29" t="s">
        <v>214</v>
      </c>
      <c r="L1080" s="36" t="n">
        <v>26000</v>
      </c>
      <c r="M1080" s="37" t="s">
        <v>214</v>
      </c>
      <c r="N1080" s="41" t="n">
        <v>26000</v>
      </c>
      <c r="O1080" s="30" t="n">
        <v>26000</v>
      </c>
      <c r="P1080" s="36" t="n">
        <v>0</v>
      </c>
      <c r="Q1080" s="302" t="n">
        <v>45929</v>
      </c>
    </row>
    <row r="1081" customFormat="false" ht="48.5" hidden="true" customHeight="false" outlineLevel="0" collapsed="false">
      <c r="A1081" s="26" t="n">
        <v>3221</v>
      </c>
      <c r="B1081" s="21" t="s">
        <v>466</v>
      </c>
      <c r="C1081" s="21" t="s">
        <v>467</v>
      </c>
      <c r="D1081" s="34" t="n">
        <v>27249921551</v>
      </c>
      <c r="E1081" s="25" t="n">
        <v>45806</v>
      </c>
      <c r="F1081" s="25" t="n">
        <v>45908</v>
      </c>
      <c r="G1081" s="26" t="n">
        <v>72</v>
      </c>
      <c r="H1081" s="71" t="n">
        <v>72</v>
      </c>
      <c r="I1081" s="71" t="n">
        <v>0</v>
      </c>
      <c r="J1081" s="22" t="s">
        <v>996</v>
      </c>
      <c r="K1081" s="45" t="n">
        <v>70000</v>
      </c>
      <c r="L1081" s="31" t="n">
        <v>151200</v>
      </c>
      <c r="M1081" s="37" t="n">
        <v>10500</v>
      </c>
      <c r="N1081" s="30" t="n">
        <v>14700</v>
      </c>
      <c r="O1081" s="30" t="n">
        <v>151200</v>
      </c>
      <c r="P1081" s="36" t="n">
        <v>0</v>
      </c>
      <c r="Q1081" s="302" t="n">
        <v>45936</v>
      </c>
    </row>
    <row r="1082" customFormat="false" ht="19.4" hidden="true" customHeight="false" outlineLevel="0" collapsed="false">
      <c r="A1082" s="26" t="n">
        <v>3263</v>
      </c>
      <c r="B1082" s="21" t="s">
        <v>1106</v>
      </c>
      <c r="C1082" s="21" t="s">
        <v>489</v>
      </c>
      <c r="D1082" s="34"/>
      <c r="E1082" s="25" t="n">
        <v>45834</v>
      </c>
      <c r="F1082" s="25" t="n">
        <v>45862</v>
      </c>
      <c r="G1082" s="26" t="n">
        <v>20</v>
      </c>
      <c r="H1082" s="71" t="e">
        <f aca="false">#VALUE!</f>
        <v>#VALUE!</v>
      </c>
      <c r="I1082" s="71" t="e">
        <f aca="false">#VALUE!</f>
        <v>#VALUE!</v>
      </c>
      <c r="J1082" s="35" t="s">
        <v>490</v>
      </c>
      <c r="K1082" s="36" t="n">
        <v>50000</v>
      </c>
      <c r="L1082" s="36" t="n">
        <v>130000</v>
      </c>
      <c r="M1082" s="37" t="s">
        <v>1315</v>
      </c>
      <c r="N1082" s="30" t="n">
        <v>90000</v>
      </c>
      <c r="O1082" s="30" t="n">
        <v>130000</v>
      </c>
      <c r="P1082" s="36" t="n">
        <v>0</v>
      </c>
      <c r="Q1082" s="302" t="n">
        <v>45936</v>
      </c>
    </row>
    <row r="1083" customFormat="false" ht="28.35" hidden="true" customHeight="false" outlineLevel="0" collapsed="false">
      <c r="A1083" s="26" t="n">
        <v>3308</v>
      </c>
      <c r="B1083" s="21" t="s">
        <v>500</v>
      </c>
      <c r="C1083" s="21" t="s">
        <v>501</v>
      </c>
      <c r="D1083" s="34"/>
      <c r="E1083" s="25" t="n">
        <v>45861</v>
      </c>
      <c r="F1083" s="25" t="n">
        <v>45938</v>
      </c>
      <c r="G1083" s="26" t="n">
        <v>55</v>
      </c>
      <c r="H1083" s="71" t="n">
        <v>55</v>
      </c>
      <c r="I1083" s="71" t="n">
        <v>0</v>
      </c>
      <c r="J1083" s="22" t="s">
        <v>1316</v>
      </c>
      <c r="K1083" s="31" t="n">
        <v>300000</v>
      </c>
      <c r="L1083" s="31" t="n">
        <v>565730</v>
      </c>
      <c r="M1083" s="37" t="n">
        <v>51430</v>
      </c>
      <c r="N1083" s="30" t="n">
        <v>51430</v>
      </c>
      <c r="O1083" s="30" t="n">
        <v>565730</v>
      </c>
      <c r="P1083" s="36" t="n">
        <v>0</v>
      </c>
      <c r="Q1083" s="302" t="n">
        <v>45936</v>
      </c>
    </row>
    <row r="1084" customFormat="false" ht="14.25" hidden="true" customHeight="false" outlineLevel="0" collapsed="false">
      <c r="A1084" s="26" t="n">
        <v>3389</v>
      </c>
      <c r="B1084" s="21" t="s">
        <v>504</v>
      </c>
      <c r="C1084" s="21"/>
      <c r="D1084" s="34"/>
      <c r="E1084" s="25" t="n">
        <v>45910</v>
      </c>
      <c r="F1084" s="25" t="n">
        <v>45820</v>
      </c>
      <c r="G1084" s="26" t="n">
        <v>20</v>
      </c>
      <c r="H1084" s="71" t="e">
        <f aca="false">#DIV/0!</f>
        <v>#DIV/0!</v>
      </c>
      <c r="I1084" s="71" t="e">
        <f aca="false">#DIV/0!</f>
        <v>#DIV/0!</v>
      </c>
      <c r="J1084" s="35" t="s">
        <v>538</v>
      </c>
      <c r="K1084" s="36" t="n">
        <v>50000</v>
      </c>
      <c r="L1084" s="36" t="n">
        <v>75000</v>
      </c>
      <c r="M1084" s="37"/>
      <c r="N1084" s="30" t="n">
        <v>75000</v>
      </c>
      <c r="O1084" s="30" t="n">
        <v>75000</v>
      </c>
      <c r="P1084" s="36" t="n">
        <v>0</v>
      </c>
      <c r="Q1084" s="302" t="n">
        <v>45936</v>
      </c>
    </row>
    <row r="1085" customFormat="false" ht="14.25" hidden="true" customHeight="false" outlineLevel="0" collapsed="false">
      <c r="A1085" s="78" t="n">
        <v>3424</v>
      </c>
      <c r="B1085" s="21" t="s">
        <v>504</v>
      </c>
      <c r="C1085" s="21"/>
      <c r="D1085" s="34"/>
      <c r="E1085" s="25" t="n">
        <v>45931</v>
      </c>
      <c r="F1085" s="25" t="n">
        <v>45945</v>
      </c>
      <c r="G1085" s="26" t="n">
        <v>10</v>
      </c>
      <c r="H1085" s="71" t="e">
        <f aca="false">#DIV/0!</f>
        <v>#DIV/0!</v>
      </c>
      <c r="I1085" s="71" t="e">
        <f aca="false">#DIV/0!</f>
        <v>#DIV/0!</v>
      </c>
      <c r="J1085" s="35" t="s">
        <v>538</v>
      </c>
      <c r="K1085" s="36" t="n">
        <v>15000</v>
      </c>
      <c r="L1085" s="36" t="n">
        <v>22500</v>
      </c>
      <c r="M1085" s="37"/>
      <c r="N1085" s="30" t="n">
        <v>22500</v>
      </c>
      <c r="O1085" s="30" t="n">
        <v>22500</v>
      </c>
      <c r="P1085" s="36" t="n">
        <v>0</v>
      </c>
      <c r="Q1085" s="302" t="n">
        <v>45936</v>
      </c>
    </row>
    <row r="1086" customFormat="false" ht="14.9" hidden="true" customHeight="false" outlineLevel="0" collapsed="false">
      <c r="A1086" s="26" t="n">
        <v>3384</v>
      </c>
      <c r="B1086" s="21" t="s">
        <v>1285</v>
      </c>
      <c r="C1086" s="21"/>
      <c r="D1086" s="34"/>
      <c r="E1086" s="25" t="n">
        <v>45909</v>
      </c>
      <c r="F1086" s="25" t="n">
        <v>45820</v>
      </c>
      <c r="G1086" s="26" t="n">
        <v>20</v>
      </c>
      <c r="H1086" s="71" t="e">
        <f aca="false">#VALUE!</f>
        <v>#VALUE!</v>
      </c>
      <c r="I1086" s="71" t="e">
        <f aca="false">#VALUE!</f>
        <v>#VALUE!</v>
      </c>
      <c r="J1086" s="35" t="s">
        <v>538</v>
      </c>
      <c r="K1086" s="31" t="n">
        <v>100000</v>
      </c>
      <c r="L1086" s="31" t="n">
        <v>150000</v>
      </c>
      <c r="M1086" s="37" t="s">
        <v>214</v>
      </c>
      <c r="N1086" s="30" t="n">
        <v>150000</v>
      </c>
      <c r="O1086" s="30" t="n">
        <v>150000</v>
      </c>
      <c r="P1086" s="36" t="n">
        <v>0</v>
      </c>
      <c r="Q1086" s="302" t="n">
        <v>45936</v>
      </c>
    </row>
    <row r="1087" customFormat="false" ht="28.35" hidden="true" customHeight="false" outlineLevel="0" collapsed="false">
      <c r="A1087" s="26" t="n">
        <v>3249</v>
      </c>
      <c r="B1087" s="21" t="s">
        <v>507</v>
      </c>
      <c r="C1087" s="21" t="s">
        <v>508</v>
      </c>
      <c r="D1087" s="34"/>
      <c r="E1087" s="25" t="n">
        <v>45826</v>
      </c>
      <c r="F1087" s="25" t="n">
        <v>45938</v>
      </c>
      <c r="G1087" s="26" t="n">
        <v>80</v>
      </c>
      <c r="H1087" s="71" t="n">
        <v>80</v>
      </c>
      <c r="I1087" s="71" t="n">
        <v>0</v>
      </c>
      <c r="J1087" s="35" t="s">
        <v>274</v>
      </c>
      <c r="K1087" s="31" t="n">
        <v>300000</v>
      </c>
      <c r="L1087" s="31" t="n">
        <v>648000</v>
      </c>
      <c r="M1087" s="37" t="n">
        <v>40500</v>
      </c>
      <c r="N1087" s="30" t="n">
        <v>162000</v>
      </c>
      <c r="O1087" s="30" t="n">
        <v>648000</v>
      </c>
      <c r="P1087" s="36" t="n">
        <v>0</v>
      </c>
      <c r="Q1087" s="302" t="n">
        <v>45936</v>
      </c>
    </row>
    <row r="1088" customFormat="false" ht="37.3" hidden="true" customHeight="false" outlineLevel="0" collapsed="false">
      <c r="A1088" s="26" t="n">
        <v>3261</v>
      </c>
      <c r="B1088" s="22" t="s">
        <v>531</v>
      </c>
      <c r="C1088" s="22" t="s">
        <v>532</v>
      </c>
      <c r="D1088" s="22"/>
      <c r="E1088" s="25" t="n">
        <v>45832</v>
      </c>
      <c r="F1088" s="24" t="n">
        <v>45138</v>
      </c>
      <c r="G1088" s="26" t="n">
        <v>72</v>
      </c>
      <c r="H1088" s="71" t="n">
        <v>72</v>
      </c>
      <c r="I1088" s="71" t="n">
        <v>0</v>
      </c>
      <c r="J1088" s="34" t="s">
        <v>452</v>
      </c>
      <c r="K1088" s="307" t="n">
        <v>30000</v>
      </c>
      <c r="L1088" s="307" t="n">
        <v>64800</v>
      </c>
      <c r="M1088" s="37" t="n">
        <v>4500</v>
      </c>
      <c r="N1088" s="30" t="n">
        <v>24300</v>
      </c>
      <c r="O1088" s="30" t="n">
        <v>64800</v>
      </c>
      <c r="P1088" s="36" t="n">
        <v>0</v>
      </c>
      <c r="Q1088" s="302" t="n">
        <v>45936</v>
      </c>
    </row>
    <row r="1089" customFormat="false" ht="14.25" hidden="true" customHeight="false" outlineLevel="0" collapsed="false">
      <c r="A1089" s="26" t="n">
        <v>3393</v>
      </c>
      <c r="B1089" s="34" t="s">
        <v>537</v>
      </c>
      <c r="C1089" s="21"/>
      <c r="D1089" s="34"/>
      <c r="E1089" s="25" t="n">
        <v>45912</v>
      </c>
      <c r="F1089" s="25" t="n">
        <v>45940</v>
      </c>
      <c r="G1089" s="26" t="n">
        <v>20</v>
      </c>
      <c r="H1089" s="71" t="e">
        <f aca="false">#DIV/0!</f>
        <v>#DIV/0!</v>
      </c>
      <c r="I1089" s="71" t="e">
        <f aca="false">#DIV/0!</f>
        <v>#DIV/0!</v>
      </c>
      <c r="J1089" s="35" t="s">
        <v>538</v>
      </c>
      <c r="K1089" s="36" t="n">
        <v>50000</v>
      </c>
      <c r="L1089" s="36" t="n">
        <v>80000</v>
      </c>
      <c r="M1089" s="37"/>
      <c r="N1089" s="30" t="n">
        <v>80000</v>
      </c>
      <c r="O1089" s="30" t="n">
        <v>80000</v>
      </c>
      <c r="P1089" s="36" t="n">
        <v>0</v>
      </c>
      <c r="Q1089" s="302" t="n">
        <v>45936</v>
      </c>
    </row>
    <row r="1090" customFormat="false" ht="14.25" hidden="true" customHeight="false" outlineLevel="0" collapsed="false">
      <c r="A1090" s="26" t="n">
        <v>3396</v>
      </c>
      <c r="B1090" s="34" t="s">
        <v>537</v>
      </c>
      <c r="C1090" s="21"/>
      <c r="D1090" s="34"/>
      <c r="E1090" s="25" t="n">
        <v>45913</v>
      </c>
      <c r="F1090" s="25" t="n">
        <v>45933</v>
      </c>
      <c r="G1090" s="26" t="n">
        <v>15</v>
      </c>
      <c r="H1090" s="71" t="e">
        <f aca="false">#DIV/0!</f>
        <v>#DIV/0!</v>
      </c>
      <c r="I1090" s="71" t="e">
        <f aca="false">#DIV/0!</f>
        <v>#DIV/0!</v>
      </c>
      <c r="J1090" s="35" t="s">
        <v>538</v>
      </c>
      <c r="K1090" s="36" t="n">
        <v>40000</v>
      </c>
      <c r="L1090" s="36" t="n">
        <v>64000</v>
      </c>
      <c r="M1090" s="37"/>
      <c r="N1090" s="30" t="n">
        <v>64000</v>
      </c>
      <c r="O1090" s="30" t="n">
        <v>64000</v>
      </c>
      <c r="P1090" s="36" t="n">
        <v>0</v>
      </c>
      <c r="Q1090" s="302" t="n">
        <v>45936</v>
      </c>
    </row>
    <row r="1091" customFormat="false" ht="14.25" hidden="true" customHeight="false" outlineLevel="0" collapsed="false">
      <c r="A1091" s="26" t="n">
        <v>3402</v>
      </c>
      <c r="B1091" s="34" t="s">
        <v>537</v>
      </c>
      <c r="C1091" s="21"/>
      <c r="D1091" s="34"/>
      <c r="E1091" s="25" t="n">
        <v>45917</v>
      </c>
      <c r="F1091" s="25" t="n">
        <v>45938</v>
      </c>
      <c r="G1091" s="26" t="n">
        <v>15</v>
      </c>
      <c r="H1091" s="71" t="e">
        <f aca="false">#DIV/0!</f>
        <v>#DIV/0!</v>
      </c>
      <c r="I1091" s="71" t="e">
        <f aca="false">#DIV/0!</f>
        <v>#DIV/0!</v>
      </c>
      <c r="J1091" s="35" t="s">
        <v>538</v>
      </c>
      <c r="K1091" s="36" t="n">
        <v>30000</v>
      </c>
      <c r="L1091" s="36" t="n">
        <v>48000</v>
      </c>
      <c r="M1091" s="37"/>
      <c r="N1091" s="30" t="n">
        <v>48000</v>
      </c>
      <c r="O1091" s="30" t="n">
        <v>48000</v>
      </c>
      <c r="P1091" s="36" t="n">
        <v>0</v>
      </c>
      <c r="Q1091" s="302" t="n">
        <v>45936</v>
      </c>
    </row>
    <row r="1092" customFormat="false" ht="14.25" hidden="true" customHeight="false" outlineLevel="0" collapsed="false">
      <c r="A1092" s="26" t="n">
        <v>3408</v>
      </c>
      <c r="B1092" s="34" t="s">
        <v>537</v>
      </c>
      <c r="C1092" s="21"/>
      <c r="D1092" s="34"/>
      <c r="E1092" s="25" t="n">
        <v>45920</v>
      </c>
      <c r="F1092" s="25" t="n">
        <v>45940</v>
      </c>
      <c r="G1092" s="26" t="n">
        <v>15</v>
      </c>
      <c r="H1092" s="71" t="e">
        <f aca="false">#DIV/0!</f>
        <v>#DIV/0!</v>
      </c>
      <c r="I1092" s="71" t="e">
        <f aca="false">#DIV/0!</f>
        <v>#DIV/0!</v>
      </c>
      <c r="J1092" s="35" t="s">
        <v>538</v>
      </c>
      <c r="K1092" s="36" t="n">
        <v>40000</v>
      </c>
      <c r="L1092" s="36" t="n">
        <v>64000</v>
      </c>
      <c r="M1092" s="37"/>
      <c r="N1092" s="30" t="n">
        <v>64000</v>
      </c>
      <c r="O1092" s="30" t="n">
        <v>64000</v>
      </c>
      <c r="P1092" s="36" t="n">
        <v>0</v>
      </c>
      <c r="Q1092" s="302" t="n">
        <v>45936</v>
      </c>
    </row>
    <row r="1093" customFormat="false" ht="14.25" hidden="true" customHeight="false" outlineLevel="0" collapsed="false">
      <c r="A1093" s="26" t="n">
        <v>3411</v>
      </c>
      <c r="B1093" s="34" t="s">
        <v>537</v>
      </c>
      <c r="C1093" s="21"/>
      <c r="D1093" s="34"/>
      <c r="E1093" s="25" t="n">
        <v>45922</v>
      </c>
      <c r="F1093" s="25" t="n">
        <v>45943</v>
      </c>
      <c r="G1093" s="26" t="n">
        <v>15</v>
      </c>
      <c r="H1093" s="71" t="e">
        <f aca="false">#DIV/0!</f>
        <v>#DIV/0!</v>
      </c>
      <c r="I1093" s="71" t="e">
        <f aca="false">#DIV/0!</f>
        <v>#DIV/0!</v>
      </c>
      <c r="J1093" s="35" t="s">
        <v>538</v>
      </c>
      <c r="K1093" s="31" t="n">
        <v>30000</v>
      </c>
      <c r="L1093" s="31" t="n">
        <v>48000</v>
      </c>
      <c r="M1093" s="29"/>
      <c r="N1093" s="30" t="n">
        <v>48000</v>
      </c>
      <c r="O1093" s="30" t="n">
        <v>48000</v>
      </c>
      <c r="P1093" s="36" t="n">
        <v>0</v>
      </c>
      <c r="Q1093" s="302" t="n">
        <v>45936</v>
      </c>
    </row>
    <row r="1094" customFormat="false" ht="21.6" hidden="true" customHeight="false" outlineLevel="0" collapsed="false">
      <c r="A1094" s="26" t="n">
        <v>3397</v>
      </c>
      <c r="B1094" s="21" t="s">
        <v>230</v>
      </c>
      <c r="C1094" s="21" t="s">
        <v>231</v>
      </c>
      <c r="D1094" s="34"/>
      <c r="E1094" s="25" t="n">
        <v>45915</v>
      </c>
      <c r="F1094" s="25" t="n">
        <v>45940</v>
      </c>
      <c r="G1094" s="26" t="n">
        <v>19</v>
      </c>
      <c r="H1094" s="71" t="e">
        <f aca="false">#DIV/0!</f>
        <v>#DIV/0!</v>
      </c>
      <c r="I1094" s="71" t="e">
        <f aca="false">#DIV/0!</f>
        <v>#DIV/0!</v>
      </c>
      <c r="J1094" s="35" t="s">
        <v>1166</v>
      </c>
      <c r="K1094" s="57" t="n">
        <v>100000</v>
      </c>
      <c r="L1094" s="36" t="n">
        <v>150000</v>
      </c>
      <c r="M1094" s="37"/>
      <c r="N1094" s="30" t="n">
        <v>150000</v>
      </c>
      <c r="O1094" s="30" t="n">
        <v>150000</v>
      </c>
      <c r="P1094" s="36" t="n">
        <v>0</v>
      </c>
      <c r="Q1094" s="302" t="n">
        <v>45943</v>
      </c>
    </row>
    <row r="1095" customFormat="false" ht="21.6" hidden="true" customHeight="false" outlineLevel="0" collapsed="false">
      <c r="A1095" s="20" t="n">
        <v>3334</v>
      </c>
      <c r="B1095" s="21" t="s">
        <v>744</v>
      </c>
      <c r="C1095" s="21" t="s">
        <v>745</v>
      </c>
      <c r="D1095" s="34"/>
      <c r="E1095" s="25" t="n">
        <v>45877</v>
      </c>
      <c r="F1095" s="25" t="n">
        <v>45940</v>
      </c>
      <c r="G1095" s="26" t="n">
        <v>45</v>
      </c>
      <c r="H1095" s="71" t="n">
        <v>45</v>
      </c>
      <c r="I1095" s="71" t="n">
        <v>0</v>
      </c>
      <c r="J1095" s="22" t="s">
        <v>1317</v>
      </c>
      <c r="K1095" s="36" t="n">
        <v>67100</v>
      </c>
      <c r="L1095" s="36" t="n">
        <v>94500</v>
      </c>
      <c r="M1095" s="37" t="n">
        <v>10500</v>
      </c>
      <c r="N1095" s="30" t="n">
        <v>11000</v>
      </c>
      <c r="O1095" s="30" t="n">
        <v>94500</v>
      </c>
      <c r="P1095" s="31" t="n">
        <v>0</v>
      </c>
      <c r="Q1095" s="302" t="n">
        <v>45943</v>
      </c>
    </row>
    <row r="1096" customFormat="false" ht="14.9" hidden="true" customHeight="false" outlineLevel="0" collapsed="false">
      <c r="A1096" s="20" t="n">
        <v>3111</v>
      </c>
      <c r="B1096" s="21" t="s">
        <v>374</v>
      </c>
      <c r="C1096" s="21"/>
      <c r="D1096" s="34"/>
      <c r="E1096" s="25" t="n">
        <v>45733</v>
      </c>
      <c r="F1096" s="25" t="n">
        <v>45845</v>
      </c>
      <c r="G1096" s="26" t="n">
        <v>80</v>
      </c>
      <c r="H1096" s="71" t="n">
        <v>94.0740740740741</v>
      </c>
      <c r="I1096" s="71" t="n">
        <v>-14.0740740740741</v>
      </c>
      <c r="J1096" s="35" t="s">
        <v>1217</v>
      </c>
      <c r="K1096" s="31" t="n">
        <v>50000</v>
      </c>
      <c r="L1096" s="31" t="n">
        <v>108000</v>
      </c>
      <c r="M1096" s="37" t="n">
        <v>6750</v>
      </c>
      <c r="N1096" s="30" t="n">
        <v>54000</v>
      </c>
      <c r="O1096" s="30" t="n">
        <v>127000</v>
      </c>
      <c r="P1096" s="31" t="n">
        <v>-19000</v>
      </c>
      <c r="Q1096" s="302" t="n">
        <v>45943</v>
      </c>
    </row>
    <row r="1097" customFormat="false" ht="14.9" hidden="true" customHeight="false" outlineLevel="0" collapsed="false">
      <c r="A1097" s="20" t="n">
        <v>3206</v>
      </c>
      <c r="B1097" s="21" t="s">
        <v>380</v>
      </c>
      <c r="C1097" s="21" t="s">
        <v>292</v>
      </c>
      <c r="D1097" s="34"/>
      <c r="E1097" s="25" t="n">
        <v>45798</v>
      </c>
      <c r="F1097" s="25" t="n">
        <v>45952</v>
      </c>
      <c r="G1097" s="26" t="n">
        <v>110</v>
      </c>
      <c r="H1097" s="71" t="n">
        <v>110</v>
      </c>
      <c r="I1097" s="71" t="n">
        <v>0</v>
      </c>
      <c r="J1097" s="49" t="s">
        <v>362</v>
      </c>
      <c r="K1097" s="36" t="n">
        <v>100000</v>
      </c>
      <c r="L1097" s="36" t="n">
        <v>264000</v>
      </c>
      <c r="M1097" s="37" t="n">
        <v>12000</v>
      </c>
      <c r="N1097" s="30" t="n">
        <v>24000</v>
      </c>
      <c r="O1097" s="30" t="n">
        <v>264000</v>
      </c>
      <c r="P1097" s="36" t="n">
        <v>0</v>
      </c>
      <c r="Q1097" s="302" t="n">
        <v>45943</v>
      </c>
    </row>
    <row r="1098" customFormat="false" ht="14.9" hidden="true" customHeight="false" outlineLevel="0" collapsed="false">
      <c r="A1098" s="20" t="n">
        <v>3149</v>
      </c>
      <c r="B1098" s="21" t="s">
        <v>392</v>
      </c>
      <c r="C1098" s="21" t="s">
        <v>393</v>
      </c>
      <c r="D1098" s="34"/>
      <c r="E1098" s="25" t="n">
        <v>45758</v>
      </c>
      <c r="F1098" s="25" t="n">
        <v>45982</v>
      </c>
      <c r="G1098" s="26" t="n">
        <v>160</v>
      </c>
      <c r="H1098" s="71" t="n">
        <v>160</v>
      </c>
      <c r="I1098" s="71" t="n">
        <v>0</v>
      </c>
      <c r="J1098" s="35" t="s">
        <v>1318</v>
      </c>
      <c r="K1098" s="36" t="n">
        <v>250000</v>
      </c>
      <c r="L1098" s="36" t="n">
        <v>750400</v>
      </c>
      <c r="M1098" s="37" t="n">
        <v>23450</v>
      </c>
      <c r="N1098" s="30" t="n">
        <v>187000</v>
      </c>
      <c r="O1098" s="30" t="n">
        <v>750400</v>
      </c>
      <c r="P1098" s="36" t="n">
        <v>0</v>
      </c>
      <c r="Q1098" s="302" t="n">
        <v>45943</v>
      </c>
    </row>
    <row r="1099" customFormat="false" ht="28.35" hidden="true" customHeight="false" outlineLevel="0" collapsed="false">
      <c r="A1099" s="26" t="n">
        <v>3399</v>
      </c>
      <c r="B1099" s="21" t="s">
        <v>396</v>
      </c>
      <c r="C1099" s="21" t="s">
        <v>1280</v>
      </c>
      <c r="D1099" s="34" t="n">
        <v>27355741082</v>
      </c>
      <c r="E1099" s="25" t="n">
        <v>45915</v>
      </c>
      <c r="F1099" s="25" t="n">
        <v>45943</v>
      </c>
      <c r="G1099" s="26" t="n">
        <v>20</v>
      </c>
      <c r="H1099" s="71" t="e">
        <f aca="false">#DIV/0!</f>
        <v>#DIV/0!</v>
      </c>
      <c r="I1099" s="320" t="e">
        <f aca="false">#VALUE!</f>
        <v>#VALUE!</v>
      </c>
      <c r="J1099" s="35" t="s">
        <v>538</v>
      </c>
      <c r="K1099" s="36" t="n">
        <v>150000</v>
      </c>
      <c r="L1099" s="36" t="n">
        <v>225000</v>
      </c>
      <c r="M1099" s="37"/>
      <c r="N1099" s="30" t="n">
        <v>225000</v>
      </c>
      <c r="O1099" s="30" t="n">
        <v>225000</v>
      </c>
      <c r="P1099" s="36" t="n">
        <v>0</v>
      </c>
      <c r="Q1099" s="302" t="n">
        <v>45943</v>
      </c>
    </row>
    <row r="1100" customFormat="false" ht="17.9" hidden="true" customHeight="false" outlineLevel="0" collapsed="false">
      <c r="A1100" s="26" t="n">
        <v>3428</v>
      </c>
      <c r="B1100" s="34" t="s">
        <v>429</v>
      </c>
      <c r="C1100" s="34"/>
      <c r="D1100" s="34"/>
      <c r="E1100" s="25" t="n">
        <v>45937</v>
      </c>
      <c r="F1100" s="25" t="n">
        <v>45923</v>
      </c>
      <c r="G1100" s="26" t="n">
        <v>5</v>
      </c>
      <c r="H1100" s="71" t="e">
        <f aca="false">#DIV/0!</f>
        <v>#DIV/0!</v>
      </c>
      <c r="I1100" s="71" t="e">
        <f aca="false">#DIV/0!</f>
        <v>#DIV/0!</v>
      </c>
      <c r="J1100" s="34" t="s">
        <v>580</v>
      </c>
      <c r="K1100" s="46" t="n">
        <v>150000</v>
      </c>
      <c r="L1100" s="36" t="n">
        <v>195000</v>
      </c>
      <c r="M1100" s="37"/>
      <c r="N1100" s="30" t="n">
        <v>195000</v>
      </c>
      <c r="O1100" s="30" t="n">
        <v>195000</v>
      </c>
      <c r="P1100" s="36" t="n">
        <v>0</v>
      </c>
      <c r="Q1100" s="302" t="n">
        <v>45943</v>
      </c>
    </row>
    <row r="1101" customFormat="false" ht="21.6" hidden="true" customHeight="false" outlineLevel="0" collapsed="false">
      <c r="A1101" s="26" t="n">
        <v>3085</v>
      </c>
      <c r="B1101" s="21" t="s">
        <v>450</v>
      </c>
      <c r="C1101" s="21" t="s">
        <v>451</v>
      </c>
      <c r="D1101" s="34"/>
      <c r="E1101" s="25" t="n">
        <v>45715</v>
      </c>
      <c r="F1101" s="25" t="n">
        <v>45817</v>
      </c>
      <c r="G1101" s="26" t="n">
        <v>72</v>
      </c>
      <c r="H1101" s="71" t="n">
        <v>72</v>
      </c>
      <c r="I1101" s="71" t="n">
        <v>0</v>
      </c>
      <c r="J1101" s="22" t="s">
        <v>788</v>
      </c>
      <c r="K1101" s="36" t="n">
        <v>15000</v>
      </c>
      <c r="L1101" s="36" t="n">
        <v>32400</v>
      </c>
      <c r="M1101" s="37" t="n">
        <v>2250</v>
      </c>
      <c r="N1101" s="30" t="n">
        <v>2650</v>
      </c>
      <c r="O1101" s="30" t="n">
        <v>32400</v>
      </c>
      <c r="P1101" s="36" t="n">
        <v>0</v>
      </c>
      <c r="Q1101" s="302" t="n">
        <v>45943</v>
      </c>
    </row>
    <row r="1102" customFormat="false" ht="14.9" hidden="true" customHeight="false" outlineLevel="0" collapsed="false">
      <c r="A1102" s="26" t="n">
        <v>3173</v>
      </c>
      <c r="B1102" s="21" t="s">
        <v>519</v>
      </c>
      <c r="C1102" s="346" t="s">
        <v>520</v>
      </c>
      <c r="D1102" s="34"/>
      <c r="E1102" s="25" t="n">
        <v>45776</v>
      </c>
      <c r="F1102" s="25" t="n">
        <v>45876</v>
      </c>
      <c r="G1102" s="26" t="n">
        <v>72</v>
      </c>
      <c r="H1102" s="71" t="n">
        <v>72</v>
      </c>
      <c r="I1102" s="71" t="n">
        <v>0</v>
      </c>
      <c r="J1102" s="22" t="s">
        <v>266</v>
      </c>
      <c r="K1102" s="36" t="n">
        <v>100000</v>
      </c>
      <c r="L1102" s="36" t="n">
        <v>216000</v>
      </c>
      <c r="M1102" s="37" t="n">
        <v>15000</v>
      </c>
      <c r="N1102" s="30" t="n">
        <v>7500</v>
      </c>
      <c r="O1102" s="30" t="n">
        <v>216000</v>
      </c>
      <c r="P1102" s="36" t="n">
        <v>0</v>
      </c>
      <c r="Q1102" s="302" t="n">
        <v>45943</v>
      </c>
    </row>
    <row r="1103" customFormat="false" ht="14.9" hidden="true" customHeight="false" outlineLevel="0" collapsed="false">
      <c r="A1103" s="26" t="n">
        <v>3192</v>
      </c>
      <c r="B1103" s="21" t="s">
        <v>519</v>
      </c>
      <c r="C1103" s="21" t="s">
        <v>520</v>
      </c>
      <c r="D1103" s="34"/>
      <c r="E1103" s="25" t="n">
        <v>45791</v>
      </c>
      <c r="F1103" s="25" t="n">
        <v>45891</v>
      </c>
      <c r="G1103" s="26" t="n">
        <v>72</v>
      </c>
      <c r="H1103" s="71" t="n">
        <v>74.6666666666667</v>
      </c>
      <c r="I1103" s="71" t="n">
        <v>-2.66666666666667</v>
      </c>
      <c r="J1103" s="22" t="s">
        <v>266</v>
      </c>
      <c r="K1103" s="31" t="n">
        <v>100000</v>
      </c>
      <c r="L1103" s="31" t="n">
        <v>216000</v>
      </c>
      <c r="M1103" s="37" t="n">
        <v>15000</v>
      </c>
      <c r="N1103" s="30" t="n">
        <v>15000</v>
      </c>
      <c r="O1103" s="30" t="n">
        <v>224000</v>
      </c>
      <c r="P1103" s="36" t="n">
        <v>-8000</v>
      </c>
      <c r="Q1103" s="302" t="n">
        <v>45943</v>
      </c>
    </row>
    <row r="1104" customFormat="false" ht="21.6" hidden="true" customHeight="false" outlineLevel="0" collapsed="false">
      <c r="A1104" s="26" t="n">
        <v>3242</v>
      </c>
      <c r="B1104" s="21" t="s">
        <v>543</v>
      </c>
      <c r="C1104" s="21" t="s">
        <v>532</v>
      </c>
      <c r="D1104" s="34"/>
      <c r="E1104" s="25" t="n">
        <v>45825</v>
      </c>
      <c r="F1104" s="25" t="n">
        <v>45937</v>
      </c>
      <c r="G1104" s="26" t="n">
        <v>80</v>
      </c>
      <c r="H1104" s="71" t="n">
        <v>80</v>
      </c>
      <c r="I1104" s="71" t="n">
        <v>0</v>
      </c>
      <c r="J1104" s="35" t="s">
        <v>1223</v>
      </c>
      <c r="K1104" s="67" t="n">
        <v>50000</v>
      </c>
      <c r="L1104" s="31" t="n">
        <v>108000</v>
      </c>
      <c r="M1104" s="37" t="n">
        <v>6750</v>
      </c>
      <c r="N1104" s="30" t="n">
        <v>30000</v>
      </c>
      <c r="O1104" s="30" t="n">
        <v>108000</v>
      </c>
      <c r="P1104" s="36" t="n">
        <v>0</v>
      </c>
      <c r="Q1104" s="302" t="n">
        <v>45943</v>
      </c>
    </row>
    <row r="1105" customFormat="false" ht="35.05" hidden="true" customHeight="false" outlineLevel="0" collapsed="false">
      <c r="A1105" s="26" t="n">
        <v>2208</v>
      </c>
      <c r="B1105" s="21" t="s">
        <v>584</v>
      </c>
      <c r="C1105" s="21" t="s">
        <v>585</v>
      </c>
      <c r="D1105" s="34"/>
      <c r="E1105" s="25" t="n">
        <v>45153</v>
      </c>
      <c r="F1105" s="25" t="n">
        <v>45884</v>
      </c>
      <c r="G1105" s="26" t="n">
        <v>523</v>
      </c>
      <c r="H1105" s="71" t="n">
        <v>523.450862068966</v>
      </c>
      <c r="I1105" s="71" t="n">
        <v>-0.450862068965535</v>
      </c>
      <c r="J1105" s="35" t="s">
        <v>1319</v>
      </c>
      <c r="K1105" s="36" t="n">
        <v>1000000</v>
      </c>
      <c r="L1105" s="36" t="n">
        <v>3480000</v>
      </c>
      <c r="M1105" s="77" t="n">
        <v>33269.5984703633</v>
      </c>
      <c r="N1105" s="30" t="n">
        <v>268000</v>
      </c>
      <c r="O1105" s="30" t="n">
        <v>3483000</v>
      </c>
      <c r="P1105" s="36" t="n">
        <v>-3000</v>
      </c>
      <c r="Q1105" s="302" t="n">
        <v>45943</v>
      </c>
    </row>
    <row r="1106" customFormat="false" ht="35.05" hidden="true" customHeight="false" outlineLevel="0" collapsed="false">
      <c r="A1106" s="26" t="n">
        <v>2632</v>
      </c>
      <c r="B1106" s="21" t="s">
        <v>584</v>
      </c>
      <c r="C1106" s="21" t="s">
        <v>585</v>
      </c>
      <c r="D1106" s="34"/>
      <c r="E1106" s="25" t="n">
        <v>45433</v>
      </c>
      <c r="F1106" s="25" t="n">
        <v>45769</v>
      </c>
      <c r="G1106" s="26" t="n">
        <v>240</v>
      </c>
      <c r="H1106" s="71" t="n">
        <v>240</v>
      </c>
      <c r="I1106" s="71" t="n">
        <v>0</v>
      </c>
      <c r="J1106" s="35" t="s">
        <v>1320</v>
      </c>
      <c r="K1106" s="66" t="n">
        <v>800000</v>
      </c>
      <c r="L1106" s="31" t="n">
        <v>2232000</v>
      </c>
      <c r="M1106" s="37" t="n">
        <v>46500</v>
      </c>
      <c r="N1106" s="30" t="n">
        <v>191000</v>
      </c>
      <c r="O1106" s="30" t="n">
        <v>2232000</v>
      </c>
      <c r="P1106" s="36" t="n">
        <v>0</v>
      </c>
      <c r="Q1106" s="302" t="n">
        <v>45943</v>
      </c>
    </row>
    <row r="1107" customFormat="false" ht="14.9" hidden="true" customHeight="false" outlineLevel="0" collapsed="false">
      <c r="A1107" s="26" t="n">
        <v>3288</v>
      </c>
      <c r="B1107" s="21" t="s">
        <v>264</v>
      </c>
      <c r="C1107" s="21" t="s">
        <v>265</v>
      </c>
      <c r="D1107" s="34"/>
      <c r="E1107" s="25" t="n">
        <v>45852</v>
      </c>
      <c r="F1107" s="25" t="n">
        <v>45952</v>
      </c>
      <c r="G1107" s="26" t="n">
        <v>72</v>
      </c>
      <c r="H1107" s="71" t="n">
        <v>72.5</v>
      </c>
      <c r="I1107" s="71" t="n">
        <v>-0.5</v>
      </c>
      <c r="J1107" s="22" t="s">
        <v>244</v>
      </c>
      <c r="K1107" s="46" t="n">
        <v>200000</v>
      </c>
      <c r="L1107" s="36" t="n">
        <v>432000</v>
      </c>
      <c r="M1107" s="37" t="n">
        <v>30000</v>
      </c>
      <c r="N1107" s="30" t="n">
        <v>15000</v>
      </c>
      <c r="O1107" s="30" t="n">
        <v>435000</v>
      </c>
      <c r="P1107" s="36" t="n">
        <v>-3000</v>
      </c>
      <c r="Q1107" s="302" t="n">
        <v>45950</v>
      </c>
    </row>
    <row r="1108" customFormat="false" ht="35.05" hidden="true" customHeight="false" outlineLevel="0" collapsed="false">
      <c r="A1108" s="20" t="n">
        <v>3246</v>
      </c>
      <c r="B1108" s="21" t="s">
        <v>272</v>
      </c>
      <c r="C1108" s="21" t="s">
        <v>917</v>
      </c>
      <c r="D1108" s="34"/>
      <c r="E1108" s="25" t="n">
        <v>45826</v>
      </c>
      <c r="F1108" s="25" t="n">
        <v>45938</v>
      </c>
      <c r="G1108" s="26" t="n">
        <v>80</v>
      </c>
      <c r="H1108" s="71" t="n">
        <v>80.1058201058201</v>
      </c>
      <c r="I1108" s="71" t="n">
        <v>-0.105820105820101</v>
      </c>
      <c r="J1108" s="48" t="s">
        <v>1321</v>
      </c>
      <c r="K1108" s="29" t="n">
        <v>70000</v>
      </c>
      <c r="L1108" s="36" t="n">
        <v>151200</v>
      </c>
      <c r="M1108" s="37" t="n">
        <v>9450</v>
      </c>
      <c r="N1108" s="30" t="n">
        <v>38000</v>
      </c>
      <c r="O1108" s="30" t="n">
        <v>151400</v>
      </c>
      <c r="P1108" s="31" t="n">
        <v>-200</v>
      </c>
      <c r="Q1108" s="302" t="n">
        <v>45950</v>
      </c>
    </row>
    <row r="1109" customFormat="false" ht="17.9" hidden="true" customHeight="false" outlineLevel="0" collapsed="false">
      <c r="A1109" s="20" t="n">
        <v>3449</v>
      </c>
      <c r="B1109" s="34" t="s">
        <v>429</v>
      </c>
      <c r="C1109" s="34"/>
      <c r="D1109" s="34"/>
      <c r="E1109" s="25" t="n">
        <v>45948</v>
      </c>
      <c r="F1109" s="25" t="n">
        <v>45923</v>
      </c>
      <c r="G1109" s="26" t="n">
        <v>5</v>
      </c>
      <c r="H1109" s="71" t="e">
        <f aca="false">#DIV/0!</f>
        <v>#DIV/0!</v>
      </c>
      <c r="I1109" s="71" t="e">
        <f aca="false">#DIV/0!</f>
        <v>#DIV/0!</v>
      </c>
      <c r="J1109" s="34" t="s">
        <v>580</v>
      </c>
      <c r="K1109" s="45" t="n">
        <v>100000</v>
      </c>
      <c r="L1109" s="31" t="n">
        <v>130000</v>
      </c>
      <c r="M1109" s="37"/>
      <c r="N1109" s="30" t="n">
        <v>130000</v>
      </c>
      <c r="O1109" s="30" t="n">
        <v>130000</v>
      </c>
      <c r="P1109" s="31" t="n">
        <v>0</v>
      </c>
      <c r="Q1109" s="302" t="n">
        <v>45950</v>
      </c>
    </row>
    <row r="1110" customFormat="false" ht="35.05" hidden="true" customHeight="false" outlineLevel="0" collapsed="false">
      <c r="A1110" s="26" t="n">
        <v>3017</v>
      </c>
      <c r="B1110" s="21" t="s">
        <v>463</v>
      </c>
      <c r="C1110" s="21" t="s">
        <v>464</v>
      </c>
      <c r="D1110" s="34"/>
      <c r="E1110" s="25" t="n">
        <v>45679</v>
      </c>
      <c r="F1110" s="25" t="n">
        <v>45847</v>
      </c>
      <c r="G1110" s="26" t="n">
        <v>120</v>
      </c>
      <c r="H1110" s="71" t="n">
        <v>120</v>
      </c>
      <c r="I1110" s="71" t="n">
        <v>0</v>
      </c>
      <c r="J1110" s="49" t="s">
        <v>1157</v>
      </c>
      <c r="K1110" s="45" t="n">
        <v>150000</v>
      </c>
      <c r="L1110" s="31" t="n">
        <v>396000</v>
      </c>
      <c r="M1110" s="37" t="n">
        <v>16500</v>
      </c>
      <c r="N1110" s="30" t="n">
        <v>28000</v>
      </c>
      <c r="O1110" s="30" t="n">
        <v>396000</v>
      </c>
      <c r="P1110" s="36" t="n">
        <v>0</v>
      </c>
      <c r="Q1110" s="302" t="n">
        <v>45950</v>
      </c>
    </row>
    <row r="1111" customFormat="false" ht="14.9" hidden="false" customHeight="false" outlineLevel="0" collapsed="false">
      <c r="A1111" s="26" t="n">
        <v>3142</v>
      </c>
      <c r="B1111" s="21" t="s">
        <v>1236</v>
      </c>
      <c r="C1111" s="21" t="s">
        <v>569</v>
      </c>
      <c r="D1111" s="34"/>
      <c r="E1111" s="25" t="n">
        <v>45751</v>
      </c>
      <c r="F1111" s="25" t="n">
        <v>45853</v>
      </c>
      <c r="G1111" s="26" t="n">
        <v>72</v>
      </c>
      <c r="H1111" s="71" t="n">
        <v>74.2222222222222</v>
      </c>
      <c r="I1111" s="71" t="n">
        <v>-2.22222222222223</v>
      </c>
      <c r="J1111" s="22" t="s">
        <v>243</v>
      </c>
      <c r="K1111" s="36" t="n">
        <v>150000</v>
      </c>
      <c r="L1111" s="36" t="n">
        <v>324000</v>
      </c>
      <c r="M1111" s="37" t="n">
        <v>22500</v>
      </c>
      <c r="N1111" s="30" t="n">
        <v>20500</v>
      </c>
      <c r="O1111" s="30" t="n">
        <v>334000</v>
      </c>
      <c r="P1111" s="36" t="n">
        <v>-10000</v>
      </c>
      <c r="Q1111" s="302" t="n">
        <v>45950</v>
      </c>
    </row>
    <row r="1112" customFormat="false" ht="14.9" hidden="true" customHeight="false" outlineLevel="0" collapsed="false">
      <c r="A1112" s="26" t="n">
        <v>3406</v>
      </c>
      <c r="B1112" s="21" t="s">
        <v>578</v>
      </c>
      <c r="C1112" s="21" t="s">
        <v>579</v>
      </c>
      <c r="D1112" s="34"/>
      <c r="E1112" s="25" t="n">
        <v>45920</v>
      </c>
      <c r="F1112" s="25" t="n">
        <v>45945</v>
      </c>
      <c r="G1112" s="26" t="n">
        <v>18</v>
      </c>
      <c r="H1112" s="71" t="e">
        <f aca="false">#DIV/0!</f>
        <v>#DIV/0!</v>
      </c>
      <c r="I1112" s="71" t="e">
        <f aca="false">#DIV/0!</f>
        <v>#DIV/0!</v>
      </c>
      <c r="J1112" s="35" t="s">
        <v>580</v>
      </c>
      <c r="K1112" s="31" t="n">
        <v>250000</v>
      </c>
      <c r="L1112" s="31" t="n">
        <v>350000</v>
      </c>
      <c r="M1112" s="29"/>
      <c r="N1112" s="30" t="n">
        <v>300000</v>
      </c>
      <c r="O1112" s="30" t="n">
        <v>350000</v>
      </c>
      <c r="P1112" s="36" t="n">
        <v>0</v>
      </c>
      <c r="Q1112" s="302" t="n">
        <v>45950</v>
      </c>
    </row>
    <row r="1113" customFormat="false" ht="28.35" hidden="true" customHeight="false" outlineLevel="0" collapsed="false">
      <c r="A1113" s="26" t="n">
        <v>3317</v>
      </c>
      <c r="B1113" s="21" t="s">
        <v>222</v>
      </c>
      <c r="C1113" s="21" t="s">
        <v>219</v>
      </c>
      <c r="D1113" s="34"/>
      <c r="E1113" s="25" t="n">
        <v>45863</v>
      </c>
      <c r="F1113" s="25" t="n">
        <v>45975</v>
      </c>
      <c r="G1113" s="26" t="n">
        <v>80</v>
      </c>
      <c r="H1113" s="71" t="n">
        <v>80</v>
      </c>
      <c r="I1113" s="71" t="n">
        <v>0</v>
      </c>
      <c r="J1113" s="35" t="s">
        <v>1322</v>
      </c>
      <c r="K1113" s="36" t="n">
        <v>100000</v>
      </c>
      <c r="L1113" s="36" t="n">
        <v>216000</v>
      </c>
      <c r="M1113" s="37" t="n">
        <v>13500</v>
      </c>
      <c r="N1113" s="30" t="n">
        <v>108000</v>
      </c>
      <c r="O1113" s="30" t="n">
        <v>216000</v>
      </c>
      <c r="P1113" s="36" t="n">
        <v>0</v>
      </c>
      <c r="Q1113" s="302" t="n">
        <v>45957</v>
      </c>
    </row>
    <row r="1114" customFormat="false" ht="17.9" hidden="true" customHeight="false" outlineLevel="0" collapsed="false">
      <c r="A1114" s="20" t="n">
        <v>3459</v>
      </c>
      <c r="B1114" s="34" t="s">
        <v>429</v>
      </c>
      <c r="C1114" s="34"/>
      <c r="D1114" s="34"/>
      <c r="E1114" s="25" t="n">
        <v>45954</v>
      </c>
      <c r="F1114" s="25" t="n">
        <v>45961</v>
      </c>
      <c r="G1114" s="26" t="n">
        <v>5</v>
      </c>
      <c r="H1114" s="71" t="e">
        <f aca="false">#DIV/0!</f>
        <v>#DIV/0!</v>
      </c>
      <c r="I1114" s="71" t="e">
        <f aca="false">#DIV/0!</f>
        <v>#DIV/0!</v>
      </c>
      <c r="J1114" s="34" t="s">
        <v>580</v>
      </c>
      <c r="K1114" s="45" t="n">
        <v>200000</v>
      </c>
      <c r="L1114" s="31" t="n">
        <v>260000</v>
      </c>
      <c r="M1114" s="37"/>
      <c r="N1114" s="30" t="n">
        <v>260000</v>
      </c>
      <c r="O1114" s="30" t="n">
        <v>260000</v>
      </c>
      <c r="P1114" s="31" t="n">
        <v>0</v>
      </c>
      <c r="Q1114" s="302" t="n">
        <v>45957</v>
      </c>
    </row>
    <row r="1115" customFormat="false" ht="28.35" hidden="true" customHeight="false" outlineLevel="0" collapsed="false">
      <c r="A1115" s="26" t="n">
        <v>3315</v>
      </c>
      <c r="B1115" s="21" t="s">
        <v>574</v>
      </c>
      <c r="C1115" s="21" t="s">
        <v>575</v>
      </c>
      <c r="D1115" s="34"/>
      <c r="E1115" s="25" t="n">
        <v>45863</v>
      </c>
      <c r="F1115" s="25" t="n">
        <f aca="false">WORKDAY(E1115,G1115)</f>
        <v>45965</v>
      </c>
      <c r="G1115" s="26" t="n">
        <v>72</v>
      </c>
      <c r="H1115" s="71" t="n">
        <f aca="false">('prest.canc.'!O1116* 5)/M1115</f>
        <v>1760</v>
      </c>
      <c r="I1115" s="71" t="n">
        <f aca="false">G1115-H1115</f>
        <v>-1688</v>
      </c>
      <c r="J1115" s="22" t="s">
        <v>381</v>
      </c>
      <c r="K1115" s="31" t="n">
        <v>50000</v>
      </c>
      <c r="L1115" s="31" t="n">
        <v>108000</v>
      </c>
      <c r="M1115" s="37" t="n">
        <f aca="false">(L1115/G1115)*5</f>
        <v>7500</v>
      </c>
      <c r="N1115" s="30" t="n">
        <v>15000</v>
      </c>
      <c r="O1115" s="30" t="n">
        <v>108000</v>
      </c>
      <c r="P1115" s="36" t="n">
        <f aca="false">SUM('prest.canc.'!L1116-O1115)</f>
        <v>2532000</v>
      </c>
      <c r="Q1115" s="302" t="n">
        <v>45957</v>
      </c>
    </row>
    <row r="1116" customFormat="false" ht="14.9" hidden="true" customHeight="false" outlineLevel="0" collapsed="false">
      <c r="A1116" s="26" t="n">
        <v>3189</v>
      </c>
      <c r="B1116" s="21" t="s">
        <v>224</v>
      </c>
      <c r="C1116" s="21"/>
      <c r="D1116" s="34" t="n">
        <v>22375673</v>
      </c>
      <c r="E1116" s="25" t="n">
        <v>45790</v>
      </c>
      <c r="F1116" s="25" t="n">
        <v>45958</v>
      </c>
      <c r="G1116" s="26" t="n">
        <v>120</v>
      </c>
      <c r="H1116" s="71" t="n">
        <v>120</v>
      </c>
      <c r="I1116" s="71" t="n">
        <v>0</v>
      </c>
      <c r="J1116" s="38" t="s">
        <v>1323</v>
      </c>
      <c r="K1116" s="31" t="n">
        <v>1000000</v>
      </c>
      <c r="L1116" s="31" t="n">
        <v>2640000</v>
      </c>
      <c r="M1116" s="29" t="n">
        <v>110000</v>
      </c>
      <c r="N1116" s="312" t="n">
        <v>440000</v>
      </c>
      <c r="O1116" s="30" t="n">
        <v>2640000</v>
      </c>
      <c r="P1116" s="36" t="n">
        <v>0</v>
      </c>
      <c r="Q1116" s="302" t="n">
        <v>45964</v>
      </c>
    </row>
    <row r="1117" customFormat="false" ht="19.4" hidden="true" customHeight="false" outlineLevel="0" collapsed="false">
      <c r="A1117" s="20" t="n">
        <v>2739</v>
      </c>
      <c r="B1117" s="21" t="s">
        <v>276</v>
      </c>
      <c r="C1117" s="21" t="s">
        <v>277</v>
      </c>
      <c r="D1117" s="34"/>
      <c r="E1117" s="25" t="n">
        <v>45506</v>
      </c>
      <c r="F1117" s="25" t="n">
        <v>45702</v>
      </c>
      <c r="G1117" s="26" t="n">
        <v>140</v>
      </c>
      <c r="H1117" s="71" t="n">
        <v>140</v>
      </c>
      <c r="I1117" s="71" t="n">
        <v>0</v>
      </c>
      <c r="J1117" s="49" t="s">
        <v>1310</v>
      </c>
      <c r="K1117" s="31" t="n">
        <v>250000</v>
      </c>
      <c r="L1117" s="31" t="n">
        <v>660100</v>
      </c>
      <c r="M1117" s="37" t="n">
        <v>23575</v>
      </c>
      <c r="N1117" s="30" t="n">
        <v>28200</v>
      </c>
      <c r="O1117" s="30" t="n">
        <v>660100</v>
      </c>
      <c r="P1117" s="31" t="n">
        <v>0</v>
      </c>
      <c r="Q1117" s="302" t="n">
        <v>45964</v>
      </c>
    </row>
    <row r="1118" customFormat="false" ht="35.05" hidden="true" customHeight="false" outlineLevel="0" collapsed="false">
      <c r="A1118" s="20" t="n">
        <v>3109</v>
      </c>
      <c r="B1118" s="21" t="s">
        <v>280</v>
      </c>
      <c r="C1118" s="21" t="s">
        <v>281</v>
      </c>
      <c r="D1118" s="34" t="n">
        <v>20386454729</v>
      </c>
      <c r="E1118" s="25" t="n">
        <v>45733</v>
      </c>
      <c r="F1118" s="25" t="n">
        <v>45901</v>
      </c>
      <c r="G1118" s="26" t="n">
        <v>120</v>
      </c>
      <c r="H1118" s="71" t="n">
        <v>123.636363636364</v>
      </c>
      <c r="I1118" s="71" t="n">
        <v>-3.63636363636364</v>
      </c>
      <c r="J1118" s="35" t="s">
        <v>1324</v>
      </c>
      <c r="K1118" s="57" t="n">
        <v>300000</v>
      </c>
      <c r="L1118" s="36" t="n">
        <v>792000</v>
      </c>
      <c r="M1118" s="37" t="n">
        <v>33000</v>
      </c>
      <c r="N1118" s="30" t="n">
        <v>102000</v>
      </c>
      <c r="O1118" s="30" t="n">
        <v>816000</v>
      </c>
      <c r="P1118" s="31" t="n">
        <v>-24000</v>
      </c>
      <c r="Q1118" s="302" t="n">
        <v>45964</v>
      </c>
    </row>
    <row r="1119" customFormat="false" ht="17.9" hidden="true" customHeight="false" outlineLevel="0" collapsed="false">
      <c r="A1119" s="20" t="n">
        <v>3472</v>
      </c>
      <c r="B1119" s="34" t="s">
        <v>429</v>
      </c>
      <c r="C1119" s="34"/>
      <c r="D1119" s="34"/>
      <c r="E1119" s="25" t="n">
        <v>45961</v>
      </c>
      <c r="F1119" s="25" t="n">
        <v>45968</v>
      </c>
      <c r="G1119" s="26" t="n">
        <v>5</v>
      </c>
      <c r="H1119" s="71" t="e">
        <f aca="false">#DIV/0!</f>
        <v>#DIV/0!</v>
      </c>
      <c r="I1119" s="71" t="e">
        <f aca="false">#DIV/0!</f>
        <v>#DIV/0!</v>
      </c>
      <c r="J1119" s="34" t="s">
        <v>580</v>
      </c>
      <c r="K1119" s="46" t="n">
        <v>100000</v>
      </c>
      <c r="L1119" s="36" t="n">
        <v>130000</v>
      </c>
      <c r="M1119" s="37"/>
      <c r="N1119" s="30" t="n">
        <v>130000</v>
      </c>
      <c r="O1119" s="30" t="n">
        <v>130000</v>
      </c>
      <c r="P1119" s="31" t="n">
        <v>0</v>
      </c>
      <c r="Q1119" s="302" t="n">
        <v>45964</v>
      </c>
    </row>
    <row r="1120" customFormat="false" ht="28.35" hidden="true" customHeight="false" outlineLevel="0" collapsed="false">
      <c r="A1120" s="26" t="n">
        <v>3269</v>
      </c>
      <c r="B1120" s="21" t="s">
        <v>507</v>
      </c>
      <c r="C1120" s="21" t="s">
        <v>508</v>
      </c>
      <c r="D1120" s="34"/>
      <c r="E1120" s="25" t="n">
        <v>45836</v>
      </c>
      <c r="F1120" s="25" t="n">
        <v>45947</v>
      </c>
      <c r="G1120" s="26" t="n">
        <v>80</v>
      </c>
      <c r="H1120" s="71" t="n">
        <v>80</v>
      </c>
      <c r="I1120" s="71" t="n">
        <v>0</v>
      </c>
      <c r="J1120" s="35" t="s">
        <v>509</v>
      </c>
      <c r="K1120" s="31" t="n">
        <v>150000</v>
      </c>
      <c r="L1120" s="31" t="n">
        <v>324000</v>
      </c>
      <c r="M1120" s="37" t="n">
        <v>20250</v>
      </c>
      <c r="N1120" s="30" t="n">
        <v>81000</v>
      </c>
      <c r="O1120" s="30" t="n">
        <v>324000</v>
      </c>
      <c r="P1120" s="36" t="n">
        <v>0</v>
      </c>
      <c r="Q1120" s="302" t="n">
        <v>45964</v>
      </c>
    </row>
    <row r="1121" customFormat="false" ht="28.35" hidden="true" customHeight="false" outlineLevel="0" collapsed="false">
      <c r="A1121" s="26" t="n">
        <v>3299</v>
      </c>
      <c r="B1121" s="21" t="s">
        <v>507</v>
      </c>
      <c r="C1121" s="21" t="s">
        <v>508</v>
      </c>
      <c r="D1121" s="34"/>
      <c r="E1121" s="25" t="n">
        <v>45857</v>
      </c>
      <c r="F1121" s="25" t="n">
        <v>45968</v>
      </c>
      <c r="G1121" s="26" t="n">
        <v>80</v>
      </c>
      <c r="H1121" s="71" t="n">
        <v>80</v>
      </c>
      <c r="I1121" s="71" t="n">
        <v>0</v>
      </c>
      <c r="J1121" s="35" t="s">
        <v>1132</v>
      </c>
      <c r="K1121" s="57" t="n">
        <v>200000</v>
      </c>
      <c r="L1121" s="36" t="n">
        <v>432000</v>
      </c>
      <c r="M1121" s="29" t="n">
        <v>27000</v>
      </c>
      <c r="N1121" s="30" t="n">
        <v>108000</v>
      </c>
      <c r="O1121" s="30" t="n">
        <v>432000</v>
      </c>
      <c r="P1121" s="36" t="n">
        <v>0</v>
      </c>
      <c r="Q1121" s="302" t="n">
        <v>45964</v>
      </c>
    </row>
    <row r="1122" customFormat="false" ht="14.9" hidden="true" customHeight="false" outlineLevel="0" collapsed="false">
      <c r="A1122" s="26" t="n">
        <v>3216</v>
      </c>
      <c r="B1122" s="21" t="s">
        <v>519</v>
      </c>
      <c r="C1122" s="21" t="s">
        <v>520</v>
      </c>
      <c r="D1122" s="34"/>
      <c r="E1122" s="25" t="n">
        <v>45804</v>
      </c>
      <c r="F1122" s="25" t="n">
        <v>45904</v>
      </c>
      <c r="G1122" s="26" t="n">
        <v>72</v>
      </c>
      <c r="H1122" s="71" t="n">
        <v>75.9</v>
      </c>
      <c r="I1122" s="71" t="n">
        <v>-3.90000000000001</v>
      </c>
      <c r="J1122" s="22" t="s">
        <v>266</v>
      </c>
      <c r="K1122" s="36" t="n">
        <v>100000</v>
      </c>
      <c r="L1122" s="36" t="n">
        <v>216000</v>
      </c>
      <c r="M1122" s="29" t="n">
        <v>15000</v>
      </c>
      <c r="N1122" s="30" t="n">
        <v>15000</v>
      </c>
      <c r="O1122" s="30" t="n">
        <v>227700</v>
      </c>
      <c r="P1122" s="36" t="n">
        <v>-11700</v>
      </c>
      <c r="Q1122" s="302" t="n">
        <v>45964</v>
      </c>
    </row>
    <row r="1123" customFormat="false" ht="21.6" hidden="true" customHeight="false" outlineLevel="0" collapsed="false">
      <c r="A1123" s="26" t="n">
        <v>3298</v>
      </c>
      <c r="B1123" s="21" t="s">
        <v>1325</v>
      </c>
      <c r="C1123" s="21" t="s">
        <v>623</v>
      </c>
      <c r="D1123" s="34"/>
      <c r="E1123" s="25" t="n">
        <v>45857</v>
      </c>
      <c r="F1123" s="25" t="n">
        <v>45958</v>
      </c>
      <c r="G1123" s="26" t="n">
        <v>72</v>
      </c>
      <c r="H1123" s="71" t="n">
        <v>72</v>
      </c>
      <c r="I1123" s="71" t="n">
        <v>0</v>
      </c>
      <c r="J1123" s="22" t="s">
        <v>452</v>
      </c>
      <c r="K1123" s="36" t="n">
        <v>30000</v>
      </c>
      <c r="L1123" s="36" t="n">
        <v>64800</v>
      </c>
      <c r="M1123" s="29" t="n">
        <v>4500</v>
      </c>
      <c r="N1123" s="30" t="n">
        <v>16800</v>
      </c>
      <c r="O1123" s="30" t="n">
        <v>64800</v>
      </c>
      <c r="P1123" s="36" t="n">
        <v>0</v>
      </c>
      <c r="Q1123" s="302" t="n">
        <v>45964</v>
      </c>
    </row>
    <row r="1124" customFormat="false" ht="17.9" hidden="true" customHeight="false" outlineLevel="0" collapsed="false">
      <c r="A1124" s="26" t="n">
        <v>3068</v>
      </c>
      <c r="B1124" s="34" t="s">
        <v>240</v>
      </c>
      <c r="C1124" s="34" t="s">
        <v>241</v>
      </c>
      <c r="D1124" s="34"/>
      <c r="E1124" s="25" t="n">
        <v>45706</v>
      </c>
      <c r="F1124" s="25" t="n">
        <v>45806</v>
      </c>
      <c r="G1124" s="26" t="n">
        <v>72</v>
      </c>
      <c r="H1124" s="42" t="n">
        <v>72</v>
      </c>
      <c r="I1124" s="42" t="n">
        <v>0</v>
      </c>
      <c r="J1124" s="22" t="s">
        <v>266</v>
      </c>
      <c r="K1124" s="31" t="n">
        <v>100000</v>
      </c>
      <c r="L1124" s="31" t="n">
        <v>216000</v>
      </c>
      <c r="M1124" s="37" t="n">
        <v>15000</v>
      </c>
      <c r="N1124" s="30" t="n">
        <v>3600</v>
      </c>
      <c r="O1124" s="30" t="n">
        <v>216000</v>
      </c>
      <c r="P1124" s="36" t="n">
        <v>0</v>
      </c>
      <c r="Q1124" s="302" t="n">
        <v>45971</v>
      </c>
    </row>
    <row r="1125" customFormat="false" ht="21.6" hidden="true" customHeight="false" outlineLevel="0" collapsed="false">
      <c r="A1125" s="20" t="n">
        <v>3210</v>
      </c>
      <c r="B1125" s="21" t="s">
        <v>230</v>
      </c>
      <c r="C1125" s="21" t="s">
        <v>231</v>
      </c>
      <c r="D1125" s="34"/>
      <c r="E1125" s="25" t="n">
        <v>45800</v>
      </c>
      <c r="F1125" s="25" t="n">
        <v>45968</v>
      </c>
      <c r="G1125" s="26" t="n">
        <v>120</v>
      </c>
      <c r="H1125" s="71" t="n">
        <v>120</v>
      </c>
      <c r="I1125" s="71" t="n">
        <v>0</v>
      </c>
      <c r="J1125" s="35" t="s">
        <v>953</v>
      </c>
      <c r="K1125" s="400" t="n">
        <v>50000</v>
      </c>
      <c r="L1125" s="31" t="n">
        <v>132000</v>
      </c>
      <c r="M1125" s="37" t="n">
        <v>5500</v>
      </c>
      <c r="N1125" s="30" t="n">
        <v>22600</v>
      </c>
      <c r="O1125" s="30" t="n">
        <v>132000</v>
      </c>
      <c r="P1125" s="31" t="n">
        <v>0</v>
      </c>
      <c r="Q1125" s="302" t="n">
        <v>45971</v>
      </c>
    </row>
    <row r="1126" customFormat="false" ht="21.6" hidden="true" customHeight="false" outlineLevel="0" collapsed="false">
      <c r="A1126" s="20" t="n">
        <v>3323</v>
      </c>
      <c r="B1126" s="21" t="s">
        <v>230</v>
      </c>
      <c r="C1126" s="21" t="s">
        <v>231</v>
      </c>
      <c r="D1126" s="34"/>
      <c r="E1126" s="25" t="n">
        <v>45867</v>
      </c>
      <c r="F1126" s="25" t="n">
        <v>45979</v>
      </c>
      <c r="G1126" s="26" t="n">
        <v>80</v>
      </c>
      <c r="H1126" s="71" t="n">
        <v>80</v>
      </c>
      <c r="I1126" s="71" t="n">
        <v>0</v>
      </c>
      <c r="J1126" s="35" t="s">
        <v>1326</v>
      </c>
      <c r="K1126" s="31" t="n">
        <v>35000</v>
      </c>
      <c r="L1126" s="31" t="n">
        <v>75600</v>
      </c>
      <c r="M1126" s="37" t="n">
        <v>4725</v>
      </c>
      <c r="N1126" s="30" t="n">
        <v>18900</v>
      </c>
      <c r="O1126" s="30" t="n">
        <v>75600</v>
      </c>
      <c r="P1126" s="31" t="n">
        <v>0</v>
      </c>
      <c r="Q1126" s="302" t="n">
        <v>45971</v>
      </c>
    </row>
    <row r="1127" customFormat="false" ht="28.35" hidden="true" customHeight="false" outlineLevel="0" collapsed="false">
      <c r="A1127" s="26" t="n">
        <v>3460</v>
      </c>
      <c r="B1127" s="21" t="s">
        <v>396</v>
      </c>
      <c r="C1127" s="21" t="s">
        <v>1280</v>
      </c>
      <c r="D1127" s="34" t="n">
        <v>27355741082</v>
      </c>
      <c r="E1127" s="25" t="n">
        <v>45954</v>
      </c>
      <c r="F1127" s="25" t="n">
        <v>45961</v>
      </c>
      <c r="G1127" s="26" t="n">
        <v>5</v>
      </c>
      <c r="H1127" s="71" t="e">
        <f aca="false">#DIV/0!</f>
        <v>#DIV/0!</v>
      </c>
      <c r="I1127" s="71" t="e">
        <f aca="false">#DIV/0!</f>
        <v>#DIV/0!</v>
      </c>
      <c r="J1127" s="35" t="s">
        <v>538</v>
      </c>
      <c r="K1127" s="36" t="n">
        <v>100000</v>
      </c>
      <c r="L1127" s="36" t="n">
        <v>130000</v>
      </c>
      <c r="M1127" s="37"/>
      <c r="N1127" s="30" t="n">
        <v>130000</v>
      </c>
      <c r="O1127" s="30" t="n">
        <v>130000</v>
      </c>
      <c r="P1127" s="36" t="n">
        <v>0</v>
      </c>
      <c r="Q1127" s="302" t="n">
        <v>45971</v>
      </c>
    </row>
    <row r="1128" customFormat="false" ht="17.9" hidden="true" customHeight="false" outlineLevel="0" collapsed="false">
      <c r="A1128" s="26" t="n">
        <v>3479</v>
      </c>
      <c r="B1128" s="34" t="s">
        <v>429</v>
      </c>
      <c r="C1128" s="34"/>
      <c r="D1128" s="34"/>
      <c r="E1128" s="25" t="n">
        <v>45969</v>
      </c>
      <c r="F1128" s="25" t="n">
        <v>45975</v>
      </c>
      <c r="G1128" s="26" t="n">
        <v>5</v>
      </c>
      <c r="H1128" s="71" t="e">
        <f aca="false">#DIV/0!</f>
        <v>#DIV/0!</v>
      </c>
      <c r="I1128" s="71" t="e">
        <f aca="false">#DIV/0!</f>
        <v>#DIV/0!</v>
      </c>
      <c r="J1128" s="34" t="s">
        <v>580</v>
      </c>
      <c r="K1128" s="46" t="n">
        <v>100000</v>
      </c>
      <c r="L1128" s="36" t="n">
        <v>130000</v>
      </c>
      <c r="M1128" s="37"/>
      <c r="N1128" s="30" t="n">
        <v>130000</v>
      </c>
      <c r="O1128" s="30" t="n">
        <v>130000</v>
      </c>
      <c r="P1128" s="36" t="n">
        <v>0</v>
      </c>
      <c r="Q1128" s="302" t="n">
        <v>45971</v>
      </c>
    </row>
    <row r="1129" customFormat="false" ht="28.35" hidden="true" customHeight="false" outlineLevel="0" collapsed="false">
      <c r="A1129" s="26" t="n">
        <v>3375</v>
      </c>
      <c r="B1129" s="21" t="s">
        <v>430</v>
      </c>
      <c r="C1129" s="21" t="s">
        <v>431</v>
      </c>
      <c r="D1129" s="34"/>
      <c r="E1129" s="25" t="n">
        <v>45899</v>
      </c>
      <c r="F1129" s="25" t="n">
        <v>45982</v>
      </c>
      <c r="G1129" s="26" t="n">
        <v>60</v>
      </c>
      <c r="H1129" s="71" t="n">
        <v>60</v>
      </c>
      <c r="I1129" s="71" t="n">
        <v>0</v>
      </c>
      <c r="J1129" s="65" t="s">
        <v>1327</v>
      </c>
      <c r="K1129" s="46" t="n">
        <v>50000</v>
      </c>
      <c r="L1129" s="36" t="n">
        <v>96000</v>
      </c>
      <c r="M1129" s="37" t="n">
        <v>8000</v>
      </c>
      <c r="N1129" s="30" t="n">
        <v>32000</v>
      </c>
      <c r="O1129" s="30" t="n">
        <v>96000</v>
      </c>
      <c r="P1129" s="36" t="n">
        <v>0</v>
      </c>
      <c r="Q1129" s="302" t="n">
        <v>45971</v>
      </c>
    </row>
    <row r="1130" customFormat="false" ht="28.35" hidden="true" customHeight="false" outlineLevel="0" collapsed="false">
      <c r="A1130" s="26" t="n">
        <v>3081</v>
      </c>
      <c r="B1130" s="21" t="s">
        <v>459</v>
      </c>
      <c r="C1130" s="21" t="s">
        <v>834</v>
      </c>
      <c r="D1130" s="34"/>
      <c r="E1130" s="25" t="n">
        <v>45714</v>
      </c>
      <c r="F1130" s="25" t="n">
        <v>45826</v>
      </c>
      <c r="G1130" s="26" t="n">
        <v>80</v>
      </c>
      <c r="H1130" s="71" t="n">
        <v>80.7407407407408</v>
      </c>
      <c r="I1130" s="71" t="n">
        <v>-0.740740740740748</v>
      </c>
      <c r="J1130" s="35" t="s">
        <v>606</v>
      </c>
      <c r="K1130" s="36" t="n">
        <v>100000</v>
      </c>
      <c r="L1130" s="36" t="n">
        <v>216000</v>
      </c>
      <c r="M1130" s="29" t="n">
        <v>13500</v>
      </c>
      <c r="N1130" s="30" t="n">
        <v>60000</v>
      </c>
      <c r="O1130" s="30" t="n">
        <v>218000</v>
      </c>
      <c r="P1130" s="36" t="n">
        <v>-2000</v>
      </c>
      <c r="Q1130" s="302" t="n">
        <v>45971</v>
      </c>
    </row>
    <row r="1131" customFormat="false" ht="48.5" hidden="true" customHeight="false" outlineLevel="0" collapsed="false">
      <c r="A1131" s="26" t="n">
        <v>3284</v>
      </c>
      <c r="B1131" s="21" t="s">
        <v>466</v>
      </c>
      <c r="C1131" s="21" t="s">
        <v>467</v>
      </c>
      <c r="D1131" s="34" t="n">
        <v>27249921551</v>
      </c>
      <c r="E1131" s="25" t="n">
        <v>45850</v>
      </c>
      <c r="F1131" s="25" t="n">
        <v>45951</v>
      </c>
      <c r="G1131" s="26" t="n">
        <v>72</v>
      </c>
      <c r="H1131" s="71" t="n">
        <v>72</v>
      </c>
      <c r="I1131" s="71" t="n">
        <v>0</v>
      </c>
      <c r="J1131" s="22" t="s">
        <v>266</v>
      </c>
      <c r="K1131" s="31" t="n">
        <v>100000</v>
      </c>
      <c r="L1131" s="31" t="n">
        <v>216000</v>
      </c>
      <c r="M1131" s="29" t="n">
        <v>15000</v>
      </c>
      <c r="N1131" s="30" t="n">
        <v>62700</v>
      </c>
      <c r="O1131" s="30" t="n">
        <v>216000</v>
      </c>
      <c r="P1131" s="36" t="n">
        <v>0</v>
      </c>
      <c r="Q1131" s="302" t="n">
        <v>45971</v>
      </c>
    </row>
    <row r="1132" customFormat="false" ht="28.35" hidden="true" customHeight="false" outlineLevel="0" collapsed="false">
      <c r="A1132" s="26" t="n">
        <v>3101</v>
      </c>
      <c r="B1132" s="21" t="s">
        <v>879</v>
      </c>
      <c r="C1132" s="21" t="s">
        <v>484</v>
      </c>
      <c r="D1132" s="34"/>
      <c r="E1132" s="25" t="n">
        <v>45726</v>
      </c>
      <c r="F1132" s="25" t="n">
        <v>45880</v>
      </c>
      <c r="G1132" s="26" t="n">
        <v>110</v>
      </c>
      <c r="H1132" s="71" t="n">
        <v>113.472222222222</v>
      </c>
      <c r="I1132" s="71" t="n">
        <v>-3.47222222222223</v>
      </c>
      <c r="J1132" s="22" t="s">
        <v>487</v>
      </c>
      <c r="K1132" s="46" t="n">
        <v>150000</v>
      </c>
      <c r="L1132" s="36" t="n">
        <v>396000</v>
      </c>
      <c r="M1132" s="37" t="n">
        <v>18000</v>
      </c>
      <c r="N1132" s="30" t="n">
        <v>36000</v>
      </c>
      <c r="O1132" s="30" t="n">
        <v>408500</v>
      </c>
      <c r="P1132" s="36" t="n">
        <v>-12500</v>
      </c>
      <c r="Q1132" s="302" t="n">
        <v>45971</v>
      </c>
    </row>
    <row r="1133" customFormat="false" ht="14.25" hidden="true" customHeight="false" outlineLevel="0" collapsed="false">
      <c r="A1133" s="26" t="n">
        <v>3433</v>
      </c>
      <c r="B1133" s="21" t="s">
        <v>504</v>
      </c>
      <c r="C1133" s="21"/>
      <c r="D1133" s="34"/>
      <c r="E1133" s="25" t="n">
        <v>45939</v>
      </c>
      <c r="F1133" s="25" t="n">
        <v>45953</v>
      </c>
      <c r="G1133" s="26" t="n">
        <v>10</v>
      </c>
      <c r="H1133" s="71" t="e">
        <f aca="false">#DIV/0!</f>
        <v>#DIV/0!</v>
      </c>
      <c r="I1133" s="71" t="e">
        <f aca="false">#DIV/0!</f>
        <v>#DIV/0!</v>
      </c>
      <c r="J1133" s="35" t="s">
        <v>538</v>
      </c>
      <c r="K1133" s="36" t="n">
        <v>100000</v>
      </c>
      <c r="L1133" s="36" t="n">
        <v>150000</v>
      </c>
      <c r="M1133" s="29"/>
      <c r="N1133" s="30" t="n">
        <v>150000</v>
      </c>
      <c r="O1133" s="30" t="n">
        <v>150000</v>
      </c>
      <c r="P1133" s="36" t="n">
        <v>0</v>
      </c>
      <c r="Q1133" s="302" t="n">
        <v>45971</v>
      </c>
    </row>
    <row r="1134" customFormat="false" ht="14.25" hidden="true" customHeight="false" outlineLevel="0" collapsed="false">
      <c r="A1134" s="26" t="n">
        <v>3439</v>
      </c>
      <c r="B1134" s="21" t="s">
        <v>504</v>
      </c>
      <c r="C1134" s="21"/>
      <c r="D1134" s="34"/>
      <c r="E1134" s="25" t="n">
        <v>45943</v>
      </c>
      <c r="F1134" s="25" t="n">
        <v>45971</v>
      </c>
      <c r="G1134" s="26" t="n">
        <v>20</v>
      </c>
      <c r="H1134" s="71" t="e">
        <f aca="false">#DIV/0!</f>
        <v>#DIV/0!</v>
      </c>
      <c r="I1134" s="71" t="e">
        <f aca="false">#DIV/0!</f>
        <v>#DIV/0!</v>
      </c>
      <c r="J1134" s="35" t="s">
        <v>538</v>
      </c>
      <c r="K1134" s="58" t="n">
        <v>50000</v>
      </c>
      <c r="L1134" s="36" t="n">
        <v>80000</v>
      </c>
      <c r="M1134" s="29"/>
      <c r="N1134" s="30" t="n">
        <v>80000</v>
      </c>
      <c r="O1134" s="30" t="n">
        <v>80000</v>
      </c>
      <c r="P1134" s="36" t="n">
        <v>0</v>
      </c>
      <c r="Q1134" s="302" t="n">
        <v>45971</v>
      </c>
    </row>
    <row r="1135" customFormat="false" ht="14.9" hidden="true" customHeight="false" outlineLevel="0" collapsed="false">
      <c r="A1135" s="26" t="n">
        <v>3434</v>
      </c>
      <c r="B1135" s="21" t="s">
        <v>1285</v>
      </c>
      <c r="C1135" s="21"/>
      <c r="D1135" s="34"/>
      <c r="E1135" s="25" t="n">
        <v>45939</v>
      </c>
      <c r="F1135" s="25" t="n">
        <v>45820</v>
      </c>
      <c r="G1135" s="26" t="n">
        <v>20</v>
      </c>
      <c r="H1135" s="71" t="e">
        <f aca="false">#DIV/0!</f>
        <v>#DIV/0!</v>
      </c>
      <c r="I1135" s="71" t="e">
        <f aca="false">#DIV/0!</f>
        <v>#DIV/0!</v>
      </c>
      <c r="J1135" s="35" t="s">
        <v>538</v>
      </c>
      <c r="K1135" s="36" t="n">
        <v>100000</v>
      </c>
      <c r="L1135" s="36" t="n">
        <v>150000</v>
      </c>
      <c r="M1135" s="29"/>
      <c r="N1135" s="30" t="n">
        <v>150000</v>
      </c>
      <c r="O1135" s="30" t="n">
        <v>150000</v>
      </c>
      <c r="P1135" s="36" t="n">
        <v>0</v>
      </c>
      <c r="Q1135" s="302" t="n">
        <v>45971</v>
      </c>
    </row>
    <row r="1136" customFormat="false" ht="14.25" hidden="true" customHeight="false" outlineLevel="0" collapsed="false">
      <c r="A1136" s="26" t="n">
        <v>3435</v>
      </c>
      <c r="B1136" s="34" t="s">
        <v>537</v>
      </c>
      <c r="C1136" s="21"/>
      <c r="D1136" s="34"/>
      <c r="E1136" s="25" t="n">
        <v>45939</v>
      </c>
      <c r="F1136" s="25" t="n">
        <v>45967</v>
      </c>
      <c r="G1136" s="26" t="n">
        <v>20</v>
      </c>
      <c r="H1136" s="71" t="e">
        <f aca="false">#DIV/0!</f>
        <v>#DIV/0!</v>
      </c>
      <c r="I1136" s="71" t="e">
        <f aca="false">#DIV/0!</f>
        <v>#DIV/0!</v>
      </c>
      <c r="J1136" s="35" t="s">
        <v>538</v>
      </c>
      <c r="K1136" s="36" t="n">
        <v>220000</v>
      </c>
      <c r="L1136" s="36" t="n">
        <v>352000</v>
      </c>
      <c r="M1136" s="37"/>
      <c r="N1136" s="30" t="n">
        <v>352000</v>
      </c>
      <c r="O1136" s="30" t="n">
        <v>352000</v>
      </c>
      <c r="P1136" s="36" t="n">
        <v>0</v>
      </c>
      <c r="Q1136" s="302" t="n">
        <v>45971</v>
      </c>
    </row>
    <row r="1137" customFormat="false" ht="14.25" hidden="true" customHeight="false" outlineLevel="0" collapsed="false">
      <c r="A1137" s="26" t="n">
        <v>3468</v>
      </c>
      <c r="B1137" s="34" t="s">
        <v>537</v>
      </c>
      <c r="C1137" s="21"/>
      <c r="D1137" s="34"/>
      <c r="E1137" s="25" t="n">
        <v>45959</v>
      </c>
      <c r="F1137" s="25" t="n">
        <v>45987</v>
      </c>
      <c r="G1137" s="26" t="n">
        <v>20</v>
      </c>
      <c r="H1137" s="71" t="e">
        <f aca="false">#DIV/0!</f>
        <v>#DIV/0!</v>
      </c>
      <c r="I1137" s="71" t="e">
        <f aca="false">#DIV/0!</f>
        <v>#DIV/0!</v>
      </c>
      <c r="J1137" s="35" t="s">
        <v>538</v>
      </c>
      <c r="K1137" s="36" t="n">
        <v>20000</v>
      </c>
      <c r="L1137" s="36" t="n">
        <v>32000</v>
      </c>
      <c r="M1137" s="37"/>
      <c r="N1137" s="30" t="n">
        <v>32000</v>
      </c>
      <c r="O1137" s="30" t="n">
        <v>32000</v>
      </c>
      <c r="P1137" s="36" t="n">
        <v>0</v>
      </c>
      <c r="Q1137" s="302" t="n">
        <v>45971</v>
      </c>
    </row>
    <row r="1138" customFormat="false" ht="14.25" hidden="true" customHeight="false" outlineLevel="0" collapsed="false">
      <c r="A1138" s="26" t="n">
        <v>3470</v>
      </c>
      <c r="B1138" s="34" t="s">
        <v>537</v>
      </c>
      <c r="C1138" s="21"/>
      <c r="D1138" s="34"/>
      <c r="E1138" s="25" t="n">
        <v>45960</v>
      </c>
      <c r="F1138" s="25" t="n">
        <v>45988</v>
      </c>
      <c r="G1138" s="26" t="n">
        <v>20</v>
      </c>
      <c r="H1138" s="71" t="e">
        <f aca="false">#DIV/0!</f>
        <v>#DIV/0!</v>
      </c>
      <c r="I1138" s="71" t="e">
        <f aca="false">#DIV/0!</f>
        <v>#DIV/0!</v>
      </c>
      <c r="J1138" s="35" t="s">
        <v>538</v>
      </c>
      <c r="K1138" s="36" t="n">
        <v>15000</v>
      </c>
      <c r="L1138" s="36" t="n">
        <v>24000</v>
      </c>
      <c r="M1138" s="37"/>
      <c r="N1138" s="30" t="n">
        <v>24000</v>
      </c>
      <c r="O1138" s="30" t="n">
        <v>24000</v>
      </c>
      <c r="P1138" s="36" t="n">
        <v>0</v>
      </c>
      <c r="Q1138" s="302" t="n">
        <v>45971</v>
      </c>
    </row>
    <row r="1139" customFormat="false" ht="14.9" hidden="true" customHeight="false" outlineLevel="0" collapsed="false">
      <c r="A1139" s="26" t="n">
        <v>3324</v>
      </c>
      <c r="B1139" s="21" t="s">
        <v>581</v>
      </c>
      <c r="C1139" s="21" t="s">
        <v>582</v>
      </c>
      <c r="D1139" s="44"/>
      <c r="E1139" s="25" t="n">
        <v>45868</v>
      </c>
      <c r="F1139" s="25" t="n">
        <v>45968</v>
      </c>
      <c r="G1139" s="26" t="n">
        <v>72</v>
      </c>
      <c r="H1139" s="71" t="n">
        <v>72</v>
      </c>
      <c r="I1139" s="71" t="n">
        <v>0</v>
      </c>
      <c r="J1139" s="22" t="s">
        <v>244</v>
      </c>
      <c r="K1139" s="36" t="n">
        <v>200000</v>
      </c>
      <c r="L1139" s="36" t="n">
        <v>432000</v>
      </c>
      <c r="M1139" s="37" t="n">
        <v>30000</v>
      </c>
      <c r="N1139" s="30" t="n">
        <v>42000</v>
      </c>
      <c r="O1139" s="30" t="n">
        <v>432000</v>
      </c>
      <c r="P1139" s="36" t="n">
        <v>0</v>
      </c>
      <c r="Q1139" s="302" t="n">
        <v>45971</v>
      </c>
    </row>
    <row r="1140" customFormat="false" ht="14.9" hidden="true" customHeight="false" outlineLevel="0" collapsed="false">
      <c r="A1140" s="20" t="n">
        <v>3239</v>
      </c>
      <c r="B1140" s="21" t="s">
        <v>336</v>
      </c>
      <c r="C1140" s="21" t="s">
        <v>337</v>
      </c>
      <c r="D1140" s="34"/>
      <c r="E1140" s="25" t="n">
        <v>45821</v>
      </c>
      <c r="F1140" s="25" t="n">
        <v>45989</v>
      </c>
      <c r="G1140" s="26" t="n">
        <v>120</v>
      </c>
      <c r="H1140" s="71" t="n">
        <v>120</v>
      </c>
      <c r="I1140" s="71" t="n">
        <v>0</v>
      </c>
      <c r="J1140" s="35" t="s">
        <v>1188</v>
      </c>
      <c r="K1140" s="36" t="n">
        <v>50000</v>
      </c>
      <c r="L1140" s="36" t="n">
        <v>132000</v>
      </c>
      <c r="M1140" s="37" t="n">
        <v>5500</v>
      </c>
      <c r="N1140" s="30" t="n">
        <v>22000</v>
      </c>
      <c r="O1140" s="30" t="n">
        <v>132000</v>
      </c>
      <c r="P1140" s="36" t="n">
        <v>0</v>
      </c>
      <c r="Q1140" s="302" t="n">
        <v>45978</v>
      </c>
    </row>
    <row r="1141" customFormat="false" ht="14.9" hidden="true" customHeight="false" outlineLevel="0" collapsed="false">
      <c r="A1141" s="20" t="n">
        <v>3292</v>
      </c>
      <c r="B1141" s="21" t="s">
        <v>336</v>
      </c>
      <c r="C1141" s="21" t="s">
        <v>337</v>
      </c>
      <c r="D1141" s="34"/>
      <c r="E1141" s="25" t="n">
        <v>45854</v>
      </c>
      <c r="F1141" s="25" t="n">
        <v>45966</v>
      </c>
      <c r="G1141" s="26" t="n">
        <v>80</v>
      </c>
      <c r="H1141" s="71" t="n">
        <v>80</v>
      </c>
      <c r="I1141" s="71" t="n">
        <v>0</v>
      </c>
      <c r="J1141" s="35" t="s">
        <v>954</v>
      </c>
      <c r="K1141" s="36" t="n">
        <v>20000</v>
      </c>
      <c r="L1141" s="36" t="n">
        <v>43200</v>
      </c>
      <c r="M1141" s="37" t="n">
        <v>2700</v>
      </c>
      <c r="N1141" s="30" t="n">
        <v>10800</v>
      </c>
      <c r="O1141" s="30" t="n">
        <v>43200</v>
      </c>
      <c r="P1141" s="36" t="n">
        <v>0</v>
      </c>
      <c r="Q1141" s="302" t="n">
        <v>45978</v>
      </c>
    </row>
    <row r="1142" customFormat="false" ht="21.6" hidden="true" customHeight="false" outlineLevel="0" collapsed="false">
      <c r="A1142" s="20" t="n">
        <v>2575</v>
      </c>
      <c r="B1142" s="21" t="s">
        <v>356</v>
      </c>
      <c r="C1142" s="21" t="s">
        <v>357</v>
      </c>
      <c r="D1142" s="34" t="s">
        <v>358</v>
      </c>
      <c r="E1142" s="25" t="n">
        <v>45397</v>
      </c>
      <c r="F1142" s="25" t="n">
        <v>45565</v>
      </c>
      <c r="G1142" s="26" t="n">
        <v>120</v>
      </c>
      <c r="H1142" s="71" t="n">
        <v>148.068965517241</v>
      </c>
      <c r="I1142" s="71" t="n">
        <v>-28.0689655172414</v>
      </c>
      <c r="J1142" s="35" t="s">
        <v>1328</v>
      </c>
      <c r="K1142" s="36" t="n">
        <v>150000</v>
      </c>
      <c r="L1142" s="36" t="n">
        <v>435000</v>
      </c>
      <c r="M1142" s="29" t="n">
        <v>18125</v>
      </c>
      <c r="N1142" s="30" t="n">
        <v>300000</v>
      </c>
      <c r="O1142" s="30" t="n">
        <v>536750</v>
      </c>
      <c r="P1142" s="36" t="n">
        <v>-101750</v>
      </c>
      <c r="Q1142" s="302" t="n">
        <v>45978</v>
      </c>
    </row>
    <row r="1143" customFormat="false" ht="21.6" hidden="true" customHeight="false" outlineLevel="0" collapsed="false">
      <c r="A1143" s="26" t="n">
        <v>3280</v>
      </c>
      <c r="B1143" s="21" t="s">
        <v>1329</v>
      </c>
      <c r="C1143" s="21" t="s">
        <v>386</v>
      </c>
      <c r="D1143" s="34"/>
      <c r="E1143" s="25" t="n">
        <v>45847</v>
      </c>
      <c r="F1143" s="25" t="n">
        <v>45959</v>
      </c>
      <c r="G1143" s="26" t="n">
        <v>80</v>
      </c>
      <c r="H1143" s="71" t="n">
        <v>80.1234567901235</v>
      </c>
      <c r="I1143" s="71" t="n">
        <v>-0.123456790123456</v>
      </c>
      <c r="J1143" s="35" t="s">
        <v>390</v>
      </c>
      <c r="K1143" s="36" t="n">
        <v>30000</v>
      </c>
      <c r="L1143" s="36" t="n">
        <v>64800</v>
      </c>
      <c r="M1143" s="37" t="n">
        <v>4050</v>
      </c>
      <c r="N1143" s="30" t="n">
        <v>16300</v>
      </c>
      <c r="O1143" s="30" t="n">
        <v>64900</v>
      </c>
      <c r="P1143" s="36" t="n">
        <v>-100</v>
      </c>
      <c r="Q1143" s="302" t="n">
        <v>45978</v>
      </c>
    </row>
    <row r="1144" customFormat="false" ht="17.9" hidden="true" customHeight="false" outlineLevel="0" collapsed="false">
      <c r="A1144" s="26" t="n">
        <v>3497</v>
      </c>
      <c r="B1144" s="34" t="s">
        <v>429</v>
      </c>
      <c r="C1144" s="34"/>
      <c r="D1144" s="34"/>
      <c r="E1144" s="25" t="n">
        <v>45976</v>
      </c>
      <c r="F1144" s="25" t="n">
        <v>45982</v>
      </c>
      <c r="G1144" s="26" t="n">
        <v>5</v>
      </c>
      <c r="H1144" s="71" t="e">
        <f aca="false">#DIV/0!</f>
        <v>#DIV/0!</v>
      </c>
      <c r="I1144" s="71" t="e">
        <f aca="false">#DIV/0!</f>
        <v>#DIV/0!</v>
      </c>
      <c r="J1144" s="34" t="s">
        <v>580</v>
      </c>
      <c r="K1144" s="46" t="n">
        <v>100000</v>
      </c>
      <c r="L1144" s="36" t="n">
        <v>130000</v>
      </c>
      <c r="M1144" s="37"/>
      <c r="N1144" s="30" t="n">
        <v>130000</v>
      </c>
      <c r="O1144" s="30" t="n">
        <v>130000</v>
      </c>
      <c r="P1144" s="36" t="n">
        <v>0</v>
      </c>
      <c r="Q1144" s="302" t="n">
        <v>45978</v>
      </c>
    </row>
    <row r="1145" customFormat="false" ht="14.9" hidden="true" customHeight="false" outlineLevel="0" collapsed="false">
      <c r="A1145" s="26" t="n">
        <v>3237</v>
      </c>
      <c r="B1145" s="21" t="s">
        <v>519</v>
      </c>
      <c r="C1145" s="21" t="s">
        <v>520</v>
      </c>
      <c r="D1145" s="34"/>
      <c r="E1145" s="25" t="n">
        <v>45819</v>
      </c>
      <c r="F1145" s="25" t="n">
        <v>45919</v>
      </c>
      <c r="G1145" s="26" t="n">
        <v>72</v>
      </c>
      <c r="H1145" s="71" t="n">
        <v>72.3333333333333</v>
      </c>
      <c r="I1145" s="71" t="n">
        <v>-0.333333333333329</v>
      </c>
      <c r="J1145" s="22" t="s">
        <v>381</v>
      </c>
      <c r="K1145" s="36" t="n">
        <v>50000</v>
      </c>
      <c r="L1145" s="36" t="n">
        <v>108000</v>
      </c>
      <c r="M1145" s="37" t="n">
        <v>7500</v>
      </c>
      <c r="N1145" s="30" t="n">
        <v>7500</v>
      </c>
      <c r="O1145" s="30" t="n">
        <v>108500</v>
      </c>
      <c r="P1145" s="36" t="n">
        <v>-500</v>
      </c>
      <c r="Q1145" s="302" t="n">
        <v>45978</v>
      </c>
    </row>
    <row r="1146" customFormat="false" ht="26.1" hidden="true" customHeight="false" outlineLevel="0" collapsed="false">
      <c r="A1146" s="26" t="n">
        <v>3332</v>
      </c>
      <c r="B1146" s="34" t="s">
        <v>636</v>
      </c>
      <c r="C1146" s="34" t="s">
        <v>637</v>
      </c>
      <c r="D1146" s="34"/>
      <c r="E1146" s="25" t="n">
        <v>45876</v>
      </c>
      <c r="F1146" s="25" t="n">
        <v>45978</v>
      </c>
      <c r="G1146" s="26" t="n">
        <v>72</v>
      </c>
      <c r="H1146" s="71" t="n">
        <v>72</v>
      </c>
      <c r="I1146" s="71" t="n">
        <v>0</v>
      </c>
      <c r="J1146" s="22" t="s">
        <v>792</v>
      </c>
      <c r="K1146" s="36" t="n">
        <v>60000</v>
      </c>
      <c r="L1146" s="36" t="n">
        <v>129600</v>
      </c>
      <c r="M1146" s="29" t="n">
        <v>9000</v>
      </c>
      <c r="N1146" s="30" t="n">
        <v>3600</v>
      </c>
      <c r="O1146" s="30" t="n">
        <v>129600</v>
      </c>
      <c r="P1146" s="36" t="n">
        <v>0</v>
      </c>
      <c r="Q1146" s="302" t="n">
        <v>45978</v>
      </c>
    </row>
    <row r="1147" customFormat="false" ht="21.6" hidden="true" customHeight="false" outlineLevel="0" collapsed="false">
      <c r="A1147" s="26" t="n">
        <v>3318</v>
      </c>
      <c r="B1147" s="21" t="s">
        <v>450</v>
      </c>
      <c r="C1147" s="21" t="s">
        <v>451</v>
      </c>
      <c r="D1147" s="34"/>
      <c r="E1147" s="25" t="n">
        <v>45864</v>
      </c>
      <c r="F1147" s="25" t="n">
        <f aca="false">WORKDAY(E1147,G1147)</f>
        <v>45965</v>
      </c>
      <c r="G1147" s="26" t="n">
        <v>72</v>
      </c>
      <c r="H1147" s="71" t="n">
        <f aca="false">(FS1147* 5)/M1147</f>
        <v>0</v>
      </c>
      <c r="I1147" s="71" t="n">
        <f aca="false">G1147-H1147</f>
        <v>72</v>
      </c>
      <c r="J1147" s="22" t="s">
        <v>381</v>
      </c>
      <c r="K1147" s="46" t="n">
        <v>10000</v>
      </c>
      <c r="L1147" s="36" t="n">
        <v>21600</v>
      </c>
      <c r="M1147" s="37" t="n">
        <f aca="false">(L1147/G1147)*5</f>
        <v>1500</v>
      </c>
      <c r="N1147" s="30" t="n">
        <v>7100</v>
      </c>
      <c r="O1147" s="30" t="n">
        <v>21600</v>
      </c>
      <c r="P1147" s="36" t="n">
        <v>0</v>
      </c>
      <c r="Q1147" s="302" t="n">
        <v>45985</v>
      </c>
    </row>
    <row r="1148" customFormat="false" ht="14.9" hidden="true" customHeight="false" outlineLevel="0" collapsed="false">
      <c r="A1148" s="26" t="n">
        <v>3155</v>
      </c>
      <c r="B1148" s="21" t="s">
        <v>374</v>
      </c>
      <c r="C1148" s="21"/>
      <c r="D1148" s="34"/>
      <c r="E1148" s="25" t="n">
        <v>45764</v>
      </c>
      <c r="F1148" s="25" t="n">
        <v>45876</v>
      </c>
      <c r="G1148" s="26" t="n">
        <v>80</v>
      </c>
      <c r="H1148" s="71" t="n">
        <v>80</v>
      </c>
      <c r="I1148" s="71" t="n">
        <v>0</v>
      </c>
      <c r="J1148" s="35" t="s">
        <v>376</v>
      </c>
      <c r="K1148" s="31" t="n">
        <v>100000</v>
      </c>
      <c r="L1148" s="31" t="n">
        <v>216000</v>
      </c>
      <c r="M1148" s="37" t="n">
        <v>13500</v>
      </c>
      <c r="N1148" s="30" t="n">
        <v>54000</v>
      </c>
      <c r="O1148" s="30" t="n">
        <v>216000</v>
      </c>
      <c r="P1148" s="36" t="n">
        <v>0</v>
      </c>
      <c r="Q1148" s="302" t="n">
        <v>45992</v>
      </c>
    </row>
    <row r="1149" customFormat="false" ht="14.9" hidden="true" customHeight="false" outlineLevel="0" collapsed="false">
      <c r="A1149" s="26" t="n">
        <v>3250</v>
      </c>
      <c r="B1149" s="21" t="s">
        <v>392</v>
      </c>
      <c r="C1149" s="21" t="s">
        <v>393</v>
      </c>
      <c r="D1149" s="34"/>
      <c r="E1149" s="25" t="n">
        <v>45827</v>
      </c>
      <c r="F1149" s="25" t="n">
        <v>45995</v>
      </c>
      <c r="G1149" s="26" t="n">
        <v>120</v>
      </c>
      <c r="H1149" s="71" t="n">
        <v>120.045454545455</v>
      </c>
      <c r="I1149" s="71" t="n">
        <v>-0.0454545454545467</v>
      </c>
      <c r="J1149" s="35" t="s">
        <v>743</v>
      </c>
      <c r="K1149" s="31" t="n">
        <v>200000</v>
      </c>
      <c r="L1149" s="31" t="n">
        <v>528000</v>
      </c>
      <c r="M1149" s="37" t="n">
        <v>22000</v>
      </c>
      <c r="N1149" s="30" t="n">
        <v>88000</v>
      </c>
      <c r="O1149" s="30" t="n">
        <v>528200</v>
      </c>
      <c r="P1149" s="36" t="n">
        <v>-200</v>
      </c>
      <c r="Q1149" s="302" t="n">
        <v>45992</v>
      </c>
    </row>
    <row r="1150" customFormat="false" ht="17.9" hidden="true" customHeight="false" outlineLevel="0" collapsed="false">
      <c r="A1150" s="26" t="n">
        <v>3508</v>
      </c>
      <c r="B1150" s="34" t="s">
        <v>429</v>
      </c>
      <c r="C1150" s="34"/>
      <c r="D1150" s="34"/>
      <c r="E1150" s="25" t="n">
        <v>45982</v>
      </c>
      <c r="F1150" s="25" t="n">
        <v>45989</v>
      </c>
      <c r="G1150" s="26" t="n">
        <v>5</v>
      </c>
      <c r="H1150" s="71" t="e">
        <f aca="false">#DIV/0!</f>
        <v>#DIV/0!</v>
      </c>
      <c r="I1150" s="71" t="e">
        <f aca="false">#DIV/0!</f>
        <v>#DIV/0!</v>
      </c>
      <c r="J1150" s="34" t="s">
        <v>580</v>
      </c>
      <c r="K1150" s="46" t="n">
        <v>200000</v>
      </c>
      <c r="L1150" s="36" t="n">
        <v>260000</v>
      </c>
      <c r="M1150" s="37"/>
      <c r="N1150" s="30" t="n">
        <v>260000</v>
      </c>
      <c r="O1150" s="30" t="n">
        <v>260000</v>
      </c>
      <c r="P1150" s="36" t="n">
        <v>0</v>
      </c>
      <c r="Q1150" s="302" t="n">
        <v>45992</v>
      </c>
    </row>
    <row r="1151" customFormat="false" ht="35.05" hidden="true" customHeight="false" outlineLevel="0" collapsed="false">
      <c r="A1151" s="26" t="n">
        <v>3077</v>
      </c>
      <c r="B1151" s="21" t="s">
        <v>1212</v>
      </c>
      <c r="C1151" s="21" t="s">
        <v>1213</v>
      </c>
      <c r="D1151" s="34" t="n">
        <v>39446403</v>
      </c>
      <c r="E1151" s="25" t="n">
        <v>45717</v>
      </c>
      <c r="F1151" s="25" t="n">
        <v>45870</v>
      </c>
      <c r="G1151" s="26" t="n">
        <v>110</v>
      </c>
      <c r="H1151" s="71" t="n">
        <v>118.958333333333</v>
      </c>
      <c r="I1151" s="71" t="n">
        <v>-8.95833333333333</v>
      </c>
      <c r="J1151" s="35" t="s">
        <v>1330</v>
      </c>
      <c r="K1151" s="36" t="n">
        <v>200000</v>
      </c>
      <c r="L1151" s="36" t="n">
        <v>528000</v>
      </c>
      <c r="M1151" s="37" t="n">
        <v>24000</v>
      </c>
      <c r="N1151" s="30" t="n">
        <v>100000</v>
      </c>
      <c r="O1151" s="30" t="n">
        <v>571000</v>
      </c>
      <c r="P1151" s="36" t="n">
        <v>-43000</v>
      </c>
      <c r="Q1151" s="302" t="n">
        <v>45992</v>
      </c>
    </row>
    <row r="1152" customFormat="false" ht="28.35" hidden="true" customHeight="false" outlineLevel="0" collapsed="false">
      <c r="A1152" s="26" t="n">
        <v>3018</v>
      </c>
      <c r="B1152" s="21" t="s">
        <v>507</v>
      </c>
      <c r="C1152" s="21" t="s">
        <v>508</v>
      </c>
      <c r="D1152" s="34"/>
      <c r="E1152" s="25" t="n">
        <v>45680</v>
      </c>
      <c r="F1152" s="25" t="n">
        <v>45960</v>
      </c>
      <c r="G1152" s="26" t="n">
        <v>200</v>
      </c>
      <c r="H1152" s="71" t="n">
        <v>200</v>
      </c>
      <c r="I1152" s="71" t="n">
        <v>0</v>
      </c>
      <c r="J1152" s="35" t="s">
        <v>1331</v>
      </c>
      <c r="K1152" s="36" t="n">
        <v>500000</v>
      </c>
      <c r="L1152" s="36" t="n">
        <v>1680000</v>
      </c>
      <c r="M1152" s="37" t="n">
        <v>42000</v>
      </c>
      <c r="N1152" s="30" t="n">
        <v>168000</v>
      </c>
      <c r="O1152" s="30" t="n">
        <v>1680000</v>
      </c>
      <c r="P1152" s="36" t="n">
        <v>0</v>
      </c>
      <c r="Q1152" s="302" t="n">
        <v>45992</v>
      </c>
    </row>
    <row r="1153" customFormat="false" ht="21.6" hidden="true" customHeight="false" outlineLevel="0" collapsed="false">
      <c r="A1153" s="26" t="n">
        <v>3248</v>
      </c>
      <c r="B1153" s="21" t="s">
        <v>555</v>
      </c>
      <c r="C1153" s="21" t="s">
        <v>556</v>
      </c>
      <c r="D1153" s="34"/>
      <c r="E1153" s="25" t="n">
        <v>45826</v>
      </c>
      <c r="F1153" s="25" t="n">
        <v>45926</v>
      </c>
      <c r="G1153" s="26" t="n">
        <v>72</v>
      </c>
      <c r="H1153" s="71" t="n">
        <v>75</v>
      </c>
      <c r="I1153" s="71" t="n">
        <v>-3</v>
      </c>
      <c r="J1153" s="22" t="s">
        <v>996</v>
      </c>
      <c r="K1153" s="31" t="n">
        <v>70000</v>
      </c>
      <c r="L1153" s="31" t="n">
        <v>151200</v>
      </c>
      <c r="M1153" s="29" t="n">
        <v>10500</v>
      </c>
      <c r="N1153" s="30" t="n">
        <v>20000</v>
      </c>
      <c r="O1153" s="30" t="n">
        <v>157500</v>
      </c>
      <c r="P1153" s="36" t="n">
        <v>-6300</v>
      </c>
      <c r="Q1153" s="302" t="n">
        <v>45992</v>
      </c>
    </row>
    <row r="1154" customFormat="false" ht="28.35" hidden="true" customHeight="false" outlineLevel="0" collapsed="false">
      <c r="A1154" s="26" t="n">
        <v>3235</v>
      </c>
      <c r="B1154" s="21" t="s">
        <v>574</v>
      </c>
      <c r="C1154" s="21" t="s">
        <v>575</v>
      </c>
      <c r="D1154" s="34"/>
      <c r="E1154" s="25" t="n">
        <v>45818</v>
      </c>
      <c r="F1154" s="25" t="n">
        <v>45972</v>
      </c>
      <c r="G1154" s="26" t="n">
        <v>110</v>
      </c>
      <c r="H1154" s="71" t="n">
        <v>110</v>
      </c>
      <c r="I1154" s="71" t="n">
        <v>0</v>
      </c>
      <c r="J1154" s="22" t="s">
        <v>487</v>
      </c>
      <c r="K1154" s="36" t="n">
        <v>150000</v>
      </c>
      <c r="L1154" s="36" t="n">
        <v>396000</v>
      </c>
      <c r="M1154" s="29" t="n">
        <v>18000</v>
      </c>
      <c r="N1154" s="30" t="n">
        <v>18000</v>
      </c>
      <c r="O1154" s="30" t="n">
        <v>396000</v>
      </c>
      <c r="P1154" s="36" t="n">
        <v>0</v>
      </c>
      <c r="Q1154" s="302" t="n">
        <v>45992</v>
      </c>
    </row>
    <row r="1155" customFormat="false" ht="28.35" hidden="true" customHeight="false" outlineLevel="0" collapsed="false">
      <c r="A1155" s="20" t="n">
        <v>3343</v>
      </c>
      <c r="B1155" s="21" t="s">
        <v>218</v>
      </c>
      <c r="C1155" s="21" t="s">
        <v>219</v>
      </c>
      <c r="D1155" s="34"/>
      <c r="E1155" s="25" t="n">
        <v>45880</v>
      </c>
      <c r="F1155" s="25" t="n">
        <v>45992</v>
      </c>
      <c r="G1155" s="26" t="n">
        <v>80</v>
      </c>
      <c r="H1155" s="71" t="n">
        <v>80</v>
      </c>
      <c r="I1155" s="71" t="n">
        <v>0</v>
      </c>
      <c r="J1155" s="35" t="s">
        <v>1332</v>
      </c>
      <c r="K1155" s="66" t="n">
        <v>100000</v>
      </c>
      <c r="L1155" s="31" t="n">
        <v>216000</v>
      </c>
      <c r="M1155" s="37" t="n">
        <v>13500</v>
      </c>
      <c r="N1155" s="30" t="n">
        <v>54000</v>
      </c>
      <c r="O1155" s="30" t="n">
        <v>216000</v>
      </c>
      <c r="P1155" s="31" t="n">
        <v>0</v>
      </c>
      <c r="Q1155" s="302" t="n">
        <v>45999</v>
      </c>
    </row>
    <row r="1156" customFormat="false" ht="21.6" hidden="true" customHeight="false" outlineLevel="0" collapsed="false">
      <c r="A1156" s="20" t="n">
        <v>3474</v>
      </c>
      <c r="B1156" s="21" t="s">
        <v>230</v>
      </c>
      <c r="C1156" s="21" t="s">
        <v>231</v>
      </c>
      <c r="D1156" s="34"/>
      <c r="E1156" s="25" t="n">
        <v>45962</v>
      </c>
      <c r="F1156" s="25" t="n">
        <v>46001</v>
      </c>
      <c r="G1156" s="26" t="n">
        <v>28</v>
      </c>
      <c r="H1156" s="71" t="e">
        <f aca="false">#VALUE!</f>
        <v>#VALUE!</v>
      </c>
      <c r="I1156" s="71" t="e">
        <f aca="false">#VALUE!</f>
        <v>#VALUE!</v>
      </c>
      <c r="J1156" s="35" t="s">
        <v>580</v>
      </c>
      <c r="K1156" s="36" t="n">
        <v>100000</v>
      </c>
      <c r="L1156" s="36" t="n">
        <v>160000</v>
      </c>
      <c r="M1156" s="37" t="s">
        <v>214</v>
      </c>
      <c r="N1156" s="30" t="n">
        <v>160000</v>
      </c>
      <c r="O1156" s="30" t="n">
        <v>160000</v>
      </c>
      <c r="P1156" s="31" t="n">
        <v>0</v>
      </c>
      <c r="Q1156" s="302" t="n">
        <v>45999</v>
      </c>
    </row>
    <row r="1157" customFormat="false" ht="21.6" hidden="true" customHeight="false" outlineLevel="0" collapsed="false">
      <c r="A1157" s="20" t="n">
        <v>3279</v>
      </c>
      <c r="B1157" s="21" t="s">
        <v>249</v>
      </c>
      <c r="C1157" s="21" t="s">
        <v>250</v>
      </c>
      <c r="D1157" s="34" t="n">
        <v>27252034574</v>
      </c>
      <c r="E1157" s="25" t="n">
        <v>45846</v>
      </c>
      <c r="F1157" s="25" t="n">
        <v>45874</v>
      </c>
      <c r="G1157" s="26" t="n">
        <v>20</v>
      </c>
      <c r="H1157" s="71" t="n">
        <v>20.2564102564103</v>
      </c>
      <c r="I1157" s="71" t="n">
        <v>-0.256410256410256</v>
      </c>
      <c r="J1157" s="22" t="s">
        <v>1333</v>
      </c>
      <c r="K1157" s="57" t="n">
        <v>150000</v>
      </c>
      <c r="L1157" s="36" t="n">
        <v>234000</v>
      </c>
      <c r="M1157" s="37" t="n">
        <v>58500</v>
      </c>
      <c r="N1157" s="30" t="n">
        <v>68000</v>
      </c>
      <c r="O1157" s="30" t="n">
        <v>237000</v>
      </c>
      <c r="P1157" s="31" t="n">
        <v>-3000</v>
      </c>
      <c r="Q1157" s="302" t="n">
        <v>45999</v>
      </c>
    </row>
    <row r="1158" customFormat="false" ht="21.6" hidden="true" customHeight="false" outlineLevel="0" collapsed="false">
      <c r="A1158" s="20" t="n">
        <v>3391</v>
      </c>
      <c r="B1158" s="21" t="s">
        <v>256</v>
      </c>
      <c r="C1158" s="21" t="s">
        <v>257</v>
      </c>
      <c r="D1158" s="34"/>
      <c r="E1158" s="25" t="n">
        <v>45912</v>
      </c>
      <c r="F1158" s="25" t="n">
        <v>46014</v>
      </c>
      <c r="G1158" s="26" t="n">
        <v>72</v>
      </c>
      <c r="H1158" s="71" t="n">
        <v>72</v>
      </c>
      <c r="I1158" s="71" t="n">
        <v>0</v>
      </c>
      <c r="J1158" s="22" t="s">
        <v>1334</v>
      </c>
      <c r="K1158" s="36" t="n">
        <v>290000</v>
      </c>
      <c r="L1158" s="36" t="n">
        <v>626400</v>
      </c>
      <c r="M1158" s="37" t="n">
        <v>43500</v>
      </c>
      <c r="N1158" s="30" t="n">
        <v>87000</v>
      </c>
      <c r="O1158" s="30" t="n">
        <v>626400</v>
      </c>
      <c r="P1158" s="31" t="n">
        <v>0</v>
      </c>
      <c r="Q1158" s="302" t="n">
        <v>45999</v>
      </c>
    </row>
    <row r="1159" customFormat="false" ht="17.9" hidden="true" customHeight="false" outlineLevel="0" collapsed="false">
      <c r="A1159" s="26" t="n">
        <v>3525</v>
      </c>
      <c r="B1159" s="34" t="s">
        <v>429</v>
      </c>
      <c r="C1159" s="34"/>
      <c r="D1159" s="34"/>
      <c r="E1159" s="25" t="n">
        <v>45992</v>
      </c>
      <c r="F1159" s="25" t="n">
        <v>45999</v>
      </c>
      <c r="G1159" s="26" t="n">
        <v>5</v>
      </c>
      <c r="H1159" s="71" t="e">
        <f aca="false">#DIV/0!</f>
        <v>#DIV/0!</v>
      </c>
      <c r="I1159" s="71" t="e">
        <f aca="false">#DIV/0!</f>
        <v>#DIV/0!</v>
      </c>
      <c r="J1159" s="34" t="s">
        <v>580</v>
      </c>
      <c r="K1159" s="45" t="n">
        <v>100000</v>
      </c>
      <c r="L1159" s="31" t="n">
        <v>130000</v>
      </c>
      <c r="M1159" s="29"/>
      <c r="N1159" s="30" t="n">
        <v>130000</v>
      </c>
      <c r="O1159" s="30" t="n">
        <v>130000</v>
      </c>
      <c r="P1159" s="36" t="n">
        <v>0</v>
      </c>
      <c r="Q1159" s="302" t="n">
        <v>45999</v>
      </c>
    </row>
    <row r="1160" customFormat="false" ht="28.35" hidden="true" customHeight="false" outlineLevel="0" collapsed="false">
      <c r="A1160" s="26" t="n">
        <v>3200</v>
      </c>
      <c r="B1160" s="21" t="s">
        <v>430</v>
      </c>
      <c r="C1160" s="21" t="s">
        <v>431</v>
      </c>
      <c r="D1160" s="34"/>
      <c r="E1160" s="25" t="n">
        <v>45794</v>
      </c>
      <c r="F1160" s="25" t="n">
        <v>45961</v>
      </c>
      <c r="G1160" s="26" t="n">
        <v>120</v>
      </c>
      <c r="H1160" s="71" t="n">
        <v>120</v>
      </c>
      <c r="I1160" s="71" t="n">
        <v>0</v>
      </c>
      <c r="J1160" s="65" t="s">
        <v>1335</v>
      </c>
      <c r="K1160" s="36" t="n">
        <v>120000</v>
      </c>
      <c r="L1160" s="36" t="n">
        <v>316800</v>
      </c>
      <c r="M1160" s="29" t="n">
        <v>13200</v>
      </c>
      <c r="N1160" s="30" t="n">
        <v>45600</v>
      </c>
      <c r="O1160" s="30" t="n">
        <v>316800</v>
      </c>
      <c r="P1160" s="36" t="n">
        <v>0</v>
      </c>
      <c r="Q1160" s="302" t="n">
        <v>45999</v>
      </c>
    </row>
    <row r="1161" customFormat="false" ht="28.35" hidden="true" customHeight="false" outlineLevel="0" collapsed="false">
      <c r="A1161" s="26" t="n">
        <v>3253</v>
      </c>
      <c r="B1161" s="21" t="s">
        <v>430</v>
      </c>
      <c r="C1161" s="21" t="s">
        <v>431</v>
      </c>
      <c r="D1161" s="34"/>
      <c r="E1161" s="25" t="n">
        <v>45828</v>
      </c>
      <c r="F1161" s="25" t="n">
        <v>45996</v>
      </c>
      <c r="G1161" s="26" t="n">
        <v>120</v>
      </c>
      <c r="H1161" s="71" t="n">
        <v>120</v>
      </c>
      <c r="I1161" s="71" t="n">
        <v>0</v>
      </c>
      <c r="J1161" s="65" t="s">
        <v>1281</v>
      </c>
      <c r="K1161" s="46" t="n">
        <v>100000</v>
      </c>
      <c r="L1161" s="36" t="n">
        <v>264000</v>
      </c>
      <c r="M1161" s="37" t="n">
        <v>11000</v>
      </c>
      <c r="N1161" s="30" t="n">
        <v>44000</v>
      </c>
      <c r="O1161" s="30" t="n">
        <v>264000</v>
      </c>
      <c r="P1161" s="36" t="n">
        <v>0</v>
      </c>
      <c r="Q1161" s="302" t="n">
        <v>45999</v>
      </c>
    </row>
    <row r="1162" customFormat="false" ht="21.6" hidden="true" customHeight="false" outlineLevel="0" collapsed="false">
      <c r="A1162" s="26" t="n">
        <v>3307</v>
      </c>
      <c r="B1162" s="21" t="s">
        <v>1234</v>
      </c>
      <c r="C1162" s="21" t="s">
        <v>451</v>
      </c>
      <c r="D1162" s="34"/>
      <c r="E1162" s="25" t="n">
        <v>45860</v>
      </c>
      <c r="F1162" s="25" t="n">
        <v>45960</v>
      </c>
      <c r="G1162" s="26" t="n">
        <v>72</v>
      </c>
      <c r="H1162" s="71" t="n">
        <v>72</v>
      </c>
      <c r="I1162" s="71" t="n">
        <v>0</v>
      </c>
      <c r="J1162" s="22" t="s">
        <v>381</v>
      </c>
      <c r="K1162" s="36" t="n">
        <v>50000</v>
      </c>
      <c r="L1162" s="36" t="n">
        <v>108000</v>
      </c>
      <c r="M1162" s="37" t="n">
        <v>7500</v>
      </c>
      <c r="N1162" s="30" t="n">
        <v>3000</v>
      </c>
      <c r="O1162" s="30" t="n">
        <v>108000</v>
      </c>
      <c r="P1162" s="36" t="n">
        <v>0</v>
      </c>
      <c r="Q1162" s="302" t="n">
        <v>45999</v>
      </c>
    </row>
    <row r="1163" customFormat="false" ht="28.35" hidden="true" customHeight="false" outlineLevel="0" collapsed="false">
      <c r="A1163" s="26" t="n">
        <v>2935</v>
      </c>
      <c r="B1163" s="21" t="s">
        <v>459</v>
      </c>
      <c r="C1163" s="21" t="s">
        <v>834</v>
      </c>
      <c r="D1163" s="34"/>
      <c r="E1163" s="25" t="n">
        <v>45624</v>
      </c>
      <c r="F1163" s="25" t="n">
        <v>45848</v>
      </c>
      <c r="G1163" s="26" t="n">
        <v>160</v>
      </c>
      <c r="H1163" s="71" t="n">
        <v>160</v>
      </c>
      <c r="I1163" s="71" t="n">
        <v>0</v>
      </c>
      <c r="J1163" s="35" t="s">
        <v>1336</v>
      </c>
      <c r="K1163" s="36" t="n">
        <v>300000</v>
      </c>
      <c r="L1163" s="36" t="n">
        <v>900000</v>
      </c>
      <c r="M1163" s="29" t="n">
        <v>28125</v>
      </c>
      <c r="N1163" s="30" t="n">
        <v>97500</v>
      </c>
      <c r="O1163" s="30" t="n">
        <v>900000</v>
      </c>
      <c r="P1163" s="36" t="n">
        <v>0</v>
      </c>
      <c r="Q1163" s="302" t="n">
        <v>45999</v>
      </c>
    </row>
    <row r="1164" customFormat="false" ht="14.9" hidden="true" customHeight="false" outlineLevel="0" collapsed="false">
      <c r="A1164" s="26" t="n">
        <v>2881</v>
      </c>
      <c r="B1164" s="21" t="s">
        <v>461</v>
      </c>
      <c r="C1164" s="21"/>
      <c r="D1164" s="34"/>
      <c r="E1164" s="25" t="n">
        <v>45588</v>
      </c>
      <c r="F1164" s="25" t="n">
        <v>45756</v>
      </c>
      <c r="G1164" s="26" t="n">
        <v>120</v>
      </c>
      <c r="H1164" s="71" t="n">
        <v>120</v>
      </c>
      <c r="I1164" s="71" t="n">
        <v>0</v>
      </c>
      <c r="J1164" s="35" t="s">
        <v>1337</v>
      </c>
      <c r="K1164" s="36" t="n">
        <v>120000</v>
      </c>
      <c r="L1164" s="36" t="n">
        <v>396800</v>
      </c>
      <c r="M1164" s="37" t="n">
        <v>16533.3333333333</v>
      </c>
      <c r="N1164" s="30" t="n">
        <v>200000</v>
      </c>
      <c r="O1164" s="30" t="n">
        <v>396800</v>
      </c>
      <c r="P1164" s="36" t="n">
        <v>0</v>
      </c>
      <c r="Q1164" s="302" t="n">
        <v>45999</v>
      </c>
    </row>
    <row r="1165" customFormat="false" ht="48.5" hidden="true" customHeight="false" outlineLevel="0" collapsed="false">
      <c r="A1165" s="26" t="n">
        <v>3398</v>
      </c>
      <c r="B1165" s="21" t="s">
        <v>466</v>
      </c>
      <c r="C1165" s="21" t="s">
        <v>467</v>
      </c>
      <c r="D1165" s="34" t="n">
        <v>27249921551</v>
      </c>
      <c r="E1165" s="25" t="n">
        <v>45915</v>
      </c>
      <c r="F1165" s="25" t="n">
        <v>46013</v>
      </c>
      <c r="G1165" s="26" t="n">
        <v>70</v>
      </c>
      <c r="H1165" s="71" t="n">
        <v>70</v>
      </c>
      <c r="I1165" s="71" t="n">
        <v>0</v>
      </c>
      <c r="J1165" s="49" t="s">
        <v>469</v>
      </c>
      <c r="K1165" s="46" t="n">
        <v>150000</v>
      </c>
      <c r="L1165" s="36" t="n">
        <v>324100</v>
      </c>
      <c r="M1165" s="29" t="n">
        <v>23150</v>
      </c>
      <c r="N1165" s="30" t="n">
        <v>92600</v>
      </c>
      <c r="O1165" s="30" t="n">
        <v>324100</v>
      </c>
      <c r="P1165" s="36" t="n">
        <v>0</v>
      </c>
      <c r="Q1165" s="302" t="n">
        <v>45999</v>
      </c>
    </row>
    <row r="1166" customFormat="false" ht="21.6" hidden="true" customHeight="false" outlineLevel="0" collapsed="false">
      <c r="A1166" s="26" t="n">
        <v>3185</v>
      </c>
      <c r="B1166" s="21" t="s">
        <v>494</v>
      </c>
      <c r="C1166" s="21" t="s">
        <v>495</v>
      </c>
      <c r="D1166" s="34"/>
      <c r="E1166" s="25" t="n">
        <v>45785</v>
      </c>
      <c r="F1166" s="25" t="n">
        <v>45939</v>
      </c>
      <c r="G1166" s="26" t="n">
        <v>110</v>
      </c>
      <c r="H1166" s="71" t="n">
        <v>111.944444444444</v>
      </c>
      <c r="I1166" s="71" t="n">
        <v>-1.94444444444444</v>
      </c>
      <c r="J1166" s="49" t="s">
        <v>1338</v>
      </c>
      <c r="K1166" s="36" t="n">
        <v>150000</v>
      </c>
      <c r="L1166" s="36" t="n">
        <v>396000</v>
      </c>
      <c r="M1166" s="40" t="n">
        <v>18000</v>
      </c>
      <c r="N1166" s="30" t="n">
        <v>98000</v>
      </c>
      <c r="O1166" s="30" t="n">
        <v>403000</v>
      </c>
      <c r="P1166" s="36" t="n">
        <v>-7000</v>
      </c>
      <c r="Q1166" s="302" t="n">
        <v>45999</v>
      </c>
    </row>
    <row r="1167" customFormat="false" ht="14.25" hidden="true" customHeight="false" outlineLevel="0" collapsed="false">
      <c r="A1167" s="26" t="n">
        <v>3471</v>
      </c>
      <c r="B1167" s="21" t="s">
        <v>504</v>
      </c>
      <c r="C1167" s="21"/>
      <c r="D1167" s="34"/>
      <c r="E1167" s="25" t="n">
        <v>45960</v>
      </c>
      <c r="F1167" s="25" t="n">
        <v>46002</v>
      </c>
      <c r="G1167" s="26" t="n">
        <v>30</v>
      </c>
      <c r="H1167" s="71" t="e">
        <f aca="false">#DIV/0!</f>
        <v>#DIV/0!</v>
      </c>
      <c r="I1167" s="71" t="e">
        <f aca="false">#DIV/0!</f>
        <v>#DIV/0!</v>
      </c>
      <c r="J1167" s="35" t="s">
        <v>538</v>
      </c>
      <c r="K1167" s="36" t="n">
        <v>100000</v>
      </c>
      <c r="L1167" s="36" t="n">
        <v>160000</v>
      </c>
      <c r="M1167" s="29"/>
      <c r="N1167" s="30" t="n">
        <v>160000</v>
      </c>
      <c r="O1167" s="30" t="n">
        <v>160000</v>
      </c>
      <c r="P1167" s="36" t="n">
        <v>0</v>
      </c>
      <c r="Q1167" s="302" t="n">
        <v>45999</v>
      </c>
    </row>
    <row r="1168" customFormat="false" ht="14.25" hidden="true" customHeight="false" outlineLevel="0" collapsed="false">
      <c r="A1168" s="26" t="n">
        <v>3492</v>
      </c>
      <c r="B1168" s="21" t="s">
        <v>504</v>
      </c>
      <c r="C1168" s="21"/>
      <c r="D1168" s="34"/>
      <c r="E1168" s="25" t="n">
        <v>45974</v>
      </c>
      <c r="F1168" s="25" t="n">
        <v>46002</v>
      </c>
      <c r="G1168" s="26" t="n">
        <v>20</v>
      </c>
      <c r="H1168" s="71" t="e">
        <f aca="false">#DIV/0!</f>
        <v>#DIV/0!</v>
      </c>
      <c r="I1168" s="71" t="e">
        <f aca="false">#DIV/0!</f>
        <v>#DIV/0!</v>
      </c>
      <c r="J1168" s="35" t="s">
        <v>538</v>
      </c>
      <c r="K1168" s="31" t="n">
        <v>30000</v>
      </c>
      <c r="L1168" s="31" t="n">
        <v>48000</v>
      </c>
      <c r="M1168" s="29"/>
      <c r="N1168" s="30" t="n">
        <v>48000</v>
      </c>
      <c r="O1168" s="30" t="n">
        <v>48000</v>
      </c>
      <c r="P1168" s="36" t="n">
        <v>0</v>
      </c>
      <c r="Q1168" s="302" t="n">
        <v>45999</v>
      </c>
    </row>
    <row r="1169" customFormat="false" ht="14.25" hidden="true" customHeight="false" outlineLevel="0" collapsed="false">
      <c r="A1169" s="26" t="n">
        <v>3501</v>
      </c>
      <c r="B1169" s="21" t="s">
        <v>504</v>
      </c>
      <c r="C1169" s="21"/>
      <c r="D1169" s="34"/>
      <c r="E1169" s="25" t="n">
        <v>45978</v>
      </c>
      <c r="F1169" s="25" t="n">
        <v>46002</v>
      </c>
      <c r="G1169" s="26" t="n">
        <v>18</v>
      </c>
      <c r="H1169" s="71" t="e">
        <f aca="false">#DIV/0!</f>
        <v>#DIV/0!</v>
      </c>
      <c r="I1169" s="71" t="e">
        <f aca="false">#DIV/0!</f>
        <v>#DIV/0!</v>
      </c>
      <c r="J1169" s="35" t="s">
        <v>538</v>
      </c>
      <c r="K1169" s="31" t="n">
        <v>50000</v>
      </c>
      <c r="L1169" s="31" t="n">
        <v>80000</v>
      </c>
      <c r="M1169" s="29"/>
      <c r="N1169" s="30" t="n">
        <v>80000</v>
      </c>
      <c r="O1169" s="30" t="n">
        <v>80000</v>
      </c>
      <c r="P1169" s="36" t="n">
        <v>0</v>
      </c>
      <c r="Q1169" s="302" t="n">
        <v>45999</v>
      </c>
    </row>
    <row r="1170" customFormat="false" ht="14.25" hidden="true" customHeight="false" outlineLevel="0" collapsed="false">
      <c r="A1170" s="26" t="n">
        <v>3503</v>
      </c>
      <c r="B1170" s="21" t="s">
        <v>504</v>
      </c>
      <c r="C1170" s="21"/>
      <c r="D1170" s="34"/>
      <c r="E1170" s="25" t="n">
        <v>45979</v>
      </c>
      <c r="F1170" s="25" t="n">
        <v>46002</v>
      </c>
      <c r="G1170" s="26" t="n">
        <v>17</v>
      </c>
      <c r="H1170" s="71" t="e">
        <f aca="false">#DIV/0!</f>
        <v>#DIV/0!</v>
      </c>
      <c r="I1170" s="71" t="e">
        <f aca="false">#DIV/0!</f>
        <v>#DIV/0!</v>
      </c>
      <c r="J1170" s="35" t="s">
        <v>538</v>
      </c>
      <c r="K1170" s="36" t="n">
        <v>50000</v>
      </c>
      <c r="L1170" s="36" t="n">
        <v>80000</v>
      </c>
      <c r="M1170" s="37"/>
      <c r="N1170" s="30" t="n">
        <v>80000</v>
      </c>
      <c r="O1170" s="30" t="n">
        <v>80000</v>
      </c>
      <c r="P1170" s="36" t="n">
        <v>0</v>
      </c>
      <c r="Q1170" s="302" t="n">
        <v>45999</v>
      </c>
    </row>
    <row r="1171" customFormat="false" ht="14.9" hidden="true" customHeight="false" outlineLevel="0" collapsed="false">
      <c r="A1171" s="26" t="n">
        <v>3483</v>
      </c>
      <c r="B1171" s="21" t="s">
        <v>1285</v>
      </c>
      <c r="C1171" s="21"/>
      <c r="D1171" s="34"/>
      <c r="E1171" s="25" t="n">
        <v>45971</v>
      </c>
      <c r="F1171" s="25" t="n">
        <v>45999</v>
      </c>
      <c r="G1171" s="26" t="n">
        <v>20</v>
      </c>
      <c r="H1171" s="71" t="e">
        <f aca="false">#DIV/0!</f>
        <v>#DIV/0!</v>
      </c>
      <c r="I1171" s="71" t="e">
        <f aca="false">#DIV/0!</f>
        <v>#DIV/0!</v>
      </c>
      <c r="J1171" s="35" t="s">
        <v>538</v>
      </c>
      <c r="K1171" s="36" t="n">
        <v>100000</v>
      </c>
      <c r="L1171" s="36" t="n">
        <v>150000</v>
      </c>
      <c r="M1171" s="37"/>
      <c r="N1171" s="30" t="n">
        <v>150000</v>
      </c>
      <c r="O1171" s="30" t="n">
        <v>150000</v>
      </c>
      <c r="P1171" s="36" t="n">
        <v>0</v>
      </c>
      <c r="Q1171" s="302" t="n">
        <v>45999</v>
      </c>
    </row>
    <row r="1172" customFormat="false" ht="14.9" hidden="true" customHeight="false" outlineLevel="0" collapsed="false">
      <c r="A1172" s="26" t="n">
        <v>3485</v>
      </c>
      <c r="B1172" s="21" t="s">
        <v>1285</v>
      </c>
      <c r="C1172" s="21"/>
      <c r="D1172" s="34"/>
      <c r="E1172" s="25" t="n">
        <v>45971</v>
      </c>
      <c r="F1172" s="25" t="n">
        <v>45999</v>
      </c>
      <c r="G1172" s="26" t="n">
        <v>20</v>
      </c>
      <c r="H1172" s="71" t="e">
        <f aca="false">#DIV/0!</f>
        <v>#DIV/0!</v>
      </c>
      <c r="I1172" s="71" t="e">
        <f aca="false">#DIV/0!</f>
        <v>#DIV/0!</v>
      </c>
      <c r="J1172" s="35" t="s">
        <v>538</v>
      </c>
      <c r="K1172" s="31" t="n">
        <v>100000</v>
      </c>
      <c r="L1172" s="31" t="n">
        <v>150000</v>
      </c>
      <c r="M1172" s="29"/>
      <c r="N1172" s="30" t="n">
        <v>150000</v>
      </c>
      <c r="O1172" s="30" t="n">
        <v>150000</v>
      </c>
      <c r="P1172" s="36" t="n">
        <v>0</v>
      </c>
      <c r="Q1172" s="302" t="n">
        <v>45999</v>
      </c>
    </row>
    <row r="1173" customFormat="false" ht="14.9" hidden="true" customHeight="false" outlineLevel="0" collapsed="false">
      <c r="A1173" s="26" t="n">
        <v>3496</v>
      </c>
      <c r="B1173" s="21" t="s">
        <v>1285</v>
      </c>
      <c r="C1173" s="21"/>
      <c r="D1173" s="34"/>
      <c r="E1173" s="25" t="n">
        <v>45976</v>
      </c>
      <c r="F1173" s="25" t="n">
        <v>46003</v>
      </c>
      <c r="G1173" s="26" t="n">
        <v>20</v>
      </c>
      <c r="H1173" s="71" t="e">
        <f aca="false">#DIV/0!</f>
        <v>#DIV/0!</v>
      </c>
      <c r="I1173" s="71" t="e">
        <f aca="false">#DIV/0!</f>
        <v>#DIV/0!</v>
      </c>
      <c r="J1173" s="35" t="s">
        <v>538</v>
      </c>
      <c r="K1173" s="31" t="n">
        <v>50000</v>
      </c>
      <c r="L1173" s="31" t="n">
        <v>80000</v>
      </c>
      <c r="M1173" s="29"/>
      <c r="N1173" s="30" t="n">
        <v>80000</v>
      </c>
      <c r="O1173" s="30" t="n">
        <v>80000</v>
      </c>
      <c r="P1173" s="36" t="n">
        <v>0</v>
      </c>
      <c r="Q1173" s="302" t="n">
        <v>45999</v>
      </c>
    </row>
    <row r="1174" customFormat="false" ht="35.05" hidden="true" customHeight="false" outlineLevel="0" collapsed="false">
      <c r="A1174" s="26" t="n">
        <v>3228</v>
      </c>
      <c r="B1174" s="21" t="s">
        <v>939</v>
      </c>
      <c r="C1174" s="21" t="s">
        <v>1286</v>
      </c>
      <c r="D1174" s="34"/>
      <c r="E1174" s="25" t="n">
        <v>45815</v>
      </c>
      <c r="F1174" s="25" t="n">
        <v>45968</v>
      </c>
      <c r="G1174" s="27" t="n">
        <v>110</v>
      </c>
      <c r="H1174" s="71" t="n">
        <v>110</v>
      </c>
      <c r="I1174" s="71" t="n">
        <v>0</v>
      </c>
      <c r="J1174" s="22" t="s">
        <v>487</v>
      </c>
      <c r="K1174" s="36" t="n">
        <v>150000</v>
      </c>
      <c r="L1174" s="36" t="n">
        <v>396000</v>
      </c>
      <c r="M1174" s="43" t="n">
        <v>18000</v>
      </c>
      <c r="N1174" s="30" t="n">
        <v>89250</v>
      </c>
      <c r="O1174" s="30" t="n">
        <v>396000</v>
      </c>
      <c r="P1174" s="36" t="n">
        <v>0</v>
      </c>
      <c r="Q1174" s="302" t="n">
        <v>45999</v>
      </c>
    </row>
    <row r="1175" customFormat="false" ht="28.35" hidden="true" customHeight="false" outlineLevel="0" collapsed="false">
      <c r="A1175" s="26" t="n">
        <v>3301</v>
      </c>
      <c r="B1175" s="21" t="s">
        <v>779</v>
      </c>
      <c r="C1175" s="21"/>
      <c r="D1175" s="34"/>
      <c r="E1175" s="25" t="n">
        <v>45858</v>
      </c>
      <c r="F1175" s="25" t="n">
        <v>46024</v>
      </c>
      <c r="G1175" s="26" t="n">
        <v>120</v>
      </c>
      <c r="H1175" s="71" t="n">
        <v>137.424545454545</v>
      </c>
      <c r="I1175" s="71" t="n">
        <v>-17.4245454545455</v>
      </c>
      <c r="J1175" s="35" t="s">
        <v>295</v>
      </c>
      <c r="K1175" s="36" t="n">
        <v>200000</v>
      </c>
      <c r="L1175" s="36" t="n">
        <v>528000</v>
      </c>
      <c r="M1175" s="37" t="n">
        <v>22000</v>
      </c>
      <c r="N1175" s="30" t="n">
        <v>88000</v>
      </c>
      <c r="O1175" s="30" t="n">
        <v>604668</v>
      </c>
      <c r="P1175" s="36" t="n">
        <v>-76668</v>
      </c>
      <c r="Q1175" s="302" t="n">
        <v>45999</v>
      </c>
    </row>
    <row r="1176" customFormat="false" ht="14.9" hidden="true" customHeight="false" outlineLevel="0" collapsed="false">
      <c r="A1176" s="26" t="n">
        <v>3320</v>
      </c>
      <c r="B1176" s="21" t="s">
        <v>510</v>
      </c>
      <c r="C1176" s="21"/>
      <c r="D1176" s="34"/>
      <c r="E1176" s="25" t="n">
        <v>45864</v>
      </c>
      <c r="F1176" s="25" t="n">
        <v>45975</v>
      </c>
      <c r="G1176" s="26" t="n">
        <v>80</v>
      </c>
      <c r="H1176" s="71" t="n">
        <v>80</v>
      </c>
      <c r="I1176" s="71" t="n">
        <v>0</v>
      </c>
      <c r="J1176" s="35" t="s">
        <v>1260</v>
      </c>
      <c r="K1176" s="36" t="n">
        <v>150000</v>
      </c>
      <c r="L1176" s="36" t="n">
        <v>324000</v>
      </c>
      <c r="M1176" s="29" t="n">
        <v>20250</v>
      </c>
      <c r="N1176" s="30" t="n">
        <v>81000</v>
      </c>
      <c r="O1176" s="30" t="n">
        <v>324000</v>
      </c>
      <c r="P1176" s="36" t="n">
        <v>0</v>
      </c>
      <c r="Q1176" s="302" t="n">
        <v>45999</v>
      </c>
    </row>
    <row r="1177" customFormat="false" ht="14.25" hidden="true" customHeight="false" outlineLevel="0" collapsed="false">
      <c r="A1177" s="26" t="n">
        <v>3491</v>
      </c>
      <c r="B1177" s="34" t="s">
        <v>537</v>
      </c>
      <c r="C1177" s="21"/>
      <c r="D1177" s="34"/>
      <c r="E1177" s="25" t="n">
        <v>45974</v>
      </c>
      <c r="F1177" s="25" t="n">
        <v>46002</v>
      </c>
      <c r="G1177" s="26" t="n">
        <v>20</v>
      </c>
      <c r="H1177" s="71" t="e">
        <f aca="false">#VALUE!</f>
        <v>#VALUE!</v>
      </c>
      <c r="I1177" s="71" t="e">
        <f aca="false">#VALUE!</f>
        <v>#VALUE!</v>
      </c>
      <c r="J1177" s="35" t="s">
        <v>538</v>
      </c>
      <c r="K1177" s="31" t="n">
        <v>100000</v>
      </c>
      <c r="L1177" s="31" t="n">
        <v>160000</v>
      </c>
      <c r="M1177" s="37" t="s">
        <v>214</v>
      </c>
      <c r="N1177" s="30" t="n">
        <v>160000</v>
      </c>
      <c r="O1177" s="30" t="n">
        <v>160000</v>
      </c>
      <c r="P1177" s="36" t="n">
        <v>0</v>
      </c>
      <c r="Q1177" s="302" t="n">
        <v>45999</v>
      </c>
    </row>
    <row r="1178" customFormat="false" ht="14.25" hidden="true" customHeight="false" outlineLevel="0" collapsed="false">
      <c r="A1178" s="26" t="n">
        <v>3498</v>
      </c>
      <c r="B1178" s="34" t="s">
        <v>537</v>
      </c>
      <c r="C1178" s="21"/>
      <c r="D1178" s="34"/>
      <c r="E1178" s="25" t="n">
        <v>45977</v>
      </c>
      <c r="F1178" s="25" t="n">
        <v>46003</v>
      </c>
      <c r="G1178" s="26" t="n">
        <v>20</v>
      </c>
      <c r="H1178" s="71" t="e">
        <f aca="false">#VALUE!</f>
        <v>#VALUE!</v>
      </c>
      <c r="I1178" s="71" t="e">
        <f aca="false">#VALUE!</f>
        <v>#VALUE!</v>
      </c>
      <c r="J1178" s="35" t="s">
        <v>538</v>
      </c>
      <c r="K1178" s="57" t="n">
        <v>40000</v>
      </c>
      <c r="L1178" s="36" t="n">
        <v>64000</v>
      </c>
      <c r="M1178" s="29" t="s">
        <v>214</v>
      </c>
      <c r="N1178" s="30" t="n">
        <v>64000</v>
      </c>
      <c r="O1178" s="30" t="n">
        <v>64000</v>
      </c>
      <c r="P1178" s="36" t="n">
        <v>0</v>
      </c>
      <c r="Q1178" s="302" t="n">
        <v>45999</v>
      </c>
    </row>
    <row r="1179" customFormat="false" ht="14.25" hidden="true" customHeight="false" outlineLevel="0" collapsed="false">
      <c r="A1179" s="26" t="n">
        <v>3502</v>
      </c>
      <c r="B1179" s="34" t="s">
        <v>537</v>
      </c>
      <c r="C1179" s="21"/>
      <c r="D1179" s="34"/>
      <c r="E1179" s="25" t="n">
        <v>45979</v>
      </c>
      <c r="F1179" s="25" t="n">
        <v>46007</v>
      </c>
      <c r="G1179" s="26" t="n">
        <v>20</v>
      </c>
      <c r="H1179" s="71" t="e">
        <f aca="false">#DIV/0!</f>
        <v>#DIV/0!</v>
      </c>
      <c r="I1179" s="71" t="e">
        <f aca="false">#DIV/0!</f>
        <v>#DIV/0!</v>
      </c>
      <c r="J1179" s="35" t="s">
        <v>538</v>
      </c>
      <c r="K1179" s="36" t="n">
        <v>30000</v>
      </c>
      <c r="L1179" s="36" t="n">
        <v>48000</v>
      </c>
      <c r="M1179" s="29"/>
      <c r="N1179" s="30" t="n">
        <v>48000</v>
      </c>
      <c r="O1179" s="30" t="n">
        <v>48000</v>
      </c>
      <c r="P1179" s="36" t="n">
        <v>0</v>
      </c>
      <c r="Q1179" s="302" t="n">
        <v>45999</v>
      </c>
    </row>
    <row r="1180" customFormat="false" ht="14.25" hidden="true" customHeight="false" outlineLevel="0" collapsed="false">
      <c r="A1180" s="26" t="n">
        <v>3507</v>
      </c>
      <c r="B1180" s="34" t="s">
        <v>537</v>
      </c>
      <c r="C1180" s="21"/>
      <c r="D1180" s="34"/>
      <c r="E1180" s="25" t="n">
        <v>45981</v>
      </c>
      <c r="F1180" s="25" t="n">
        <v>46009</v>
      </c>
      <c r="G1180" s="26" t="n">
        <v>20</v>
      </c>
      <c r="H1180" s="71" t="e">
        <f aca="false">#DIV/0!</f>
        <v>#DIV/0!</v>
      </c>
      <c r="I1180" s="71" t="e">
        <f aca="false">#DIV/0!</f>
        <v>#DIV/0!</v>
      </c>
      <c r="J1180" s="35" t="s">
        <v>538</v>
      </c>
      <c r="K1180" s="31" t="n">
        <v>20000</v>
      </c>
      <c r="L1180" s="31" t="n">
        <v>32000</v>
      </c>
      <c r="M1180" s="29"/>
      <c r="N1180" s="30" t="n">
        <v>32000</v>
      </c>
      <c r="O1180" s="30" t="n">
        <v>32000</v>
      </c>
      <c r="P1180" s="36" t="n">
        <v>0</v>
      </c>
      <c r="Q1180" s="302" t="n">
        <v>45999</v>
      </c>
    </row>
    <row r="1181" customFormat="false" ht="14.25" hidden="true" customHeight="false" outlineLevel="0" collapsed="false">
      <c r="A1181" s="26" t="n">
        <v>3514</v>
      </c>
      <c r="B1181" s="34" t="s">
        <v>537</v>
      </c>
      <c r="C1181" s="21"/>
      <c r="D1181" s="34"/>
      <c r="E1181" s="25" t="n">
        <v>45985</v>
      </c>
      <c r="F1181" s="25" t="n">
        <v>46013</v>
      </c>
      <c r="G1181" s="26" t="n">
        <v>20</v>
      </c>
      <c r="H1181" s="71" t="e">
        <f aca="false">#DIV/0!</f>
        <v>#DIV/0!</v>
      </c>
      <c r="I1181" s="71" t="e">
        <f aca="false">#DIV/0!</f>
        <v>#DIV/0!</v>
      </c>
      <c r="J1181" s="35" t="s">
        <v>538</v>
      </c>
      <c r="K1181" s="31" t="n">
        <v>20000</v>
      </c>
      <c r="L1181" s="31" t="n">
        <v>32000</v>
      </c>
      <c r="M1181" s="37"/>
      <c r="N1181" s="30" t="n">
        <v>32000</v>
      </c>
      <c r="O1181" s="30" t="n">
        <v>32000</v>
      </c>
      <c r="P1181" s="36" t="n">
        <v>0</v>
      </c>
      <c r="Q1181" s="302" t="n">
        <v>45999</v>
      </c>
    </row>
    <row r="1182" customFormat="false" ht="14.9" hidden="true" customHeight="false" outlineLevel="0" collapsed="false">
      <c r="A1182" s="26" t="n">
        <v>3364</v>
      </c>
      <c r="B1182" s="21" t="s">
        <v>578</v>
      </c>
      <c r="C1182" s="21" t="s">
        <v>579</v>
      </c>
      <c r="D1182" s="34"/>
      <c r="E1182" s="25" t="n">
        <v>45892</v>
      </c>
      <c r="F1182" s="25" t="n">
        <v>45993</v>
      </c>
      <c r="G1182" s="26" t="n">
        <v>72</v>
      </c>
      <c r="H1182" s="71" t="n">
        <v>72</v>
      </c>
      <c r="I1182" s="71" t="n">
        <v>0</v>
      </c>
      <c r="J1182" s="22" t="s">
        <v>242</v>
      </c>
      <c r="K1182" s="36" t="n">
        <v>250000</v>
      </c>
      <c r="L1182" s="36" t="n">
        <v>540000</v>
      </c>
      <c r="M1182" s="29" t="n">
        <v>37500</v>
      </c>
      <c r="N1182" s="30" t="n">
        <v>90000</v>
      </c>
      <c r="O1182" s="30" t="n">
        <v>540000</v>
      </c>
      <c r="P1182" s="36" t="n">
        <v>0</v>
      </c>
      <c r="Q1182" s="302" t="n">
        <v>45999</v>
      </c>
    </row>
    <row r="1183" customFormat="false" ht="21.6" hidden="true" customHeight="false" outlineLevel="0" collapsed="false">
      <c r="A1183" s="26" t="n">
        <v>3313</v>
      </c>
      <c r="B1183" s="21" t="s">
        <v>619</v>
      </c>
      <c r="C1183" s="21" t="s">
        <v>620</v>
      </c>
      <c r="D1183" s="34" t="n">
        <v>20284723342</v>
      </c>
      <c r="E1183" s="25" t="n">
        <v>45862</v>
      </c>
      <c r="F1183" s="25" t="n">
        <v>45964</v>
      </c>
      <c r="G1183" s="26" t="n">
        <v>72</v>
      </c>
      <c r="H1183" s="71" t="n">
        <v>72</v>
      </c>
      <c r="I1183" s="71" t="n">
        <v>0</v>
      </c>
      <c r="J1183" s="22" t="s">
        <v>1339</v>
      </c>
      <c r="K1183" s="36" t="n">
        <v>150000</v>
      </c>
      <c r="L1183" s="36" t="n">
        <v>324000</v>
      </c>
      <c r="M1183" s="29" t="n">
        <v>22500</v>
      </c>
      <c r="N1183" s="30" t="n">
        <v>9000</v>
      </c>
      <c r="O1183" s="30" t="n">
        <v>324000</v>
      </c>
      <c r="P1183" s="36" t="n">
        <v>0</v>
      </c>
      <c r="Q1183" s="302" t="n">
        <v>45999</v>
      </c>
    </row>
    <row r="1184" customFormat="false" ht="14.9" hidden="true" customHeight="false" outlineLevel="0" collapsed="false">
      <c r="A1184" s="20" t="n">
        <v>3395</v>
      </c>
      <c r="B1184" s="21" t="s">
        <v>240</v>
      </c>
      <c r="C1184" s="21" t="s">
        <v>241</v>
      </c>
      <c r="D1184" s="34"/>
      <c r="E1184" s="25" t="n">
        <v>45913</v>
      </c>
      <c r="F1184" s="25" t="n">
        <v>46014</v>
      </c>
      <c r="G1184" s="26" t="n">
        <v>72</v>
      </c>
      <c r="H1184" s="71" t="n">
        <v>72.6166666666667</v>
      </c>
      <c r="I1184" s="71" t="n">
        <v>-0.61666666666666</v>
      </c>
      <c r="J1184" s="22" t="s">
        <v>244</v>
      </c>
      <c r="K1184" s="31" t="n">
        <v>200000</v>
      </c>
      <c r="L1184" s="31" t="n">
        <v>432000</v>
      </c>
      <c r="M1184" s="37" t="n">
        <v>30000</v>
      </c>
      <c r="N1184" s="30" t="n">
        <v>34400</v>
      </c>
      <c r="O1184" s="30" t="n">
        <v>435700</v>
      </c>
      <c r="P1184" s="31" t="n">
        <v>-3700</v>
      </c>
      <c r="Q1184" s="302" t="n">
        <v>46006</v>
      </c>
    </row>
    <row r="1185" customFormat="false" ht="21.6" hidden="true" customHeight="false" outlineLevel="0" collapsed="false">
      <c r="A1185" s="20" t="n">
        <v>3279</v>
      </c>
      <c r="B1185" s="21" t="s">
        <v>249</v>
      </c>
      <c r="C1185" s="21" t="s">
        <v>250</v>
      </c>
      <c r="D1185" s="34" t="n">
        <v>27252034574</v>
      </c>
      <c r="E1185" s="25" t="n">
        <v>45846</v>
      </c>
      <c r="F1185" s="25" t="n">
        <v>45874</v>
      </c>
      <c r="G1185" s="26" t="n">
        <v>20</v>
      </c>
      <c r="H1185" s="71" t="n">
        <v>20.7692307692308</v>
      </c>
      <c r="I1185" s="71" t="n">
        <v>-0.76923076923077</v>
      </c>
      <c r="J1185" s="22" t="s">
        <v>1333</v>
      </c>
      <c r="K1185" s="66" t="n">
        <v>150000</v>
      </c>
      <c r="L1185" s="31" t="n">
        <v>234000</v>
      </c>
      <c r="M1185" s="37" t="n">
        <v>58500</v>
      </c>
      <c r="N1185" s="30" t="n">
        <v>6000</v>
      </c>
      <c r="O1185" s="30" t="n">
        <v>243000</v>
      </c>
      <c r="P1185" s="31" t="n">
        <v>-9000</v>
      </c>
      <c r="Q1185" s="302" t="n">
        <v>46006</v>
      </c>
    </row>
    <row r="1186" customFormat="false" ht="21.6" hidden="true" customHeight="false" outlineLevel="0" collapsed="false">
      <c r="A1186" s="26" t="n">
        <v>3102</v>
      </c>
      <c r="B1186" s="21" t="s">
        <v>345</v>
      </c>
      <c r="C1186" s="21" t="s">
        <v>346</v>
      </c>
      <c r="D1186" s="34" t="n">
        <v>27212523</v>
      </c>
      <c r="E1186" s="25" t="n">
        <v>45728</v>
      </c>
      <c r="F1186" s="25" t="n">
        <v>45882</v>
      </c>
      <c r="G1186" s="26" t="n">
        <v>110</v>
      </c>
      <c r="H1186" s="71" t="n">
        <v>123.666666666667</v>
      </c>
      <c r="I1186" s="71" t="n">
        <v>-13.6666666666667</v>
      </c>
      <c r="J1186" s="49" t="s">
        <v>1340</v>
      </c>
      <c r="K1186" s="36" t="n">
        <v>100000</v>
      </c>
      <c r="L1186" s="36" t="n">
        <v>264000</v>
      </c>
      <c r="M1186" s="29" t="n">
        <v>12000</v>
      </c>
      <c r="N1186" s="30" t="n">
        <v>100000</v>
      </c>
      <c r="O1186" s="30" t="n">
        <v>296800</v>
      </c>
      <c r="P1186" s="36" t="n">
        <v>-32800</v>
      </c>
      <c r="Q1186" s="302" t="n">
        <v>46006</v>
      </c>
    </row>
    <row r="1187" customFormat="false" ht="17.9" hidden="true" customHeight="false" outlineLevel="0" collapsed="false">
      <c r="A1187" s="26" t="n">
        <v>3529</v>
      </c>
      <c r="B1187" s="34" t="s">
        <v>429</v>
      </c>
      <c r="C1187" s="34"/>
      <c r="D1187" s="34"/>
      <c r="E1187" s="25" t="n">
        <v>45998</v>
      </c>
      <c r="F1187" s="25" t="n">
        <v>46003</v>
      </c>
      <c r="G1187" s="26" t="n">
        <v>5</v>
      </c>
      <c r="H1187" s="71" t="e">
        <f aca="false">#DIV/0!</f>
        <v>#DIV/0!</v>
      </c>
      <c r="I1187" s="71" t="e">
        <f aca="false">#DIV/0!</f>
        <v>#DIV/0!</v>
      </c>
      <c r="J1187" s="38" t="s">
        <v>580</v>
      </c>
      <c r="K1187" s="47" t="n">
        <v>100000</v>
      </c>
      <c r="L1187" s="31" t="n">
        <v>130000</v>
      </c>
      <c r="M1187" s="37"/>
      <c r="N1187" s="30" t="n">
        <v>130000</v>
      </c>
      <c r="O1187" s="30" t="n">
        <v>130000</v>
      </c>
      <c r="P1187" s="36" t="n">
        <v>0</v>
      </c>
      <c r="Q1187" s="302" t="n">
        <v>46006</v>
      </c>
    </row>
    <row r="1188" customFormat="false" ht="17.9" hidden="true" customHeight="false" outlineLevel="0" collapsed="false">
      <c r="A1188" s="26" t="n">
        <v>3539</v>
      </c>
      <c r="B1188" s="34" t="s">
        <v>429</v>
      </c>
      <c r="C1188" s="34"/>
      <c r="D1188" s="34"/>
      <c r="E1188" s="25" t="n">
        <v>46003</v>
      </c>
      <c r="F1188" s="25" t="n">
        <v>46010</v>
      </c>
      <c r="G1188" s="26" t="n">
        <v>5</v>
      </c>
      <c r="H1188" s="71" t="e">
        <f aca="false">#DIV/0!</f>
        <v>#DIV/0!</v>
      </c>
      <c r="I1188" s="71" t="e">
        <f aca="false">#DIV/0!</f>
        <v>#DIV/0!</v>
      </c>
      <c r="J1188" s="34" t="s">
        <v>580</v>
      </c>
      <c r="K1188" s="46" t="n">
        <v>100000</v>
      </c>
      <c r="L1188" s="36" t="n">
        <v>130000</v>
      </c>
      <c r="M1188" s="37"/>
      <c r="N1188" s="30" t="n">
        <v>130000</v>
      </c>
      <c r="O1188" s="30" t="n">
        <v>130000</v>
      </c>
      <c r="P1188" s="36" t="n">
        <v>0</v>
      </c>
      <c r="Q1188" s="302" t="n">
        <v>46006</v>
      </c>
    </row>
    <row r="1189" customFormat="false" ht="14.9" hidden="true" customHeight="false" outlineLevel="0" collapsed="false">
      <c r="A1189" s="26" t="n">
        <v>3266</v>
      </c>
      <c r="B1189" s="346" t="s">
        <v>519</v>
      </c>
      <c r="C1189" s="21" t="s">
        <v>520</v>
      </c>
      <c r="D1189" s="401"/>
      <c r="E1189" s="122" t="n">
        <v>45835</v>
      </c>
      <c r="F1189" s="25" t="n">
        <v>45937</v>
      </c>
      <c r="G1189" s="123" t="n">
        <v>72</v>
      </c>
      <c r="H1189" s="71" t="n">
        <v>74.5</v>
      </c>
      <c r="I1189" s="71" t="n">
        <v>-2.5</v>
      </c>
      <c r="J1189" s="125" t="s">
        <v>266</v>
      </c>
      <c r="K1189" s="31" t="n">
        <v>100000</v>
      </c>
      <c r="L1189" s="31" t="n">
        <v>216000</v>
      </c>
      <c r="M1189" s="37" t="n">
        <v>15000</v>
      </c>
      <c r="N1189" s="30" t="n">
        <v>15000</v>
      </c>
      <c r="O1189" s="30" t="n">
        <v>223500</v>
      </c>
      <c r="P1189" s="36" t="n">
        <v>-7500</v>
      </c>
      <c r="Q1189" s="302" t="n">
        <v>46006</v>
      </c>
    </row>
    <row r="1190" customFormat="false" ht="14.9" hidden="true" customHeight="false" outlineLevel="0" collapsed="false">
      <c r="A1190" s="26" t="n">
        <v>3314</v>
      </c>
      <c r="B1190" s="21" t="s">
        <v>599</v>
      </c>
      <c r="C1190" s="21"/>
      <c r="D1190" s="34"/>
      <c r="E1190" s="25" t="n">
        <v>45862</v>
      </c>
      <c r="F1190" s="25" t="n">
        <v>45974</v>
      </c>
      <c r="G1190" s="26" t="n">
        <v>80</v>
      </c>
      <c r="H1190" s="71" t="n">
        <v>80.7407407407408</v>
      </c>
      <c r="I1190" s="71" t="n">
        <v>-0.740740740740748</v>
      </c>
      <c r="J1190" s="35" t="s">
        <v>1341</v>
      </c>
      <c r="K1190" s="36" t="n">
        <v>100000</v>
      </c>
      <c r="L1190" s="36" t="n">
        <v>216000</v>
      </c>
      <c r="M1190" s="29" t="n">
        <v>13500</v>
      </c>
      <c r="N1190" s="30" t="n">
        <v>8000</v>
      </c>
      <c r="O1190" s="30" t="n">
        <v>218000</v>
      </c>
      <c r="P1190" s="36" t="n">
        <v>-2000</v>
      </c>
      <c r="Q1190" s="302" t="n">
        <v>46006</v>
      </c>
    </row>
    <row r="1191" customFormat="false" ht="14.9" hidden="true" customHeight="false" outlineLevel="0" collapsed="false">
      <c r="A1191" s="26" t="n">
        <v>3361</v>
      </c>
      <c r="B1191" s="21" t="s">
        <v>1148</v>
      </c>
      <c r="C1191" s="21"/>
      <c r="D1191" s="44"/>
      <c r="E1191" s="25" t="n">
        <v>45891</v>
      </c>
      <c r="F1191" s="25" t="n">
        <v>45989</v>
      </c>
      <c r="G1191" s="26" t="n">
        <v>70</v>
      </c>
      <c r="H1191" s="71" t="n">
        <v>70</v>
      </c>
      <c r="I1191" s="71" t="n">
        <v>0</v>
      </c>
      <c r="J1191" s="68" t="s">
        <v>1290</v>
      </c>
      <c r="K1191" s="36" t="n">
        <v>100000</v>
      </c>
      <c r="L1191" s="36" t="n">
        <v>217000</v>
      </c>
      <c r="M1191" s="37" t="n">
        <v>15500</v>
      </c>
      <c r="N1191" s="30" t="n">
        <v>43000</v>
      </c>
      <c r="O1191" s="30" t="n">
        <v>217000</v>
      </c>
      <c r="P1191" s="36" t="n">
        <v>0</v>
      </c>
      <c r="Q1191" s="302" t="n">
        <v>46006</v>
      </c>
    </row>
    <row r="1192" customFormat="false" ht="14.9" hidden="true" customHeight="false" outlineLevel="0" collapsed="false">
      <c r="A1192" s="26" t="n">
        <v>3354</v>
      </c>
      <c r="B1192" s="21" t="s">
        <v>1283</v>
      </c>
      <c r="C1192" s="21"/>
      <c r="D1192" s="34"/>
      <c r="E1192" s="25" t="n">
        <v>45887</v>
      </c>
      <c r="F1192" s="25" t="n">
        <v>45987</v>
      </c>
      <c r="G1192" s="26" t="n">
        <v>72</v>
      </c>
      <c r="H1192" s="71" t="n">
        <v>76</v>
      </c>
      <c r="I1192" s="71" t="n">
        <v>-4</v>
      </c>
      <c r="J1192" s="22" t="s">
        <v>266</v>
      </c>
      <c r="K1192" s="57" t="n">
        <v>100000</v>
      </c>
      <c r="L1192" s="36" t="n">
        <v>216000</v>
      </c>
      <c r="M1192" s="29" t="n">
        <v>15000</v>
      </c>
      <c r="N1192" s="30" t="n">
        <v>43000</v>
      </c>
      <c r="O1192" s="30" t="n">
        <v>228000</v>
      </c>
      <c r="P1192" s="36" t="n">
        <v>-12000</v>
      </c>
      <c r="Q1192" s="302" t="n">
        <v>46006</v>
      </c>
    </row>
    <row r="1193" customFormat="false" ht="14.9" hidden="true" customHeight="false" outlineLevel="0" collapsed="false">
      <c r="A1193" s="26" t="n">
        <v>3444</v>
      </c>
      <c r="B1193" s="21" t="s">
        <v>1342</v>
      </c>
      <c r="C1193" s="21"/>
      <c r="D1193" s="34"/>
      <c r="E1193" s="25" t="n">
        <v>45945</v>
      </c>
      <c r="F1193" s="25" t="n">
        <v>45952</v>
      </c>
      <c r="G1193" s="26" t="n">
        <v>5</v>
      </c>
      <c r="H1193" s="71" t="e">
        <f aca="false">#VALUE!</f>
        <v>#VALUE!</v>
      </c>
      <c r="I1193" s="71" t="e">
        <f aca="false">#VALUE!</f>
        <v>#VALUE!</v>
      </c>
      <c r="J1193" s="35" t="s">
        <v>1343</v>
      </c>
      <c r="K1193" s="36" t="n">
        <v>50000</v>
      </c>
      <c r="L1193" s="36" t="n">
        <v>72000</v>
      </c>
      <c r="M1193" s="29" t="s">
        <v>214</v>
      </c>
      <c r="N1193" s="30" t="n">
        <v>12000</v>
      </c>
      <c r="O1193" s="30" t="n">
        <v>72000</v>
      </c>
      <c r="P1193" s="36" t="n">
        <v>0</v>
      </c>
      <c r="Q1193" s="302" t="n">
        <v>46006</v>
      </c>
    </row>
    <row r="1194" customFormat="false" ht="42" hidden="true" customHeight="false" outlineLevel="0" collapsed="false">
      <c r="A1194" s="20" t="n">
        <v>3414</v>
      </c>
      <c r="B1194" s="34" t="s">
        <v>260</v>
      </c>
      <c r="C1194" s="34" t="s">
        <v>261</v>
      </c>
      <c r="D1194" s="44"/>
      <c r="E1194" s="25" t="n">
        <v>45923</v>
      </c>
      <c r="F1194" s="25" t="n">
        <v>46007</v>
      </c>
      <c r="G1194" s="26" t="n">
        <v>60</v>
      </c>
      <c r="H1194" s="71" t="n">
        <v>60</v>
      </c>
      <c r="I1194" s="71" t="n">
        <v>0</v>
      </c>
      <c r="J1194" s="38" t="s">
        <v>1344</v>
      </c>
      <c r="K1194" s="36" t="n">
        <v>2000000</v>
      </c>
      <c r="L1194" s="36" t="n">
        <v>3840000</v>
      </c>
      <c r="M1194" s="29" t="n">
        <v>320000</v>
      </c>
      <c r="N1194" s="30" t="n">
        <v>1360000</v>
      </c>
      <c r="O1194" s="30" t="n">
        <v>3840000</v>
      </c>
      <c r="P1194" s="31" t="n">
        <v>0</v>
      </c>
      <c r="Q1194" s="302" t="n">
        <v>46013</v>
      </c>
    </row>
    <row r="1195" customFormat="false" ht="14.9" hidden="true" customHeight="false" outlineLevel="0" collapsed="false">
      <c r="A1195" s="20" t="n">
        <v>3378</v>
      </c>
      <c r="B1195" s="21" t="s">
        <v>1345</v>
      </c>
      <c r="C1195" s="21" t="s">
        <v>292</v>
      </c>
      <c r="D1195" s="34"/>
      <c r="E1195" s="25" t="n">
        <v>45906</v>
      </c>
      <c r="F1195" s="25" t="n">
        <v>46007</v>
      </c>
      <c r="G1195" s="26" t="n">
        <v>72</v>
      </c>
      <c r="H1195" s="71" t="n">
        <v>72</v>
      </c>
      <c r="I1195" s="71" t="n">
        <v>0</v>
      </c>
      <c r="J1195" s="22" t="s">
        <v>266</v>
      </c>
      <c r="K1195" s="36" t="n">
        <v>100000</v>
      </c>
      <c r="L1195" s="36" t="n">
        <v>216000</v>
      </c>
      <c r="M1195" s="37" t="n">
        <v>15000</v>
      </c>
      <c r="N1195" s="30" t="n">
        <v>21000</v>
      </c>
      <c r="O1195" s="30" t="n">
        <v>216000</v>
      </c>
      <c r="P1195" s="31" t="n">
        <v>0</v>
      </c>
      <c r="Q1195" s="302" t="n">
        <v>46013</v>
      </c>
    </row>
    <row r="1196" customFormat="false" ht="21.6" hidden="true" customHeight="false" outlineLevel="0" collapsed="false">
      <c r="A1196" s="26" t="n">
        <v>3357</v>
      </c>
      <c r="B1196" s="21" t="s">
        <v>438</v>
      </c>
      <c r="C1196" s="21" t="s">
        <v>439</v>
      </c>
      <c r="D1196" s="34"/>
      <c r="E1196" s="25" t="n">
        <v>45889</v>
      </c>
      <c r="F1196" s="25" t="n">
        <v>45989</v>
      </c>
      <c r="G1196" s="26" t="n">
        <v>72</v>
      </c>
      <c r="H1196" s="71" t="n">
        <v>72</v>
      </c>
      <c r="I1196" s="71" t="n">
        <v>0</v>
      </c>
      <c r="J1196" s="22" t="s">
        <v>244</v>
      </c>
      <c r="K1196" s="36" t="n">
        <v>200000</v>
      </c>
      <c r="L1196" s="36" t="n">
        <v>442000</v>
      </c>
      <c r="M1196" s="37" t="n">
        <v>30694.4444444444</v>
      </c>
      <c r="N1196" s="30" t="n">
        <v>52000</v>
      </c>
      <c r="O1196" s="30" t="n">
        <v>442000</v>
      </c>
      <c r="P1196" s="36" t="n">
        <v>0</v>
      </c>
      <c r="Q1196" s="302" t="n">
        <v>46013</v>
      </c>
    </row>
    <row r="1197" customFormat="false" ht="28.35" hidden="true" customHeight="false" outlineLevel="0" collapsed="false">
      <c r="A1197" s="26" t="n">
        <v>3133</v>
      </c>
      <c r="B1197" s="21" t="s">
        <v>459</v>
      </c>
      <c r="C1197" s="21" t="s">
        <v>834</v>
      </c>
      <c r="D1197" s="34"/>
      <c r="E1197" s="25" t="n">
        <v>45747</v>
      </c>
      <c r="F1197" s="25" t="n">
        <v>45915</v>
      </c>
      <c r="G1197" s="26" t="n">
        <v>120</v>
      </c>
      <c r="H1197" s="71" t="n">
        <v>120</v>
      </c>
      <c r="I1197" s="71" t="n">
        <v>0</v>
      </c>
      <c r="J1197" s="35" t="s">
        <v>1346</v>
      </c>
      <c r="K1197" s="36" t="n">
        <v>130000</v>
      </c>
      <c r="L1197" s="36" t="n">
        <v>343200</v>
      </c>
      <c r="M1197" s="29" t="n">
        <v>14300</v>
      </c>
      <c r="N1197" s="30" t="n">
        <v>224800</v>
      </c>
      <c r="O1197" s="30" t="n">
        <v>343200</v>
      </c>
      <c r="P1197" s="36" t="n">
        <v>0</v>
      </c>
      <c r="Q1197" s="302" t="n">
        <v>46013</v>
      </c>
    </row>
    <row r="1198" customFormat="false" ht="28.35" hidden="true" customHeight="false" outlineLevel="0" collapsed="false">
      <c r="A1198" s="26" t="n">
        <v>3506</v>
      </c>
      <c r="B1198" s="21" t="s">
        <v>459</v>
      </c>
      <c r="C1198" s="21" t="s">
        <v>834</v>
      </c>
      <c r="D1198" s="34"/>
      <c r="E1198" s="25" t="n">
        <v>45981</v>
      </c>
      <c r="F1198" s="25" t="n">
        <v>46093</v>
      </c>
      <c r="G1198" s="26" t="n">
        <v>80</v>
      </c>
      <c r="H1198" s="71" t="n">
        <v>98.6666666666667</v>
      </c>
      <c r="I1198" s="71" t="n">
        <v>-18.6666666666667</v>
      </c>
      <c r="J1198" s="35" t="s">
        <v>1347</v>
      </c>
      <c r="K1198" s="31" t="n">
        <v>50000</v>
      </c>
      <c r="L1198" s="31" t="n">
        <v>108000</v>
      </c>
      <c r="M1198" s="37" t="n">
        <v>6750</v>
      </c>
      <c r="N1198" s="30" t="n">
        <v>133200</v>
      </c>
      <c r="O1198" s="30" t="n">
        <v>133200</v>
      </c>
      <c r="P1198" s="36" t="n">
        <v>-25200</v>
      </c>
      <c r="Q1198" s="302" t="n">
        <v>46013</v>
      </c>
    </row>
    <row r="1199" customFormat="false" ht="35.05" hidden="true" customHeight="false" outlineLevel="0" collapsed="false">
      <c r="A1199" s="26" t="n">
        <v>3044</v>
      </c>
      <c r="B1199" s="21" t="s">
        <v>463</v>
      </c>
      <c r="C1199" s="21" t="s">
        <v>464</v>
      </c>
      <c r="D1199" s="34"/>
      <c r="E1199" s="25" t="n">
        <v>45695</v>
      </c>
      <c r="F1199" s="25" t="n">
        <v>45863</v>
      </c>
      <c r="G1199" s="26" t="n">
        <v>120</v>
      </c>
      <c r="H1199" s="71" t="n">
        <v>127.454545454545</v>
      </c>
      <c r="I1199" s="71" t="n">
        <v>-7.45454545454545</v>
      </c>
      <c r="J1199" s="49" t="s">
        <v>1348</v>
      </c>
      <c r="K1199" s="46" t="n">
        <v>250000</v>
      </c>
      <c r="L1199" s="36" t="n">
        <v>660000</v>
      </c>
      <c r="M1199" s="37" t="n">
        <v>27500</v>
      </c>
      <c r="N1199" s="30" t="n">
        <v>120000</v>
      </c>
      <c r="O1199" s="30" t="n">
        <v>701000</v>
      </c>
      <c r="P1199" s="36" t="n">
        <v>-41000</v>
      </c>
      <c r="Q1199" s="302" t="n">
        <v>46013</v>
      </c>
    </row>
    <row r="1200" customFormat="false" ht="21.6" hidden="true" customHeight="false" outlineLevel="0" collapsed="false">
      <c r="A1200" s="26" t="n">
        <v>3070</v>
      </c>
      <c r="B1200" s="21" t="s">
        <v>555</v>
      </c>
      <c r="C1200" s="21" t="s">
        <v>556</v>
      </c>
      <c r="D1200" s="34"/>
      <c r="E1200" s="25" t="n">
        <v>45707</v>
      </c>
      <c r="F1200" s="25" t="n">
        <v>45861</v>
      </c>
      <c r="G1200" s="26" t="n">
        <v>110</v>
      </c>
      <c r="H1200" s="71" t="n">
        <v>110</v>
      </c>
      <c r="I1200" s="71" t="n">
        <v>0</v>
      </c>
      <c r="J1200" s="35" t="s">
        <v>1349</v>
      </c>
      <c r="K1200" s="31" t="n">
        <v>300000</v>
      </c>
      <c r="L1200" s="31" t="n">
        <v>792000</v>
      </c>
      <c r="M1200" s="29" t="n">
        <v>36000</v>
      </c>
      <c r="N1200" s="30" t="n">
        <v>100500</v>
      </c>
      <c r="O1200" s="30" t="n">
        <v>792000</v>
      </c>
      <c r="P1200" s="36" t="n">
        <v>0</v>
      </c>
      <c r="Q1200" s="302" t="n">
        <v>46013</v>
      </c>
    </row>
    <row r="1201" customFormat="false" ht="21.6" hidden="true" customHeight="false" outlineLevel="0" collapsed="false">
      <c r="A1201" s="26" t="n">
        <v>3518</v>
      </c>
      <c r="B1201" s="21" t="s">
        <v>576</v>
      </c>
      <c r="C1201" s="21" t="s">
        <v>577</v>
      </c>
      <c r="D1201" s="34"/>
      <c r="E1201" s="25" t="n">
        <v>45987</v>
      </c>
      <c r="F1201" s="25" t="n">
        <v>46015</v>
      </c>
      <c r="G1201" s="26" t="n">
        <v>20</v>
      </c>
      <c r="H1201" s="71" t="n">
        <v>20</v>
      </c>
      <c r="I1201" s="320"/>
      <c r="J1201" s="22" t="s">
        <v>1350</v>
      </c>
      <c r="K1201" s="31" t="n">
        <v>200000</v>
      </c>
      <c r="L1201" s="31" t="n">
        <v>280000</v>
      </c>
      <c r="M1201" s="29" t="n">
        <v>70000</v>
      </c>
      <c r="N1201" s="30" t="n">
        <v>140000</v>
      </c>
      <c r="O1201" s="30" t="n">
        <v>280000</v>
      </c>
      <c r="P1201" s="36" t="n">
        <v>0</v>
      </c>
      <c r="Q1201" s="302" t="n">
        <v>46013</v>
      </c>
    </row>
    <row r="1202" customFormat="false" ht="14.9" hidden="true" customHeight="false" outlineLevel="0" collapsed="false">
      <c r="A1202" s="26" t="n">
        <v>3504</v>
      </c>
      <c r="B1202" s="21" t="s">
        <v>578</v>
      </c>
      <c r="C1202" s="21" t="s">
        <v>579</v>
      </c>
      <c r="D1202" s="34"/>
      <c r="E1202" s="25" t="n">
        <v>45981</v>
      </c>
      <c r="F1202" s="25" t="n">
        <v>46007</v>
      </c>
      <c r="G1202" s="26" t="n">
        <v>18</v>
      </c>
      <c r="H1202" s="71" t="e">
        <f aca="false">#DIV/0!</f>
        <v>#DIV/0!</v>
      </c>
      <c r="I1202" s="71" t="e">
        <f aca="false">#DIV/0!</f>
        <v>#DIV/0!</v>
      </c>
      <c r="J1202" s="35" t="s">
        <v>580</v>
      </c>
      <c r="K1202" s="36" t="n">
        <v>250000</v>
      </c>
      <c r="L1202" s="36" t="n">
        <v>350000</v>
      </c>
      <c r="M1202" s="29"/>
      <c r="N1202" s="30" t="n">
        <v>290000</v>
      </c>
      <c r="O1202" s="30" t="n">
        <v>350000</v>
      </c>
      <c r="P1202" s="36" t="n">
        <v>0</v>
      </c>
      <c r="Q1202" s="302" t="n">
        <v>46013</v>
      </c>
    </row>
    <row r="1203" customFormat="false" ht="28.35" hidden="true" customHeight="false" outlineLevel="0" collapsed="false">
      <c r="A1203" s="26" t="n">
        <v>3440</v>
      </c>
      <c r="B1203" s="21" t="s">
        <v>404</v>
      </c>
      <c r="C1203" s="21" t="s">
        <v>405</v>
      </c>
      <c r="D1203" s="34" t="s">
        <v>406</v>
      </c>
      <c r="E1203" s="25" t="n">
        <v>45943</v>
      </c>
      <c r="F1203" s="25" t="n">
        <v>46043</v>
      </c>
      <c r="G1203" s="26" t="n">
        <v>72</v>
      </c>
      <c r="H1203" s="71" t="n">
        <v>72</v>
      </c>
      <c r="I1203" s="71" t="n">
        <v>0</v>
      </c>
      <c r="J1203" s="22" t="s">
        <v>244</v>
      </c>
      <c r="K1203" s="31" t="n">
        <v>200000</v>
      </c>
      <c r="L1203" s="31" t="n">
        <v>432000</v>
      </c>
      <c r="M1203" s="37" t="n">
        <v>30000</v>
      </c>
      <c r="N1203" s="30" t="n">
        <v>132000</v>
      </c>
      <c r="O1203" s="30" t="n">
        <v>432000</v>
      </c>
      <c r="P1203" s="36" t="n">
        <v>0</v>
      </c>
      <c r="Q1203" s="302" t="n">
        <v>46020</v>
      </c>
    </row>
    <row r="1204" customFormat="false" ht="28.35" hidden="true" customHeight="false" outlineLevel="0" collapsed="false">
      <c r="A1204" s="26" t="n">
        <v>3294</v>
      </c>
      <c r="B1204" s="21" t="s">
        <v>879</v>
      </c>
      <c r="C1204" s="21" t="s">
        <v>484</v>
      </c>
      <c r="D1204" s="34"/>
      <c r="E1204" s="25" t="n">
        <v>45855</v>
      </c>
      <c r="F1204" s="25" t="n">
        <v>45957</v>
      </c>
      <c r="G1204" s="26" t="n">
        <v>72</v>
      </c>
      <c r="H1204" s="71" t="n">
        <v>72</v>
      </c>
      <c r="I1204" s="71" t="n">
        <v>0</v>
      </c>
      <c r="J1204" s="22" t="s">
        <v>687</v>
      </c>
      <c r="K1204" s="36" t="n">
        <v>100000</v>
      </c>
      <c r="L1204" s="36" t="n">
        <v>216000</v>
      </c>
      <c r="M1204" s="37" t="n">
        <v>15000</v>
      </c>
      <c r="N1204" s="402" t="n">
        <v>25500</v>
      </c>
      <c r="O1204" s="30" t="n">
        <v>216000</v>
      </c>
      <c r="P1204" s="36" t="n">
        <v>0</v>
      </c>
      <c r="Q1204" s="302" t="n">
        <v>46020</v>
      </c>
    </row>
    <row r="1205" customFormat="false" ht="28.35" hidden="true" customHeight="false" outlineLevel="0" collapsed="false">
      <c r="A1205" s="26" t="n">
        <v>3447</v>
      </c>
      <c r="B1205" s="21" t="s">
        <v>500</v>
      </c>
      <c r="C1205" s="21" t="s">
        <v>501</v>
      </c>
      <c r="D1205" s="34"/>
      <c r="E1205" s="25" t="n">
        <v>45946</v>
      </c>
      <c r="F1205" s="25" t="n">
        <v>46023</v>
      </c>
      <c r="G1205" s="26" t="n">
        <v>55</v>
      </c>
      <c r="H1205" s="71" t="n">
        <v>55</v>
      </c>
      <c r="I1205" s="71" t="n">
        <v>0</v>
      </c>
      <c r="J1205" s="22" t="s">
        <v>1316</v>
      </c>
      <c r="K1205" s="36" t="n">
        <v>450000</v>
      </c>
      <c r="L1205" s="36" t="n">
        <v>863500</v>
      </c>
      <c r="M1205" s="37" t="n">
        <v>78500</v>
      </c>
      <c r="N1205" s="30" t="n">
        <v>78500</v>
      </c>
      <c r="O1205" s="30" t="n">
        <v>863500</v>
      </c>
      <c r="P1205" s="36" t="n">
        <v>0</v>
      </c>
      <c r="Q1205" s="302" t="n">
        <v>46020</v>
      </c>
    </row>
    <row r="1206" customFormat="false" ht="28.35" hidden="true" customHeight="false" outlineLevel="0" collapsed="false">
      <c r="A1206" s="78" t="n">
        <v>3566</v>
      </c>
      <c r="B1206" s="21" t="s">
        <v>779</v>
      </c>
      <c r="C1206" s="21" t="s">
        <v>214</v>
      </c>
      <c r="D1206" s="34"/>
      <c r="E1206" s="25" t="n">
        <v>46014</v>
      </c>
      <c r="F1206" s="25" t="n">
        <v>46021</v>
      </c>
      <c r="G1206" s="26" t="n">
        <v>5</v>
      </c>
      <c r="H1206" s="71" t="e">
        <f aca="false">#VALUE!</f>
        <v>#VALUE!</v>
      </c>
      <c r="I1206" s="71" t="e">
        <f aca="false">#VALUE!</f>
        <v>#VALUE!</v>
      </c>
      <c r="J1206" s="35" t="s">
        <v>538</v>
      </c>
      <c r="K1206" s="36" t="n">
        <v>500000</v>
      </c>
      <c r="L1206" s="36" t="n">
        <v>600000</v>
      </c>
      <c r="M1206" s="43" t="s">
        <v>214</v>
      </c>
      <c r="N1206" s="30" t="n">
        <v>600000</v>
      </c>
      <c r="O1206" s="30" t="n">
        <v>600000</v>
      </c>
      <c r="P1206" s="36" t="n">
        <v>0</v>
      </c>
      <c r="Q1206" s="302" t="n">
        <v>46020</v>
      </c>
    </row>
    <row r="1207" customFormat="false" ht="21.6" hidden="true" customHeight="false" outlineLevel="0" collapsed="false">
      <c r="A1207" s="20" t="n">
        <v>3394</v>
      </c>
      <c r="B1207" s="21" t="s">
        <v>230</v>
      </c>
      <c r="C1207" s="21" t="s">
        <v>231</v>
      </c>
      <c r="D1207" s="34"/>
      <c r="E1207" s="25" t="n">
        <v>45913</v>
      </c>
      <c r="F1207" s="25" t="n">
        <v>46024</v>
      </c>
      <c r="G1207" s="26" t="n">
        <v>80</v>
      </c>
      <c r="H1207" s="71" t="n">
        <v>80</v>
      </c>
      <c r="I1207" s="71" t="n">
        <v>0</v>
      </c>
      <c r="J1207" s="35" t="s">
        <v>1351</v>
      </c>
      <c r="K1207" s="400" t="n">
        <v>45000</v>
      </c>
      <c r="L1207" s="31" t="n">
        <v>97200</v>
      </c>
      <c r="M1207" s="37" t="n">
        <v>6075</v>
      </c>
      <c r="N1207" s="30" t="n">
        <v>24300</v>
      </c>
      <c r="O1207" s="30" t="n">
        <v>97200</v>
      </c>
      <c r="P1207" s="31" t="n">
        <v>0</v>
      </c>
      <c r="Q1207" s="302" t="n">
        <v>46027</v>
      </c>
    </row>
    <row r="1208" customFormat="false" ht="21.6" hidden="true" customHeight="false" outlineLevel="0" collapsed="false">
      <c r="A1208" s="20" t="n">
        <v>3233</v>
      </c>
      <c r="B1208" s="21" t="s">
        <v>811</v>
      </c>
      <c r="C1208" s="21" t="s">
        <v>486</v>
      </c>
      <c r="D1208" s="34"/>
      <c r="E1208" s="25" t="n">
        <v>45818</v>
      </c>
      <c r="F1208" s="25" t="n">
        <v>45986</v>
      </c>
      <c r="G1208" s="26" t="n">
        <v>120</v>
      </c>
      <c r="H1208" s="71" t="n">
        <v>120.075757575758</v>
      </c>
      <c r="I1208" s="71" t="n">
        <v>-0.0757575757575779</v>
      </c>
      <c r="J1208" s="35" t="s">
        <v>1352</v>
      </c>
      <c r="K1208" s="31" t="n">
        <v>120000</v>
      </c>
      <c r="L1208" s="31" t="n">
        <v>316800</v>
      </c>
      <c r="M1208" s="29" t="n">
        <v>13200</v>
      </c>
      <c r="N1208" s="30" t="n">
        <v>53000</v>
      </c>
      <c r="O1208" s="30" t="n">
        <v>317000</v>
      </c>
      <c r="P1208" s="31" t="n">
        <v>-200</v>
      </c>
      <c r="Q1208" s="302" t="n">
        <v>46027</v>
      </c>
    </row>
    <row r="1209" customFormat="false" ht="35.05" hidden="true" customHeight="false" outlineLevel="0" collapsed="false">
      <c r="A1209" s="20" t="n">
        <v>3383</v>
      </c>
      <c r="B1209" s="21" t="s">
        <v>272</v>
      </c>
      <c r="C1209" s="21" t="s">
        <v>917</v>
      </c>
      <c r="D1209" s="34"/>
      <c r="E1209" s="25" t="n">
        <v>45909</v>
      </c>
      <c r="F1209" s="25" t="n">
        <v>46021</v>
      </c>
      <c r="G1209" s="26" t="n">
        <v>80</v>
      </c>
      <c r="H1209" s="71" t="n">
        <v>80</v>
      </c>
      <c r="I1209" s="71" t="n">
        <v>0</v>
      </c>
      <c r="J1209" s="48" t="s">
        <v>1132</v>
      </c>
      <c r="K1209" s="37" t="n">
        <v>200000</v>
      </c>
      <c r="L1209" s="31" t="n">
        <v>432000</v>
      </c>
      <c r="M1209" s="29" t="n">
        <v>27000</v>
      </c>
      <c r="N1209" s="30" t="n">
        <v>108000</v>
      </c>
      <c r="O1209" s="30" t="n">
        <v>432000</v>
      </c>
      <c r="P1209" s="36" t="n">
        <v>0</v>
      </c>
      <c r="Q1209" s="302" t="n">
        <v>46027</v>
      </c>
    </row>
    <row r="1210" customFormat="false" ht="35.05" hidden="true" customHeight="false" outlineLevel="0" collapsed="false">
      <c r="A1210" s="20" t="n">
        <v>3377</v>
      </c>
      <c r="B1210" s="21" t="s">
        <v>280</v>
      </c>
      <c r="C1210" s="21" t="s">
        <v>281</v>
      </c>
      <c r="D1210" s="34" t="n">
        <v>20386454729</v>
      </c>
      <c r="E1210" s="25" t="n">
        <v>45906</v>
      </c>
      <c r="F1210" s="25" t="n">
        <v>46017</v>
      </c>
      <c r="G1210" s="26" t="n">
        <v>80</v>
      </c>
      <c r="H1210" s="71" t="n">
        <v>80</v>
      </c>
      <c r="I1210" s="71" t="n">
        <v>0</v>
      </c>
      <c r="J1210" s="35" t="s">
        <v>1353</v>
      </c>
      <c r="K1210" s="31" t="n">
        <v>300000</v>
      </c>
      <c r="L1210" s="31" t="n">
        <v>648000</v>
      </c>
      <c r="M1210" s="29" t="n">
        <v>40500</v>
      </c>
      <c r="N1210" s="30" t="n">
        <v>162000</v>
      </c>
      <c r="O1210" s="30" t="n">
        <v>648000</v>
      </c>
      <c r="P1210" s="36" t="n">
        <v>0</v>
      </c>
      <c r="Q1210" s="302" t="n">
        <v>46027</v>
      </c>
    </row>
    <row r="1211" customFormat="false" ht="19.4" hidden="true" customHeight="false" outlineLevel="0" collapsed="false">
      <c r="A1211" s="26" t="n">
        <v>3585</v>
      </c>
      <c r="B1211" s="21" t="s">
        <v>374</v>
      </c>
      <c r="C1211" s="21"/>
      <c r="D1211" s="34"/>
      <c r="E1211" s="25" t="n">
        <v>46021</v>
      </c>
      <c r="F1211" s="25" t="n">
        <v>46028</v>
      </c>
      <c r="G1211" s="26" t="n">
        <v>5</v>
      </c>
      <c r="H1211" s="71" t="n">
        <v>80</v>
      </c>
      <c r="I1211" s="71" t="n">
        <v>0</v>
      </c>
      <c r="J1211" s="35" t="s">
        <v>1354</v>
      </c>
      <c r="K1211" s="31" t="n">
        <v>50000</v>
      </c>
      <c r="L1211" s="31" t="n">
        <v>70000</v>
      </c>
      <c r="M1211" s="37"/>
      <c r="N1211" s="30" t="n">
        <v>70000</v>
      </c>
      <c r="O1211" s="30" t="n">
        <v>70000</v>
      </c>
      <c r="P1211" s="36" t="n">
        <v>0</v>
      </c>
      <c r="Q1211" s="302" t="n">
        <v>46027</v>
      </c>
    </row>
    <row r="1212" customFormat="false" ht="28.35" hidden="true" customHeight="false" outlineLevel="0" collapsed="false">
      <c r="A1212" s="26" t="n">
        <v>3312</v>
      </c>
      <c r="B1212" s="21" t="s">
        <v>430</v>
      </c>
      <c r="C1212" s="21" t="s">
        <v>431</v>
      </c>
      <c r="D1212" s="34"/>
      <c r="E1212" s="25" t="n">
        <v>45862</v>
      </c>
      <c r="F1212" s="25" t="n">
        <v>46030</v>
      </c>
      <c r="G1212" s="26" t="n">
        <v>120</v>
      </c>
      <c r="H1212" s="71" t="n">
        <v>120</v>
      </c>
      <c r="I1212" s="71" t="n">
        <v>0</v>
      </c>
      <c r="J1212" s="65" t="s">
        <v>1281</v>
      </c>
      <c r="K1212" s="36" t="n">
        <v>100000</v>
      </c>
      <c r="L1212" s="36" t="n">
        <v>264000</v>
      </c>
      <c r="M1212" s="29" t="n">
        <v>11000</v>
      </c>
      <c r="N1212" s="30" t="n">
        <v>44000</v>
      </c>
      <c r="O1212" s="30" t="n">
        <v>264000</v>
      </c>
      <c r="P1212" s="36" t="n">
        <v>0</v>
      </c>
      <c r="Q1212" s="302" t="n">
        <v>46027</v>
      </c>
    </row>
    <row r="1213" customFormat="false" ht="28.35" hidden="true" customHeight="false" outlineLevel="0" collapsed="false">
      <c r="A1213" s="26" t="n">
        <v>3500</v>
      </c>
      <c r="B1213" s="21" t="s">
        <v>430</v>
      </c>
      <c r="C1213" s="21" t="s">
        <v>431</v>
      </c>
      <c r="D1213" s="34"/>
      <c r="E1213" s="25" t="n">
        <v>45978</v>
      </c>
      <c r="F1213" s="25" t="n">
        <v>46090</v>
      </c>
      <c r="G1213" s="26" t="n">
        <v>80</v>
      </c>
      <c r="H1213" s="71" t="n">
        <v>80</v>
      </c>
      <c r="I1213" s="71" t="n">
        <v>0</v>
      </c>
      <c r="J1213" s="35" t="s">
        <v>954</v>
      </c>
      <c r="K1213" s="36" t="n">
        <v>20000</v>
      </c>
      <c r="L1213" s="36" t="n">
        <v>43200</v>
      </c>
      <c r="M1213" s="29" t="n">
        <v>2700</v>
      </c>
      <c r="N1213" s="30" t="n">
        <v>32400</v>
      </c>
      <c r="O1213" s="30" t="n">
        <v>43200</v>
      </c>
      <c r="P1213" s="36" t="n">
        <v>0</v>
      </c>
      <c r="Q1213" s="302" t="n">
        <v>46027</v>
      </c>
    </row>
    <row r="1214" customFormat="false" ht="42.5" hidden="true" customHeight="false" outlineLevel="0" collapsed="false">
      <c r="A1214" s="26" t="n">
        <v>3305</v>
      </c>
      <c r="B1214" s="34" t="s">
        <v>480</v>
      </c>
      <c r="C1214" s="34" t="s">
        <v>481</v>
      </c>
      <c r="D1214" s="34" t="n">
        <v>29201110</v>
      </c>
      <c r="E1214" s="25" t="n">
        <v>45860</v>
      </c>
      <c r="F1214" s="25" t="n">
        <v>46028</v>
      </c>
      <c r="G1214" s="26" t="n">
        <v>120</v>
      </c>
      <c r="H1214" s="71" t="n">
        <v>120</v>
      </c>
      <c r="I1214" s="71" t="n">
        <v>0</v>
      </c>
      <c r="J1214" s="34" t="s">
        <v>1355</v>
      </c>
      <c r="K1214" s="36" t="n">
        <v>100000</v>
      </c>
      <c r="L1214" s="36" t="n">
        <v>264000</v>
      </c>
      <c r="M1214" s="29" t="n">
        <v>11000</v>
      </c>
      <c r="N1214" s="30" t="n">
        <v>44000</v>
      </c>
      <c r="O1214" s="30" t="n">
        <v>264000</v>
      </c>
      <c r="P1214" s="36" t="n">
        <v>0</v>
      </c>
      <c r="Q1214" s="302" t="n">
        <v>46027</v>
      </c>
    </row>
    <row r="1215" customFormat="false" ht="34.3" hidden="true" customHeight="false" outlineLevel="0" collapsed="false">
      <c r="A1215" s="26" t="n">
        <v>3419</v>
      </c>
      <c r="B1215" s="34" t="s">
        <v>503</v>
      </c>
      <c r="C1215" s="34" t="s">
        <v>241</v>
      </c>
      <c r="D1215" s="34"/>
      <c r="E1215" s="25" t="n">
        <v>45927</v>
      </c>
      <c r="F1215" s="25" t="n">
        <v>46028</v>
      </c>
      <c r="G1215" s="26" t="n">
        <v>72</v>
      </c>
      <c r="H1215" s="71" t="n">
        <v>72</v>
      </c>
      <c r="I1215" s="71" t="n">
        <v>0</v>
      </c>
      <c r="J1215" s="34" t="s">
        <v>244</v>
      </c>
      <c r="K1215" s="36" t="n">
        <v>200000</v>
      </c>
      <c r="L1215" s="36" t="n">
        <v>432000</v>
      </c>
      <c r="M1215" s="29" t="n">
        <v>30000</v>
      </c>
      <c r="N1215" s="30" t="n">
        <v>22000</v>
      </c>
      <c r="O1215" s="30" t="n">
        <v>432000</v>
      </c>
      <c r="P1215" s="36" t="n">
        <v>0</v>
      </c>
      <c r="Q1215" s="302" t="n">
        <v>46027</v>
      </c>
    </row>
    <row r="1216" customFormat="false" ht="14.9" hidden="true" customHeight="false" outlineLevel="0" collapsed="false">
      <c r="A1216" s="26" t="n">
        <v>3535</v>
      </c>
      <c r="B1216" s="21" t="s">
        <v>1285</v>
      </c>
      <c r="C1216" s="21"/>
      <c r="D1216" s="34"/>
      <c r="E1216" s="25" t="n">
        <v>46001</v>
      </c>
      <c r="F1216" s="25" t="n">
        <v>46029</v>
      </c>
      <c r="G1216" s="26" t="n">
        <v>20</v>
      </c>
      <c r="H1216" s="71" t="e">
        <f aca="false">#DIV/0!</f>
        <v>#DIV/0!</v>
      </c>
      <c r="I1216" s="71" t="e">
        <f aca="false">#DIV/0!</f>
        <v>#DIV/0!</v>
      </c>
      <c r="J1216" s="35" t="s">
        <v>538</v>
      </c>
      <c r="K1216" s="36" t="n">
        <v>200000</v>
      </c>
      <c r="L1216" s="36" t="n">
        <v>320000</v>
      </c>
      <c r="M1216" s="29"/>
      <c r="N1216" s="30" t="n">
        <v>320000</v>
      </c>
      <c r="O1216" s="30" t="n">
        <v>320000</v>
      </c>
      <c r="P1216" s="36" t="n">
        <v>0</v>
      </c>
      <c r="Q1216" s="302" t="n">
        <v>46027</v>
      </c>
    </row>
    <row r="1217" customFormat="false" ht="14.9" hidden="true" customHeight="false" outlineLevel="0" collapsed="false">
      <c r="A1217" s="26" t="n">
        <v>3271</v>
      </c>
      <c r="B1217" s="21" t="s">
        <v>519</v>
      </c>
      <c r="C1217" s="21" t="s">
        <v>520</v>
      </c>
      <c r="D1217" s="34"/>
      <c r="E1217" s="25" t="n">
        <v>45838</v>
      </c>
      <c r="F1217" s="25" t="n">
        <v>45938</v>
      </c>
      <c r="G1217" s="26" t="n">
        <v>72</v>
      </c>
      <c r="H1217" s="71" t="n">
        <v>72</v>
      </c>
      <c r="I1217" s="71" t="n">
        <v>0</v>
      </c>
      <c r="J1217" s="22" t="s">
        <v>266</v>
      </c>
      <c r="K1217" s="66" t="n">
        <v>100000</v>
      </c>
      <c r="L1217" s="31" t="n">
        <v>216000</v>
      </c>
      <c r="M1217" s="29" t="n">
        <v>15000</v>
      </c>
      <c r="N1217" s="30" t="n">
        <v>3000</v>
      </c>
      <c r="O1217" s="30" t="n">
        <v>216000</v>
      </c>
      <c r="P1217" s="36" t="n">
        <v>0</v>
      </c>
      <c r="Q1217" s="302" t="n">
        <v>46027</v>
      </c>
    </row>
    <row r="1218" customFormat="false" ht="14.9" hidden="true" customHeight="false" outlineLevel="0" collapsed="false">
      <c r="A1218" s="20" t="n">
        <v>3448</v>
      </c>
      <c r="B1218" s="21" t="s">
        <v>240</v>
      </c>
      <c r="C1218" s="21" t="s">
        <v>241</v>
      </c>
      <c r="D1218" s="34"/>
      <c r="E1218" s="25" t="n">
        <v>45857</v>
      </c>
      <c r="F1218" s="25" t="n">
        <v>46010</v>
      </c>
      <c r="G1218" s="26" t="n">
        <v>110</v>
      </c>
      <c r="H1218" s="27" t="n">
        <v>110</v>
      </c>
      <c r="I1218" s="27" t="n">
        <v>0</v>
      </c>
      <c r="J1218" s="22" t="s">
        <v>1356</v>
      </c>
      <c r="K1218" s="36" t="n">
        <v>130000</v>
      </c>
      <c r="L1218" s="36" t="n">
        <v>343200</v>
      </c>
      <c r="M1218" s="29" t="n">
        <v>15600</v>
      </c>
      <c r="N1218" s="30" t="n">
        <v>4100</v>
      </c>
      <c r="O1218" s="30" t="n">
        <v>343200</v>
      </c>
      <c r="P1218" s="31" t="n">
        <v>0</v>
      </c>
      <c r="Q1218" s="302" t="n">
        <v>46034</v>
      </c>
    </row>
    <row r="1219" customFormat="false" ht="14.9" hidden="true" customHeight="false" outlineLevel="0" collapsed="false">
      <c r="A1219" s="20" t="n">
        <v>3587</v>
      </c>
      <c r="B1219" s="21" t="s">
        <v>264</v>
      </c>
      <c r="C1219" s="21" t="s">
        <v>265</v>
      </c>
      <c r="D1219" s="34"/>
      <c r="E1219" s="25" t="n">
        <v>45908</v>
      </c>
      <c r="F1219" s="25" t="n">
        <v>46008</v>
      </c>
      <c r="G1219" s="26" t="n">
        <v>72</v>
      </c>
      <c r="H1219" s="27" t="n">
        <v>72</v>
      </c>
      <c r="I1219" s="27" t="n">
        <v>0</v>
      </c>
      <c r="J1219" s="22" t="s">
        <v>244</v>
      </c>
      <c r="K1219" s="45" t="n">
        <v>200000</v>
      </c>
      <c r="L1219" s="31" t="n">
        <v>432000</v>
      </c>
      <c r="M1219" s="37" t="n">
        <v>30000</v>
      </c>
      <c r="N1219" s="30" t="n">
        <v>42000</v>
      </c>
      <c r="O1219" s="30" t="n">
        <v>432000</v>
      </c>
      <c r="P1219" s="31" t="n">
        <v>0</v>
      </c>
      <c r="Q1219" s="302" t="n">
        <v>46034</v>
      </c>
    </row>
    <row r="1220" customFormat="false" ht="21.6" hidden="true" customHeight="false" outlineLevel="0" collapsed="false">
      <c r="A1220" s="20" t="n">
        <v>3274</v>
      </c>
      <c r="B1220" s="21" t="s">
        <v>285</v>
      </c>
      <c r="C1220" s="21" t="s">
        <v>286</v>
      </c>
      <c r="D1220" s="34"/>
      <c r="E1220" s="25" t="n">
        <v>45938</v>
      </c>
      <c r="F1220" s="25" t="n">
        <v>46050</v>
      </c>
      <c r="G1220" s="26" t="n">
        <v>80</v>
      </c>
      <c r="H1220" s="27" t="n">
        <v>80.7407407407408</v>
      </c>
      <c r="I1220" s="27" t="n">
        <v>-0.740740740740748</v>
      </c>
      <c r="J1220" s="35" t="s">
        <v>259</v>
      </c>
      <c r="K1220" s="36" t="n">
        <v>100000</v>
      </c>
      <c r="L1220" s="36" t="n">
        <v>216000</v>
      </c>
      <c r="M1220" s="56" t="n">
        <v>13500</v>
      </c>
      <c r="N1220" s="30" t="n">
        <v>110000</v>
      </c>
      <c r="O1220" s="30" t="n">
        <v>218000</v>
      </c>
      <c r="P1220" s="36" t="n">
        <v>-2000</v>
      </c>
      <c r="Q1220" s="302" t="n">
        <v>46034</v>
      </c>
    </row>
    <row r="1221" customFormat="false" ht="28.35" hidden="true" customHeight="false" outlineLevel="0" collapsed="false">
      <c r="A1221" s="26" t="n">
        <v>3371</v>
      </c>
      <c r="B1221" s="21" t="s">
        <v>326</v>
      </c>
      <c r="C1221" s="21" t="s">
        <v>327</v>
      </c>
      <c r="D1221" s="34" t="s">
        <v>328</v>
      </c>
      <c r="E1221" s="25" t="n">
        <v>45672</v>
      </c>
      <c r="F1221" s="25" t="n">
        <v>45868</v>
      </c>
      <c r="G1221" s="26" t="n">
        <v>140</v>
      </c>
      <c r="H1221" s="27" t="n">
        <v>142.642860606061</v>
      </c>
      <c r="I1221" s="27" t="n">
        <v>-2.64286060606059</v>
      </c>
      <c r="J1221" s="35" t="s">
        <v>1357</v>
      </c>
      <c r="K1221" s="45" t="n">
        <v>300000</v>
      </c>
      <c r="L1221" s="31" t="n">
        <v>825000</v>
      </c>
      <c r="M1221" s="37" t="n">
        <v>29464.2857142857</v>
      </c>
      <c r="N1221" s="30" t="n">
        <v>25000</v>
      </c>
      <c r="O1221" s="30" t="n">
        <v>840574</v>
      </c>
      <c r="P1221" s="36" t="n">
        <v>-15574</v>
      </c>
      <c r="Q1221" s="302" t="n">
        <v>46034</v>
      </c>
    </row>
    <row r="1222" customFormat="false" ht="21.6" hidden="true" customHeight="false" outlineLevel="0" collapsed="false">
      <c r="A1222" s="26" t="n">
        <v>3521</v>
      </c>
      <c r="B1222" s="21" t="s">
        <v>345</v>
      </c>
      <c r="C1222" s="21" t="s">
        <v>346</v>
      </c>
      <c r="D1222" s="34" t="n">
        <v>27212523</v>
      </c>
      <c r="E1222" s="25" t="n">
        <v>45770</v>
      </c>
      <c r="F1222" s="25" t="n">
        <v>45994</v>
      </c>
      <c r="G1222" s="26" t="n">
        <v>160</v>
      </c>
      <c r="H1222" s="27" t="n">
        <v>180.533333333333</v>
      </c>
      <c r="I1222" s="27" t="n">
        <v>-20.5333333333333</v>
      </c>
      <c r="J1222" s="49" t="s">
        <v>1358</v>
      </c>
      <c r="K1222" s="36" t="n">
        <v>50000</v>
      </c>
      <c r="L1222" s="36" t="n">
        <v>150000</v>
      </c>
      <c r="M1222" s="37" t="n">
        <v>4687.5</v>
      </c>
      <c r="N1222" s="30" t="n">
        <v>35000</v>
      </c>
      <c r="O1222" s="30" t="n">
        <v>169250</v>
      </c>
      <c r="P1222" s="36" t="n">
        <v>-19250</v>
      </c>
      <c r="Q1222" s="302" t="n">
        <v>46034</v>
      </c>
    </row>
    <row r="1223" customFormat="false" ht="42" hidden="true" customHeight="false" outlineLevel="0" collapsed="false">
      <c r="A1223" s="26" t="n">
        <v>3528</v>
      </c>
      <c r="B1223" s="34" t="s">
        <v>396</v>
      </c>
      <c r="C1223" s="34" t="s">
        <v>397</v>
      </c>
      <c r="D1223" s="34"/>
      <c r="E1223" s="25" t="n">
        <v>45985</v>
      </c>
      <c r="F1223" s="25" t="n">
        <v>46041</v>
      </c>
      <c r="G1223" s="26" t="n">
        <v>40</v>
      </c>
      <c r="H1223" s="42" t="n">
        <v>160</v>
      </c>
      <c r="I1223" s="27" t="n">
        <v>-120</v>
      </c>
      <c r="J1223" s="35" t="s">
        <v>1359</v>
      </c>
      <c r="K1223" s="36" t="n">
        <v>200000</v>
      </c>
      <c r="L1223" s="36" t="n">
        <v>270000</v>
      </c>
      <c r="M1223" s="29" t="n">
        <v>33750</v>
      </c>
      <c r="N1223" s="30" t="n">
        <v>135000</v>
      </c>
      <c r="O1223" s="30" t="n">
        <v>270000</v>
      </c>
      <c r="P1223" s="36" t="n">
        <v>0</v>
      </c>
      <c r="Q1223" s="302" t="n">
        <v>46034</v>
      </c>
    </row>
    <row r="1224" customFormat="false" ht="28.35" hidden="true" customHeight="false" outlineLevel="0" collapsed="false">
      <c r="A1224" s="26" t="n">
        <v>3536</v>
      </c>
      <c r="B1224" s="21" t="s">
        <v>430</v>
      </c>
      <c r="C1224" s="21" t="s">
        <v>431</v>
      </c>
      <c r="D1224" s="34"/>
      <c r="E1224" s="25" t="n">
        <v>46018</v>
      </c>
      <c r="F1224" s="25" t="n">
        <v>46101</v>
      </c>
      <c r="G1224" s="26" t="n">
        <v>60</v>
      </c>
      <c r="H1224" s="27" t="n">
        <v>60</v>
      </c>
      <c r="I1224" s="27" t="n">
        <v>0</v>
      </c>
      <c r="J1224" s="65" t="s">
        <v>1360</v>
      </c>
      <c r="K1224" s="36" t="n">
        <v>50000</v>
      </c>
      <c r="L1224" s="36" t="n">
        <v>96000</v>
      </c>
      <c r="M1224" s="37" t="n">
        <v>8000</v>
      </c>
      <c r="N1224" s="74" t="n">
        <v>96000</v>
      </c>
      <c r="O1224" s="30" t="n">
        <v>96000</v>
      </c>
      <c r="P1224" s="36" t="n">
        <v>0</v>
      </c>
      <c r="Q1224" s="302" t="n">
        <v>46034</v>
      </c>
    </row>
    <row r="1225" customFormat="false" ht="14.25" hidden="true" customHeight="false" outlineLevel="0" collapsed="false">
      <c r="A1225" s="26" t="n">
        <v>3453</v>
      </c>
      <c r="B1225" s="21" t="s">
        <v>1361</v>
      </c>
      <c r="C1225" s="21"/>
      <c r="D1225" s="34"/>
      <c r="E1225" s="25" t="n">
        <v>46007</v>
      </c>
      <c r="F1225" s="25" t="n">
        <v>46035</v>
      </c>
      <c r="G1225" s="26" t="n">
        <v>20</v>
      </c>
      <c r="H1225" s="27" t="e">
        <f aca="false">#DIV/0!</f>
        <v>#DIV/0!</v>
      </c>
      <c r="I1225" s="27" t="e">
        <f aca="false">#DIV/0!</f>
        <v>#DIV/0!</v>
      </c>
      <c r="J1225" s="35" t="s">
        <v>538</v>
      </c>
      <c r="K1225" s="36" t="n">
        <v>30000</v>
      </c>
      <c r="L1225" s="36" t="n">
        <v>48000</v>
      </c>
      <c r="M1225" s="37"/>
      <c r="N1225" s="30" t="n">
        <v>48000</v>
      </c>
      <c r="O1225" s="30" t="n">
        <v>48000</v>
      </c>
      <c r="P1225" s="36" t="n">
        <v>0</v>
      </c>
      <c r="Q1225" s="302" t="n">
        <v>46034</v>
      </c>
    </row>
    <row r="1226" customFormat="false" ht="14.25" hidden="true" customHeight="false" outlineLevel="0" collapsed="false">
      <c r="A1226" s="26" t="n">
        <v>3520</v>
      </c>
      <c r="B1226" s="21" t="s">
        <v>504</v>
      </c>
      <c r="C1226" s="21"/>
      <c r="D1226" s="34"/>
      <c r="E1226" s="25" t="n">
        <v>46001</v>
      </c>
      <c r="F1226" s="25" t="n">
        <v>46024</v>
      </c>
      <c r="G1226" s="26" t="n">
        <v>17</v>
      </c>
      <c r="H1226" s="27" t="e">
        <f aca="false">#DIV/0!</f>
        <v>#DIV/0!</v>
      </c>
      <c r="I1226" s="27" t="e">
        <f aca="false">#DIV/0!</f>
        <v>#DIV/0!</v>
      </c>
      <c r="J1226" s="35" t="s">
        <v>538</v>
      </c>
      <c r="K1226" s="36" t="n">
        <v>200000</v>
      </c>
      <c r="L1226" s="36" t="n">
        <v>320000</v>
      </c>
      <c r="M1226" s="37"/>
      <c r="N1226" s="30" t="n">
        <v>320000</v>
      </c>
      <c r="O1226" s="30" t="n">
        <v>320000</v>
      </c>
      <c r="P1226" s="36" t="n">
        <v>0</v>
      </c>
      <c r="Q1226" s="302" t="n">
        <v>46034</v>
      </c>
    </row>
    <row r="1227" customFormat="false" ht="14.25" hidden="true" customHeight="false" outlineLevel="0" collapsed="false">
      <c r="A1227" s="26" t="n">
        <v>3230</v>
      </c>
      <c r="B1227" s="21" t="s">
        <v>504</v>
      </c>
      <c r="C1227" s="21"/>
      <c r="D1227" s="34"/>
      <c r="E1227" s="25" t="n">
        <v>46003</v>
      </c>
      <c r="F1227" s="25" t="n">
        <v>46031</v>
      </c>
      <c r="G1227" s="26" t="n">
        <v>20</v>
      </c>
      <c r="H1227" s="27" t="e">
        <f aca="false">#DIV/0!</f>
        <v>#DIV/0!</v>
      </c>
      <c r="I1227" s="27" t="e">
        <f aca="false">#DIV/0!</f>
        <v>#DIV/0!</v>
      </c>
      <c r="J1227" s="35" t="s">
        <v>538</v>
      </c>
      <c r="K1227" s="36" t="n">
        <v>50000</v>
      </c>
      <c r="L1227" s="36" t="n">
        <v>80000</v>
      </c>
      <c r="M1227" s="29"/>
      <c r="N1227" s="30" t="n">
        <v>80000</v>
      </c>
      <c r="O1227" s="30" t="n">
        <v>80000</v>
      </c>
      <c r="P1227" s="36" t="n">
        <v>0</v>
      </c>
      <c r="Q1227" s="302" t="n">
        <v>46034</v>
      </c>
    </row>
    <row r="1228" customFormat="false" ht="14.9" hidden="true" customHeight="false" outlineLevel="0" collapsed="false">
      <c r="A1228" s="26" t="n">
        <v>3321</v>
      </c>
      <c r="B1228" s="21" t="s">
        <v>1285</v>
      </c>
      <c r="C1228" s="21"/>
      <c r="D1228" s="34"/>
      <c r="E1228" s="25" t="n">
        <v>46007</v>
      </c>
      <c r="F1228" s="25" t="n">
        <v>46035</v>
      </c>
      <c r="G1228" s="26" t="n">
        <v>20</v>
      </c>
      <c r="H1228" s="27" t="e">
        <f aca="false">#DIV/0!</f>
        <v>#DIV/0!</v>
      </c>
      <c r="I1228" s="27" t="e">
        <f aca="false">#DIV/0!</f>
        <v>#DIV/0!</v>
      </c>
      <c r="J1228" s="35" t="s">
        <v>538</v>
      </c>
      <c r="K1228" s="36" t="n">
        <v>60000</v>
      </c>
      <c r="L1228" s="36" t="n">
        <v>96000</v>
      </c>
      <c r="M1228" s="29"/>
      <c r="N1228" s="30" t="n">
        <v>96000</v>
      </c>
      <c r="O1228" s="30" t="n">
        <v>96000</v>
      </c>
      <c r="P1228" s="36" t="n">
        <v>0</v>
      </c>
      <c r="Q1228" s="302" t="n">
        <v>46034</v>
      </c>
    </row>
    <row r="1229" customFormat="false" ht="14.9" hidden="true" customHeight="false" outlineLevel="0" collapsed="false">
      <c r="A1229" s="26" t="n">
        <v>3505</v>
      </c>
      <c r="B1229" s="21" t="s">
        <v>519</v>
      </c>
      <c r="C1229" s="21" t="s">
        <v>520</v>
      </c>
      <c r="D1229" s="34"/>
      <c r="E1229" s="25" t="n">
        <v>45853</v>
      </c>
      <c r="F1229" s="25" t="n">
        <v>45953</v>
      </c>
      <c r="G1229" s="26" t="n">
        <v>72</v>
      </c>
      <c r="H1229" s="27" t="n">
        <v>77.5</v>
      </c>
      <c r="I1229" s="27" t="n">
        <v>-5.5</v>
      </c>
      <c r="J1229" s="22" t="s">
        <v>266</v>
      </c>
      <c r="K1229" s="36" t="n">
        <v>100000</v>
      </c>
      <c r="L1229" s="36" t="n">
        <v>216000</v>
      </c>
      <c r="M1229" s="37" t="n">
        <v>15000</v>
      </c>
      <c r="N1229" s="30" t="n">
        <v>30000</v>
      </c>
      <c r="O1229" s="30" t="n">
        <v>232500</v>
      </c>
      <c r="P1229" s="36" t="n">
        <v>-16500</v>
      </c>
      <c r="Q1229" s="302" t="n">
        <v>46034</v>
      </c>
    </row>
    <row r="1230" customFormat="false" ht="14.25" hidden="true" customHeight="false" outlineLevel="0" collapsed="false">
      <c r="A1230" s="26" t="n">
        <v>3446</v>
      </c>
      <c r="B1230" s="34" t="s">
        <v>537</v>
      </c>
      <c r="C1230" s="21"/>
      <c r="D1230" s="34"/>
      <c r="E1230" s="25" t="n">
        <v>46004</v>
      </c>
      <c r="F1230" s="25" t="n">
        <v>46031</v>
      </c>
      <c r="G1230" s="26" t="n">
        <v>20</v>
      </c>
      <c r="H1230" s="27" t="e">
        <f aca="false">#DIV/0!</f>
        <v>#DIV/0!</v>
      </c>
      <c r="I1230" s="27" t="e">
        <f aca="false">#DIV/0!</f>
        <v>#DIV/0!</v>
      </c>
      <c r="J1230" s="35" t="s">
        <v>538</v>
      </c>
      <c r="K1230" s="36" t="n">
        <v>150000</v>
      </c>
      <c r="L1230" s="36" t="n">
        <v>240000</v>
      </c>
      <c r="M1230" s="29"/>
      <c r="N1230" s="30" t="n">
        <v>240000</v>
      </c>
      <c r="O1230" s="30" t="n">
        <v>240000</v>
      </c>
      <c r="P1230" s="36" t="n">
        <v>0</v>
      </c>
      <c r="Q1230" s="302" t="n">
        <v>46034</v>
      </c>
    </row>
    <row r="1231" customFormat="false" ht="14.25" hidden="true" customHeight="false" outlineLevel="0" collapsed="false">
      <c r="A1231" s="26" t="n">
        <v>3420</v>
      </c>
      <c r="B1231" s="34" t="s">
        <v>537</v>
      </c>
      <c r="C1231" s="21"/>
      <c r="D1231" s="34"/>
      <c r="E1231" s="25" t="n">
        <v>46006</v>
      </c>
      <c r="F1231" s="25" t="n">
        <v>46034</v>
      </c>
      <c r="G1231" s="26" t="n">
        <v>20</v>
      </c>
      <c r="H1231" s="27" t="e">
        <f aca="false">#DIV/0!</f>
        <v>#DIV/0!</v>
      </c>
      <c r="I1231" s="27" t="e">
        <f aca="false">#DIV/0!</f>
        <v>#DIV/0!</v>
      </c>
      <c r="J1231" s="35" t="s">
        <v>538</v>
      </c>
      <c r="K1231" s="36" t="n">
        <v>40000</v>
      </c>
      <c r="L1231" s="36" t="n">
        <v>64000</v>
      </c>
      <c r="M1231" s="37"/>
      <c r="N1231" s="30" t="n">
        <v>64000</v>
      </c>
      <c r="O1231" s="30" t="n">
        <v>64000</v>
      </c>
      <c r="P1231" s="36" t="n">
        <v>0</v>
      </c>
      <c r="Q1231" s="302" t="n">
        <v>46034</v>
      </c>
    </row>
    <row r="1232" customFormat="false" ht="14.25" hidden="true" customHeight="false" outlineLevel="0" collapsed="false">
      <c r="A1232" s="26" t="n">
        <v>3358</v>
      </c>
      <c r="B1232" s="34" t="s">
        <v>537</v>
      </c>
      <c r="C1232" s="21"/>
      <c r="D1232" s="34"/>
      <c r="E1232" s="25" t="n">
        <v>46010</v>
      </c>
      <c r="F1232" s="25" t="n">
        <v>46038</v>
      </c>
      <c r="G1232" s="26" t="n">
        <v>20</v>
      </c>
      <c r="H1232" s="27" t="e">
        <f aca="false">#DIV/0!</f>
        <v>#DIV/0!</v>
      </c>
      <c r="I1232" s="27" t="e">
        <f aca="false">#DIV/0!</f>
        <v>#DIV/0!</v>
      </c>
      <c r="J1232" s="35" t="s">
        <v>538</v>
      </c>
      <c r="K1232" s="31" t="n">
        <v>30000</v>
      </c>
      <c r="L1232" s="31" t="n">
        <v>48000</v>
      </c>
      <c r="M1232" s="29"/>
      <c r="N1232" s="30" t="n">
        <v>48000</v>
      </c>
      <c r="O1232" s="30" t="n">
        <v>48000</v>
      </c>
      <c r="P1232" s="36" t="n">
        <v>0</v>
      </c>
      <c r="Q1232" s="302" t="n">
        <v>46034</v>
      </c>
    </row>
    <row r="1233" customFormat="false" ht="14.25" hidden="true" customHeight="false" outlineLevel="0" collapsed="false">
      <c r="A1233" s="26" t="n">
        <v>3578</v>
      </c>
      <c r="B1233" s="34" t="s">
        <v>537</v>
      </c>
      <c r="C1233" s="21"/>
      <c r="D1233" s="34"/>
      <c r="E1233" s="25" t="n">
        <v>46013</v>
      </c>
      <c r="F1233" s="25" t="n">
        <v>46041</v>
      </c>
      <c r="G1233" s="26" t="n">
        <v>20</v>
      </c>
      <c r="H1233" s="27" t="e">
        <f aca="false">#DIV/0!</f>
        <v>#DIV/0!</v>
      </c>
      <c r="I1233" s="27" t="e">
        <f aca="false">#DIV/0!</f>
        <v>#DIV/0!</v>
      </c>
      <c r="J1233" s="35" t="s">
        <v>538</v>
      </c>
      <c r="K1233" s="39" t="n">
        <v>20000</v>
      </c>
      <c r="L1233" s="36" t="n">
        <v>32000</v>
      </c>
      <c r="M1233" s="29"/>
      <c r="N1233" s="30" t="n">
        <v>32000</v>
      </c>
      <c r="O1233" s="30" t="n">
        <v>32000</v>
      </c>
      <c r="P1233" s="36" t="n">
        <v>0</v>
      </c>
      <c r="Q1233" s="302" t="n">
        <v>46034</v>
      </c>
    </row>
    <row r="1234" customFormat="false" ht="14.25" hidden="true" customHeight="false" outlineLevel="0" collapsed="false">
      <c r="A1234" s="26" t="n">
        <v>3387</v>
      </c>
      <c r="B1234" s="34" t="s">
        <v>537</v>
      </c>
      <c r="C1234" s="21"/>
      <c r="D1234" s="34"/>
      <c r="E1234" s="25" t="n">
        <v>46015</v>
      </c>
      <c r="F1234" s="25" t="n">
        <v>46043</v>
      </c>
      <c r="G1234" s="26" t="n">
        <v>20</v>
      </c>
      <c r="H1234" s="27" t="e">
        <f aca="false">#VALUE!</f>
        <v>#VALUE!</v>
      </c>
      <c r="I1234" s="27" t="e">
        <f aca="false">#VALUE!</f>
        <v>#VALUE!</v>
      </c>
      <c r="J1234" s="35" t="s">
        <v>538</v>
      </c>
      <c r="K1234" s="31" t="n">
        <v>15000</v>
      </c>
      <c r="L1234" s="31" t="n">
        <v>32000</v>
      </c>
      <c r="M1234" s="37" t="s">
        <v>214</v>
      </c>
      <c r="N1234" s="30" t="n">
        <v>32000</v>
      </c>
      <c r="O1234" s="30" t="n">
        <v>32000</v>
      </c>
      <c r="P1234" s="36" t="n">
        <v>0</v>
      </c>
      <c r="Q1234" s="302" t="n">
        <v>46034</v>
      </c>
    </row>
    <row r="1235" customFormat="false" ht="14.25" hidden="true" customHeight="false" outlineLevel="0" collapsed="false">
      <c r="A1235" s="26" t="n">
        <v>3567</v>
      </c>
      <c r="B1235" s="34" t="s">
        <v>537</v>
      </c>
      <c r="C1235" s="21"/>
      <c r="D1235" s="34"/>
      <c r="E1235" s="25" t="n">
        <v>46021</v>
      </c>
      <c r="F1235" s="25" t="n">
        <v>46049</v>
      </c>
      <c r="G1235" s="26" t="n">
        <v>20</v>
      </c>
      <c r="H1235" s="27" t="e">
        <f aca="false">#DIV/0!</f>
        <v>#DIV/0!</v>
      </c>
      <c r="I1235" s="27" t="e">
        <f aca="false">#DIV/0!</f>
        <v>#DIV/0!</v>
      </c>
      <c r="J1235" s="35" t="s">
        <v>538</v>
      </c>
      <c r="K1235" s="36" t="n">
        <v>15000</v>
      </c>
      <c r="L1235" s="36" t="n">
        <v>32000</v>
      </c>
      <c r="M1235" s="37"/>
      <c r="N1235" s="30" t="n">
        <v>32000</v>
      </c>
      <c r="O1235" s="30" t="n">
        <v>32000</v>
      </c>
      <c r="P1235" s="36" t="n">
        <v>0</v>
      </c>
      <c r="Q1235" s="302" t="n">
        <v>46034</v>
      </c>
    </row>
    <row r="1236" customFormat="false" ht="21.6" hidden="true" customHeight="false" outlineLevel="0" collapsed="false">
      <c r="A1236" s="26" t="n">
        <v>3390</v>
      </c>
      <c r="B1236" s="21" t="s">
        <v>543</v>
      </c>
      <c r="C1236" s="21" t="s">
        <v>532</v>
      </c>
      <c r="D1236" s="34"/>
      <c r="E1236" s="25" t="n">
        <v>45825</v>
      </c>
      <c r="F1236" s="25" t="n">
        <v>45937</v>
      </c>
      <c r="G1236" s="26" t="n">
        <v>80</v>
      </c>
      <c r="H1236" s="27" t="n">
        <v>80</v>
      </c>
      <c r="I1236" s="27" t="n">
        <v>0</v>
      </c>
      <c r="J1236" s="35" t="s">
        <v>606</v>
      </c>
      <c r="K1236" s="31" t="n">
        <v>100000</v>
      </c>
      <c r="L1236" s="31" t="n">
        <v>216000</v>
      </c>
      <c r="M1236" s="29" t="n">
        <v>13500</v>
      </c>
      <c r="N1236" s="30" t="n">
        <v>112000</v>
      </c>
      <c r="O1236" s="30" t="n">
        <v>216000</v>
      </c>
      <c r="P1236" s="36" t="n">
        <v>0</v>
      </c>
      <c r="Q1236" s="302" t="n">
        <v>46034</v>
      </c>
    </row>
    <row r="1237" customFormat="false" ht="28.35" hidden="true" customHeight="false" outlineLevel="0" collapsed="false">
      <c r="A1237" s="26" t="n">
        <v>3176</v>
      </c>
      <c r="B1237" s="21" t="s">
        <v>317</v>
      </c>
      <c r="C1237" s="50" t="s">
        <v>314</v>
      </c>
      <c r="D1237" s="34" t="n">
        <v>22375673</v>
      </c>
      <c r="E1237" s="25" t="n">
        <v>45939</v>
      </c>
      <c r="F1237" s="25" t="n">
        <v>46051</v>
      </c>
      <c r="G1237" s="26" t="n">
        <v>80</v>
      </c>
      <c r="H1237" s="27" t="n">
        <v>80</v>
      </c>
      <c r="I1237" s="27" t="n">
        <v>0</v>
      </c>
      <c r="J1237" s="35" t="s">
        <v>274</v>
      </c>
      <c r="K1237" s="31" t="n">
        <v>300000</v>
      </c>
      <c r="L1237" s="31" t="n">
        <v>648000</v>
      </c>
      <c r="M1237" s="37" t="n">
        <v>40500</v>
      </c>
      <c r="N1237" s="30" t="n">
        <v>162000</v>
      </c>
      <c r="O1237" s="30" t="n">
        <v>648000</v>
      </c>
      <c r="P1237" s="36" t="n">
        <v>0</v>
      </c>
      <c r="Q1237" s="302" t="n">
        <v>46041</v>
      </c>
    </row>
    <row r="1238" customFormat="false" ht="14.9" hidden="true" customHeight="false" outlineLevel="0" collapsed="false">
      <c r="A1238" s="26" t="n">
        <v>3456</v>
      </c>
      <c r="B1238" s="21" t="s">
        <v>336</v>
      </c>
      <c r="C1238" s="21" t="s">
        <v>337</v>
      </c>
      <c r="D1238" s="34"/>
      <c r="E1238" s="25" t="n">
        <v>45884</v>
      </c>
      <c r="F1238" s="25" t="n">
        <v>45996</v>
      </c>
      <c r="G1238" s="26" t="n">
        <v>80</v>
      </c>
      <c r="H1238" s="27" t="n">
        <v>80</v>
      </c>
      <c r="I1238" s="27" t="n">
        <v>0</v>
      </c>
      <c r="J1238" s="35" t="s">
        <v>1362</v>
      </c>
      <c r="K1238" s="36" t="n">
        <v>10000</v>
      </c>
      <c r="L1238" s="36" t="n">
        <v>21600</v>
      </c>
      <c r="M1238" s="37" t="n">
        <v>1350</v>
      </c>
      <c r="N1238" s="30" t="n">
        <v>5400</v>
      </c>
      <c r="O1238" s="30" t="n">
        <v>21600</v>
      </c>
      <c r="P1238" s="36" t="n">
        <v>0</v>
      </c>
      <c r="Q1238" s="302" t="n">
        <v>46041</v>
      </c>
    </row>
    <row r="1239" customFormat="false" ht="14.9" hidden="true" customHeight="false" outlineLevel="0" collapsed="false">
      <c r="A1239" s="26" t="n">
        <v>3524</v>
      </c>
      <c r="B1239" s="21" t="s">
        <v>336</v>
      </c>
      <c r="C1239" s="21" t="s">
        <v>337</v>
      </c>
      <c r="D1239" s="34"/>
      <c r="E1239" s="25" t="n">
        <v>45909</v>
      </c>
      <c r="F1239" s="25" t="n">
        <v>46021</v>
      </c>
      <c r="G1239" s="26" t="n">
        <v>80</v>
      </c>
      <c r="H1239" s="27" t="n">
        <v>80</v>
      </c>
      <c r="I1239" s="27" t="n">
        <v>0</v>
      </c>
      <c r="J1239" s="35" t="s">
        <v>954</v>
      </c>
      <c r="K1239" s="31" t="n">
        <v>20000</v>
      </c>
      <c r="L1239" s="31" t="n">
        <v>43200</v>
      </c>
      <c r="M1239" s="37" t="n">
        <v>2700</v>
      </c>
      <c r="N1239" s="30" t="n">
        <v>10800</v>
      </c>
      <c r="O1239" s="30" t="n">
        <v>43200</v>
      </c>
      <c r="P1239" s="36" t="n">
        <v>0</v>
      </c>
      <c r="Q1239" s="302" t="n">
        <v>46041</v>
      </c>
    </row>
    <row r="1240" customFormat="false" ht="37.3" hidden="true" customHeight="false" outlineLevel="0" collapsed="false">
      <c r="A1240" s="26" t="n">
        <v>3574</v>
      </c>
      <c r="B1240" s="22" t="s">
        <v>413</v>
      </c>
      <c r="C1240" s="22" t="s">
        <v>414</v>
      </c>
      <c r="D1240" s="22" t="n">
        <v>37095915</v>
      </c>
      <c r="E1240" s="24" t="n">
        <v>45898</v>
      </c>
      <c r="F1240" s="25" t="n">
        <v>46010</v>
      </c>
      <c r="G1240" s="26" t="n">
        <v>80</v>
      </c>
      <c r="H1240" s="27" t="n">
        <v>80</v>
      </c>
      <c r="I1240" s="27" t="n">
        <v>0</v>
      </c>
      <c r="J1240" s="35" t="s">
        <v>341</v>
      </c>
      <c r="K1240" s="307" t="n">
        <v>100000</v>
      </c>
      <c r="L1240" s="307" t="n">
        <v>216000</v>
      </c>
      <c r="M1240" s="37" t="n">
        <v>13500</v>
      </c>
      <c r="N1240" s="30" t="n">
        <v>54000</v>
      </c>
      <c r="O1240" s="30" t="n">
        <v>216000</v>
      </c>
      <c r="P1240" s="36" t="n">
        <v>0</v>
      </c>
      <c r="Q1240" s="302" t="n">
        <v>46041</v>
      </c>
    </row>
    <row r="1241" customFormat="false" ht="37.3" hidden="true" customHeight="false" outlineLevel="0" collapsed="false">
      <c r="A1241" s="26" t="n">
        <v>3348</v>
      </c>
      <c r="B1241" s="22" t="s">
        <v>413</v>
      </c>
      <c r="C1241" s="22" t="s">
        <v>414</v>
      </c>
      <c r="D1241" s="22" t="n">
        <v>37095915</v>
      </c>
      <c r="E1241" s="24" t="n">
        <v>45953</v>
      </c>
      <c r="F1241" s="25" t="n">
        <v>46037</v>
      </c>
      <c r="G1241" s="26" t="n">
        <v>60</v>
      </c>
      <c r="H1241" s="27" t="n">
        <v>60</v>
      </c>
      <c r="I1241" s="27" t="n">
        <v>0</v>
      </c>
      <c r="J1241" s="35" t="s">
        <v>1363</v>
      </c>
      <c r="K1241" s="28" t="n">
        <v>200000</v>
      </c>
      <c r="L1241" s="28" t="n">
        <v>384000</v>
      </c>
      <c r="M1241" s="37" t="n">
        <v>32000</v>
      </c>
      <c r="N1241" s="30" t="n">
        <v>128000</v>
      </c>
      <c r="O1241" s="30" t="n">
        <v>384000</v>
      </c>
      <c r="P1241" s="36" t="n">
        <v>0</v>
      </c>
      <c r="Q1241" s="302" t="n">
        <v>46041</v>
      </c>
    </row>
    <row r="1242" customFormat="false" ht="21.6" hidden="true" customHeight="false" outlineLevel="0" collapsed="false">
      <c r="A1242" s="26" t="n">
        <v>3552</v>
      </c>
      <c r="B1242" s="21" t="s">
        <v>450</v>
      </c>
      <c r="C1242" s="21" t="s">
        <v>451</v>
      </c>
      <c r="D1242" s="34"/>
      <c r="E1242" s="25" t="n">
        <v>45920</v>
      </c>
      <c r="F1242" s="25" t="n">
        <v>46021</v>
      </c>
      <c r="G1242" s="26" t="n">
        <v>72</v>
      </c>
      <c r="H1242" s="27" t="n">
        <v>72</v>
      </c>
      <c r="I1242" s="27" t="n">
        <v>0</v>
      </c>
      <c r="J1242" s="22" t="s">
        <v>266</v>
      </c>
      <c r="K1242" s="46" t="n">
        <v>20000</v>
      </c>
      <c r="L1242" s="36" t="n">
        <v>43200</v>
      </c>
      <c r="M1242" s="37" t="n">
        <v>3000</v>
      </c>
      <c r="N1242" s="30" t="n">
        <v>10200</v>
      </c>
      <c r="O1242" s="30" t="n">
        <v>43200</v>
      </c>
      <c r="P1242" s="36" t="n">
        <v>0</v>
      </c>
      <c r="Q1242" s="302" t="n">
        <v>46041</v>
      </c>
    </row>
    <row r="1243" customFormat="false" ht="41.75" hidden="true" customHeight="false" outlineLevel="0" collapsed="false">
      <c r="A1243" s="26" t="n">
        <v>3513</v>
      </c>
      <c r="B1243" s="21" t="s">
        <v>456</v>
      </c>
      <c r="C1243" s="21" t="s">
        <v>457</v>
      </c>
      <c r="D1243" s="34"/>
      <c r="E1243" s="25" t="n">
        <v>45940</v>
      </c>
      <c r="F1243" s="25" t="n">
        <v>46024</v>
      </c>
      <c r="G1243" s="26" t="n">
        <v>60</v>
      </c>
      <c r="H1243" s="27" t="n">
        <v>60.234375</v>
      </c>
      <c r="I1243" s="27" t="n">
        <v>-0.234375</v>
      </c>
      <c r="J1243" s="35" t="s">
        <v>1313</v>
      </c>
      <c r="K1243" s="31" t="n">
        <v>400000</v>
      </c>
      <c r="L1243" s="31" t="n">
        <v>768000</v>
      </c>
      <c r="M1243" s="29" t="n">
        <v>64000</v>
      </c>
      <c r="N1243" s="30" t="n">
        <v>100000</v>
      </c>
      <c r="O1243" s="30" t="n">
        <v>771000</v>
      </c>
      <c r="P1243" s="36" t="n">
        <v>-3000</v>
      </c>
      <c r="Q1243" s="302" t="n">
        <v>46041</v>
      </c>
    </row>
    <row r="1244" customFormat="false" ht="19.4" hidden="true" customHeight="false" outlineLevel="0" collapsed="false">
      <c r="A1244" s="26" t="n">
        <v>3577</v>
      </c>
      <c r="B1244" s="21" t="s">
        <v>1106</v>
      </c>
      <c r="C1244" s="21" t="s">
        <v>489</v>
      </c>
      <c r="D1244" s="34"/>
      <c r="E1244" s="25" t="n">
        <v>45938</v>
      </c>
      <c r="F1244" s="25" t="n">
        <v>45966</v>
      </c>
      <c r="G1244" s="26" t="n">
        <v>20</v>
      </c>
      <c r="H1244" s="27" t="n">
        <v>11.6666666666667</v>
      </c>
      <c r="I1244" s="27" t="n">
        <v>8.33333333333333</v>
      </c>
      <c r="J1244" s="35" t="s">
        <v>1364</v>
      </c>
      <c r="K1244" s="36" t="n">
        <v>30000</v>
      </c>
      <c r="L1244" s="36" t="n">
        <v>105000</v>
      </c>
      <c r="M1244" s="29" t="n">
        <v>45000</v>
      </c>
      <c r="N1244" s="30" t="n">
        <v>45000</v>
      </c>
      <c r="O1244" s="30" t="n">
        <v>105000</v>
      </c>
      <c r="P1244" s="36" t="n">
        <v>0</v>
      </c>
      <c r="Q1244" s="302" t="n">
        <v>46041</v>
      </c>
    </row>
    <row r="1245" customFormat="false" ht="14.25" hidden="true" customHeight="false" outlineLevel="0" collapsed="false">
      <c r="A1245" s="26" t="n">
        <v>3386</v>
      </c>
      <c r="B1245" s="21" t="s">
        <v>1106</v>
      </c>
      <c r="C1245" s="21" t="s">
        <v>489</v>
      </c>
      <c r="D1245" s="34"/>
      <c r="E1245" s="25" t="n">
        <v>45985</v>
      </c>
      <c r="F1245" s="25" t="n">
        <v>46013</v>
      </c>
      <c r="G1245" s="26" t="n">
        <v>20</v>
      </c>
      <c r="H1245" s="27" t="e">
        <f aca="false">#DIV/0!</f>
        <v>#DIV/0!</v>
      </c>
      <c r="I1245" s="27" t="e">
        <f aca="false">#DIV/0!</f>
        <v>#DIV/0!</v>
      </c>
      <c r="J1245" s="35" t="s">
        <v>580</v>
      </c>
      <c r="K1245" s="31" t="n">
        <v>70000</v>
      </c>
      <c r="L1245" s="31" t="n">
        <v>105000</v>
      </c>
      <c r="M1245" s="29"/>
      <c r="N1245" s="30" t="n">
        <v>5000</v>
      </c>
      <c r="O1245" s="30" t="n">
        <v>105000</v>
      </c>
      <c r="P1245" s="36" t="n">
        <v>0</v>
      </c>
      <c r="Q1245" s="302" t="n">
        <v>46041</v>
      </c>
    </row>
    <row r="1246" customFormat="false" ht="14.9" hidden="true" customHeight="false" outlineLevel="0" collapsed="false">
      <c r="A1246" s="26" t="n">
        <v>3549</v>
      </c>
      <c r="B1246" s="21" t="s">
        <v>491</v>
      </c>
      <c r="C1246" s="21" t="s">
        <v>492</v>
      </c>
      <c r="D1246" s="34" t="n">
        <v>27329256826</v>
      </c>
      <c r="E1246" s="25" t="n">
        <v>45863</v>
      </c>
      <c r="F1246" s="25" t="n">
        <v>46031</v>
      </c>
      <c r="G1246" s="26" t="n">
        <v>120</v>
      </c>
      <c r="H1246" s="27" t="n">
        <v>120</v>
      </c>
      <c r="I1246" s="27" t="n">
        <v>0</v>
      </c>
      <c r="J1246" s="35" t="s">
        <v>493</v>
      </c>
      <c r="K1246" s="31" t="n">
        <v>150000</v>
      </c>
      <c r="L1246" s="31" t="n">
        <v>396000</v>
      </c>
      <c r="M1246" s="29" t="n">
        <v>16500</v>
      </c>
      <c r="N1246" s="30" t="n">
        <v>66000</v>
      </c>
      <c r="O1246" s="30" t="n">
        <v>396000</v>
      </c>
      <c r="P1246" s="36" t="n">
        <v>0</v>
      </c>
      <c r="Q1246" s="302" t="n">
        <v>46041</v>
      </c>
    </row>
    <row r="1247" customFormat="false" ht="14.9" hidden="true" customHeight="false" outlineLevel="0" collapsed="false">
      <c r="A1247" s="26" t="n">
        <v>3527</v>
      </c>
      <c r="B1247" s="21" t="s">
        <v>519</v>
      </c>
      <c r="C1247" s="21" t="s">
        <v>520</v>
      </c>
      <c r="D1247" s="34"/>
      <c r="E1247" s="25" t="n">
        <v>45878</v>
      </c>
      <c r="F1247" s="25" t="n">
        <v>45979</v>
      </c>
      <c r="G1247" s="26" t="n">
        <v>72</v>
      </c>
      <c r="H1247" s="27" t="n">
        <v>72</v>
      </c>
      <c r="I1247" s="27" t="n">
        <v>0</v>
      </c>
      <c r="J1247" s="22" t="s">
        <v>381</v>
      </c>
      <c r="K1247" s="31" t="n">
        <v>50000</v>
      </c>
      <c r="L1247" s="31" t="n">
        <v>108000</v>
      </c>
      <c r="M1247" s="29" t="n">
        <v>7500</v>
      </c>
      <c r="N1247" s="30" t="n">
        <v>10500</v>
      </c>
      <c r="O1247" s="30" t="n">
        <v>108000</v>
      </c>
      <c r="P1247" s="36" t="n">
        <v>0</v>
      </c>
      <c r="Q1247" s="302" t="n">
        <v>46041</v>
      </c>
    </row>
    <row r="1248" customFormat="false" ht="34.3" hidden="true" customHeight="false" outlineLevel="0" collapsed="false">
      <c r="A1248" s="26" t="n">
        <v>3555</v>
      </c>
      <c r="B1248" s="34" t="s">
        <v>522</v>
      </c>
      <c r="C1248" s="34" t="s">
        <v>523</v>
      </c>
      <c r="D1248" s="34"/>
      <c r="E1248" s="25" t="n">
        <v>45832</v>
      </c>
      <c r="F1248" s="25" t="n">
        <v>45932</v>
      </c>
      <c r="G1248" s="26" t="n">
        <v>72</v>
      </c>
      <c r="H1248" s="27" t="n">
        <v>72</v>
      </c>
      <c r="I1248" s="27" t="n">
        <v>0</v>
      </c>
      <c r="J1248" s="34" t="s">
        <v>245</v>
      </c>
      <c r="K1248" s="36" t="n">
        <v>300000</v>
      </c>
      <c r="L1248" s="36" t="n">
        <v>665400</v>
      </c>
      <c r="M1248" s="29" t="n">
        <v>46208.3333333333</v>
      </c>
      <c r="N1248" s="30" t="n">
        <v>15000</v>
      </c>
      <c r="O1248" s="30" t="n">
        <v>665400</v>
      </c>
      <c r="P1248" s="36" t="n">
        <v>0</v>
      </c>
      <c r="Q1248" s="302" t="n">
        <v>46041</v>
      </c>
    </row>
    <row r="1249" customFormat="false" ht="14.9" hidden="true" customHeight="false" outlineLevel="0" collapsed="false">
      <c r="A1249" s="26" t="n">
        <v>3197</v>
      </c>
      <c r="B1249" s="21" t="s">
        <v>578</v>
      </c>
      <c r="C1249" s="21" t="s">
        <v>579</v>
      </c>
      <c r="D1249" s="34"/>
      <c r="E1249" s="25" t="n">
        <v>46017</v>
      </c>
      <c r="F1249" s="25" t="n">
        <v>46043</v>
      </c>
      <c r="G1249" s="26" t="n">
        <v>18</v>
      </c>
      <c r="H1249" s="27" t="e">
        <f aca="false">#DIV/0!</f>
        <v>#DIV/0!</v>
      </c>
      <c r="I1249" s="27" t="e">
        <f aca="false">#DIV/0!</f>
        <v>#DIV/0!</v>
      </c>
      <c r="J1249" s="35" t="s">
        <v>580</v>
      </c>
      <c r="K1249" s="31" t="n">
        <v>250000</v>
      </c>
      <c r="L1249" s="31" t="n">
        <v>350000</v>
      </c>
      <c r="M1249" s="29"/>
      <c r="N1249" s="30" t="n">
        <v>350000</v>
      </c>
      <c r="O1249" s="30" t="n">
        <v>350000</v>
      </c>
      <c r="P1249" s="36" t="n">
        <v>0</v>
      </c>
      <c r="Q1249" s="302" t="n">
        <v>46041</v>
      </c>
    </row>
    <row r="1250" customFormat="false" ht="21.6" hidden="true" customHeight="false" outlineLevel="0" collapsed="false">
      <c r="A1250" s="26" t="n">
        <v>2814</v>
      </c>
      <c r="B1250" s="21" t="s">
        <v>593</v>
      </c>
      <c r="C1250" s="21" t="s">
        <v>594</v>
      </c>
      <c r="D1250" s="34"/>
      <c r="E1250" s="25" t="n">
        <v>45793</v>
      </c>
      <c r="F1250" s="25" t="n">
        <v>46017</v>
      </c>
      <c r="G1250" s="26" t="n">
        <v>160</v>
      </c>
      <c r="H1250" s="27" t="n">
        <v>160</v>
      </c>
      <c r="I1250" s="27" t="n">
        <v>0</v>
      </c>
      <c r="J1250" s="35" t="s">
        <v>1365</v>
      </c>
      <c r="K1250" s="36" t="n">
        <v>120000</v>
      </c>
      <c r="L1250" s="36" t="n">
        <v>360000</v>
      </c>
      <c r="M1250" s="37" t="n">
        <v>11250</v>
      </c>
      <c r="N1250" s="30" t="n">
        <v>45000</v>
      </c>
      <c r="O1250" s="30" t="n">
        <v>360000</v>
      </c>
      <c r="P1250" s="36" t="n">
        <v>0</v>
      </c>
      <c r="Q1250" s="302" t="n">
        <v>46041</v>
      </c>
    </row>
    <row r="1251" customFormat="false" ht="21.6" hidden="true" customHeight="false" outlineLevel="0" collapsed="false">
      <c r="A1251" s="26" t="n">
        <v>3417</v>
      </c>
      <c r="B1251" s="21" t="s">
        <v>593</v>
      </c>
      <c r="C1251" s="21" t="s">
        <v>594</v>
      </c>
      <c r="D1251" s="34"/>
      <c r="E1251" s="25" t="n">
        <v>45945</v>
      </c>
      <c r="F1251" s="25" t="n">
        <v>46057</v>
      </c>
      <c r="G1251" s="26" t="n">
        <v>80</v>
      </c>
      <c r="H1251" s="27" t="n">
        <v>80</v>
      </c>
      <c r="I1251" s="27" t="n">
        <v>0</v>
      </c>
      <c r="J1251" s="35" t="s">
        <v>1332</v>
      </c>
      <c r="K1251" s="36" t="n">
        <v>100000</v>
      </c>
      <c r="L1251" s="36" t="n">
        <v>216000</v>
      </c>
      <c r="M1251" s="29" t="n">
        <v>13500</v>
      </c>
      <c r="N1251" s="30" t="n">
        <v>65000</v>
      </c>
      <c r="O1251" s="30" t="n">
        <v>216000</v>
      </c>
      <c r="P1251" s="36" t="n">
        <v>0</v>
      </c>
      <c r="Q1251" s="302" t="n">
        <v>46041</v>
      </c>
    </row>
    <row r="1252" customFormat="false" ht="14.9" hidden="true" customHeight="false" outlineLevel="0" collapsed="false">
      <c r="A1252" s="20" t="n">
        <v>3466</v>
      </c>
      <c r="B1252" s="21" t="s">
        <v>240</v>
      </c>
      <c r="C1252" s="21" t="s">
        <v>241</v>
      </c>
      <c r="D1252" s="34"/>
      <c r="E1252" s="25" t="n">
        <v>45948</v>
      </c>
      <c r="F1252" s="25" t="n">
        <v>46049</v>
      </c>
      <c r="G1252" s="26" t="n">
        <v>72</v>
      </c>
      <c r="H1252" s="27" t="n">
        <v>72</v>
      </c>
      <c r="I1252" s="27" t="n">
        <v>0</v>
      </c>
      <c r="J1252" s="22" t="s">
        <v>266</v>
      </c>
      <c r="K1252" s="36" t="n">
        <v>100000</v>
      </c>
      <c r="L1252" s="36" t="n">
        <v>216000</v>
      </c>
      <c r="M1252" s="37" t="n">
        <v>15000</v>
      </c>
      <c r="N1252" s="30" t="n">
        <v>16000</v>
      </c>
      <c r="O1252" s="30" t="n">
        <v>216000</v>
      </c>
      <c r="P1252" s="31" t="n">
        <v>0</v>
      </c>
      <c r="Q1252" s="302" t="n">
        <v>46048</v>
      </c>
    </row>
    <row r="1253" customFormat="false" ht="14.9" hidden="true" customHeight="false" outlineLevel="0" collapsed="false">
      <c r="A1253" s="20" t="n">
        <v>3346</v>
      </c>
      <c r="B1253" s="21" t="s">
        <v>264</v>
      </c>
      <c r="C1253" s="21" t="s">
        <v>265</v>
      </c>
      <c r="D1253" s="34"/>
      <c r="E1253" s="25" t="n">
        <v>45948</v>
      </c>
      <c r="F1253" s="25" t="n">
        <v>46049</v>
      </c>
      <c r="G1253" s="26" t="n">
        <v>72</v>
      </c>
      <c r="H1253" s="27" t="n">
        <v>72</v>
      </c>
      <c r="I1253" s="27" t="n">
        <v>0</v>
      </c>
      <c r="J1253" s="22" t="s">
        <v>244</v>
      </c>
      <c r="K1253" s="45" t="n">
        <v>200000</v>
      </c>
      <c r="L1253" s="31" t="n">
        <v>432000</v>
      </c>
      <c r="M1253" s="37" t="n">
        <v>30000</v>
      </c>
      <c r="N1253" s="30" t="n">
        <v>42000</v>
      </c>
      <c r="O1253" s="30" t="n">
        <v>432000</v>
      </c>
      <c r="P1253" s="36" t="n">
        <v>0</v>
      </c>
      <c r="Q1253" s="302" t="n">
        <v>46048</v>
      </c>
    </row>
    <row r="1254" customFormat="false" ht="21.6" hidden="true" customHeight="false" outlineLevel="0" collapsed="false">
      <c r="A1254" s="26" t="n">
        <v>3355</v>
      </c>
      <c r="B1254" s="21" t="s">
        <v>385</v>
      </c>
      <c r="C1254" s="21" t="s">
        <v>386</v>
      </c>
      <c r="D1254" s="34"/>
      <c r="E1254" s="25" t="n">
        <v>45755</v>
      </c>
      <c r="F1254" s="25" t="n">
        <v>45923</v>
      </c>
      <c r="G1254" s="26" t="n">
        <v>120</v>
      </c>
      <c r="H1254" s="27" t="n">
        <v>127.272727272727</v>
      </c>
      <c r="I1254" s="27" t="n">
        <v>-7.27272727272727</v>
      </c>
      <c r="J1254" s="35" t="s">
        <v>1197</v>
      </c>
      <c r="K1254" s="31" t="n">
        <v>50000</v>
      </c>
      <c r="L1254" s="31" t="n">
        <v>132000</v>
      </c>
      <c r="M1254" s="37" t="n">
        <v>5500</v>
      </c>
      <c r="N1254" s="30" t="n">
        <v>30000</v>
      </c>
      <c r="O1254" s="30" t="n">
        <v>140000</v>
      </c>
      <c r="P1254" s="36" t="n">
        <v>-8000</v>
      </c>
      <c r="Q1254" s="302" t="n">
        <v>46048</v>
      </c>
    </row>
    <row r="1255" customFormat="false" ht="28.35" hidden="true" customHeight="false" outlineLevel="0" collapsed="false">
      <c r="A1255" s="26" t="n">
        <v>3519</v>
      </c>
      <c r="B1255" s="21" t="s">
        <v>407</v>
      </c>
      <c r="C1255" s="21" t="s">
        <v>397</v>
      </c>
      <c r="D1255" s="34"/>
      <c r="E1255" s="25" t="n">
        <v>45934</v>
      </c>
      <c r="F1255" s="25" t="n">
        <v>46031</v>
      </c>
      <c r="G1255" s="26" t="n">
        <v>70</v>
      </c>
      <c r="H1255" s="27" t="n">
        <v>70.0064808813999</v>
      </c>
      <c r="I1255" s="27" t="n">
        <v>-0.00648088139986669</v>
      </c>
      <c r="J1255" s="22" t="s">
        <v>1366</v>
      </c>
      <c r="K1255" s="36" t="n">
        <v>250000</v>
      </c>
      <c r="L1255" s="36" t="n">
        <v>540050</v>
      </c>
      <c r="M1255" s="29" t="n">
        <v>38575</v>
      </c>
      <c r="N1255" s="30" t="n">
        <v>7150</v>
      </c>
      <c r="O1255" s="30" t="n">
        <v>540100</v>
      </c>
      <c r="P1255" s="36" t="n">
        <v>-50</v>
      </c>
      <c r="Q1255" s="302" t="n">
        <v>46048</v>
      </c>
    </row>
    <row r="1256" customFormat="false" ht="28.35" hidden="true" customHeight="false" outlineLevel="0" collapsed="false">
      <c r="A1256" s="26" t="n">
        <v>3515</v>
      </c>
      <c r="B1256" s="21" t="s">
        <v>1367</v>
      </c>
      <c r="C1256" s="21" t="s">
        <v>1368</v>
      </c>
      <c r="D1256" s="34"/>
      <c r="E1256" s="25" t="n">
        <v>45857</v>
      </c>
      <c r="F1256" s="25" t="n">
        <v>46024</v>
      </c>
      <c r="G1256" s="26" t="n">
        <v>120</v>
      </c>
      <c r="H1256" s="27" t="n">
        <v>122.727272727273</v>
      </c>
      <c r="I1256" s="27" t="n">
        <v>-2.72727272727273</v>
      </c>
      <c r="J1256" s="35" t="s">
        <v>340</v>
      </c>
      <c r="K1256" s="36" t="n">
        <v>100000</v>
      </c>
      <c r="L1256" s="36" t="n">
        <v>264000</v>
      </c>
      <c r="M1256" s="29" t="n">
        <v>11000</v>
      </c>
      <c r="N1256" s="30" t="n">
        <v>50000</v>
      </c>
      <c r="O1256" s="30" t="n">
        <v>270000</v>
      </c>
      <c r="P1256" s="36" t="n">
        <v>-6000</v>
      </c>
      <c r="Q1256" s="302" t="n">
        <v>46048</v>
      </c>
    </row>
    <row r="1257" customFormat="false" ht="14.9" hidden="true" customHeight="false" outlineLevel="0" collapsed="false">
      <c r="A1257" s="20" t="n">
        <v>3522</v>
      </c>
      <c r="B1257" s="21" t="s">
        <v>240</v>
      </c>
      <c r="C1257" s="21" t="s">
        <v>241</v>
      </c>
      <c r="D1257" s="34"/>
      <c r="E1257" s="25" t="n">
        <v>45958</v>
      </c>
      <c r="F1257" s="25" t="n">
        <v>46058</v>
      </c>
      <c r="G1257" s="26" t="n">
        <v>72</v>
      </c>
      <c r="H1257" s="27" t="n">
        <v>72</v>
      </c>
      <c r="I1257" s="27" t="n">
        <v>0</v>
      </c>
      <c r="J1257" s="22" t="s">
        <v>244</v>
      </c>
      <c r="K1257" s="36" t="n">
        <v>200000</v>
      </c>
      <c r="L1257" s="36" t="n">
        <v>432000</v>
      </c>
      <c r="M1257" s="37" t="n">
        <v>30000</v>
      </c>
      <c r="N1257" s="30" t="n">
        <v>12000</v>
      </c>
      <c r="O1257" s="30" t="n">
        <v>432000</v>
      </c>
      <c r="P1257" s="31" t="n">
        <v>0</v>
      </c>
      <c r="Q1257" s="302" t="n">
        <v>46055</v>
      </c>
    </row>
    <row r="1258" customFormat="false" ht="21.6" hidden="true" customHeight="false" outlineLevel="0" collapsed="false">
      <c r="A1258" s="20" t="n">
        <v>3404</v>
      </c>
      <c r="B1258" s="21" t="s">
        <v>256</v>
      </c>
      <c r="C1258" s="21" t="s">
        <v>257</v>
      </c>
      <c r="D1258" s="34"/>
      <c r="E1258" s="25" t="n">
        <v>45883</v>
      </c>
      <c r="F1258" s="25" t="n">
        <v>46051</v>
      </c>
      <c r="G1258" s="26" t="n">
        <v>120</v>
      </c>
      <c r="H1258" s="27" t="n">
        <v>120</v>
      </c>
      <c r="I1258" s="27" t="n">
        <v>0</v>
      </c>
      <c r="J1258" s="35" t="s">
        <v>331</v>
      </c>
      <c r="K1258" s="36" t="n">
        <v>400000</v>
      </c>
      <c r="L1258" s="36" t="n">
        <v>1056000</v>
      </c>
      <c r="M1258" s="29" t="n">
        <v>44000</v>
      </c>
      <c r="N1258" s="30" t="n">
        <v>176000</v>
      </c>
      <c r="O1258" s="30" t="n">
        <v>1056000</v>
      </c>
      <c r="P1258" s="31" t="n">
        <v>0</v>
      </c>
      <c r="Q1258" s="302" t="n">
        <v>46055</v>
      </c>
    </row>
    <row r="1259" customFormat="false" ht="14.9" hidden="true" customHeight="false" outlineLevel="0" collapsed="false">
      <c r="A1259" s="26" t="n">
        <v>3158</v>
      </c>
      <c r="B1259" s="21" t="s">
        <v>301</v>
      </c>
      <c r="C1259" s="21" t="s">
        <v>292</v>
      </c>
      <c r="D1259" s="34"/>
      <c r="E1259" s="25" t="n">
        <v>46032</v>
      </c>
      <c r="F1259" s="25" t="n">
        <v>46059</v>
      </c>
      <c r="G1259" s="26" t="n">
        <v>20</v>
      </c>
      <c r="H1259" s="27" t="e">
        <f aca="false">#DIV/0!</f>
        <v>#DIV/0!</v>
      </c>
      <c r="I1259" s="27" t="e">
        <f aca="false">#DIV/0!</f>
        <v>#DIV/0!</v>
      </c>
      <c r="J1259" s="35" t="s">
        <v>580</v>
      </c>
      <c r="K1259" s="36" t="n">
        <v>200000</v>
      </c>
      <c r="L1259" s="36" t="n">
        <v>300000</v>
      </c>
      <c r="M1259" s="37"/>
      <c r="N1259" s="30" t="n">
        <v>300000</v>
      </c>
      <c r="O1259" s="30" t="n">
        <v>300000</v>
      </c>
      <c r="P1259" s="36" t="n">
        <v>0</v>
      </c>
      <c r="Q1259" s="302" t="n">
        <v>46055</v>
      </c>
    </row>
    <row r="1260" customFormat="false" ht="34.3" hidden="true" customHeight="false" outlineLevel="0" collapsed="false">
      <c r="A1260" s="26" t="n">
        <v>1936</v>
      </c>
      <c r="B1260" s="34" t="s">
        <v>350</v>
      </c>
      <c r="C1260" s="34" t="s">
        <v>351</v>
      </c>
      <c r="D1260" s="54"/>
      <c r="E1260" s="25" t="n">
        <v>45835</v>
      </c>
      <c r="F1260" s="25" t="n">
        <v>46059</v>
      </c>
      <c r="G1260" s="26" t="n">
        <v>160</v>
      </c>
      <c r="H1260" s="27" t="n">
        <v>160</v>
      </c>
      <c r="I1260" s="27" t="n">
        <v>0</v>
      </c>
      <c r="J1260" s="35" t="s">
        <v>1369</v>
      </c>
      <c r="K1260" s="31" t="n">
        <v>1000000</v>
      </c>
      <c r="L1260" s="31" t="n">
        <v>3000000</v>
      </c>
      <c r="M1260" s="37" t="n">
        <v>93750</v>
      </c>
      <c r="N1260" s="30" t="n">
        <v>750000</v>
      </c>
      <c r="O1260" s="30" t="n">
        <v>3000000</v>
      </c>
      <c r="P1260" s="36" t="n">
        <v>0</v>
      </c>
      <c r="Q1260" s="302" t="n">
        <v>46055</v>
      </c>
    </row>
    <row r="1261" customFormat="false" ht="34.3" hidden="true" customHeight="false" outlineLevel="0" collapsed="false">
      <c r="A1261" s="26" t="n">
        <v>1949</v>
      </c>
      <c r="B1261" s="34" t="s">
        <v>350</v>
      </c>
      <c r="C1261" s="34" t="s">
        <v>351</v>
      </c>
      <c r="D1261" s="34" t="s">
        <v>358</v>
      </c>
      <c r="E1261" s="25" t="n">
        <v>45937</v>
      </c>
      <c r="F1261" s="25" t="n">
        <v>46049</v>
      </c>
      <c r="G1261" s="26" t="n">
        <v>80</v>
      </c>
      <c r="H1261" s="27" t="n">
        <v>80</v>
      </c>
      <c r="I1261" s="27" t="n">
        <v>0</v>
      </c>
      <c r="J1261" s="35" t="s">
        <v>1370</v>
      </c>
      <c r="K1261" s="58" t="n">
        <v>200000</v>
      </c>
      <c r="L1261" s="36" t="n">
        <v>432000</v>
      </c>
      <c r="M1261" s="37" t="n">
        <v>27000</v>
      </c>
      <c r="N1261" s="30" t="n">
        <v>108000</v>
      </c>
      <c r="O1261" s="30" t="n">
        <v>432000</v>
      </c>
      <c r="P1261" s="36" t="n">
        <v>0</v>
      </c>
      <c r="Q1261" s="302" t="n">
        <v>46055</v>
      </c>
    </row>
    <row r="1262" customFormat="false" ht="21.6" hidden="true" customHeight="false" outlineLevel="0" collapsed="false">
      <c r="A1262" s="26" t="n">
        <v>3080</v>
      </c>
      <c r="B1262" s="21" t="s">
        <v>628</v>
      </c>
      <c r="C1262" s="21" t="s">
        <v>629</v>
      </c>
      <c r="D1262" s="54"/>
      <c r="E1262" s="25" t="n">
        <v>45803</v>
      </c>
      <c r="F1262" s="25" t="n">
        <v>46027</v>
      </c>
      <c r="G1262" s="26" t="n">
        <v>160</v>
      </c>
      <c r="H1262" s="27" t="n">
        <v>160</v>
      </c>
      <c r="I1262" s="27" t="n">
        <v>0</v>
      </c>
      <c r="J1262" s="35" t="s">
        <v>1371</v>
      </c>
      <c r="K1262" s="31" t="n">
        <v>400000</v>
      </c>
      <c r="L1262" s="31" t="n">
        <v>1200000</v>
      </c>
      <c r="M1262" s="37" t="n">
        <v>37500</v>
      </c>
      <c r="N1262" s="30" t="n">
        <v>150000</v>
      </c>
      <c r="O1262" s="30" t="n">
        <v>1200000</v>
      </c>
      <c r="P1262" s="36" t="n">
        <v>0</v>
      </c>
      <c r="Q1262" s="302" t="n">
        <v>46055</v>
      </c>
    </row>
    <row r="1263" customFormat="false" ht="21.6" hidden="true" customHeight="false" outlineLevel="0" collapsed="false">
      <c r="A1263" s="26" t="n">
        <v>3590</v>
      </c>
      <c r="B1263" s="21" t="s">
        <v>634</v>
      </c>
      <c r="C1263" s="21" t="s">
        <v>635</v>
      </c>
      <c r="D1263" s="34"/>
      <c r="E1263" s="25" t="n">
        <v>45860</v>
      </c>
      <c r="F1263" s="25" t="n">
        <v>45972</v>
      </c>
      <c r="G1263" s="26" t="n">
        <v>80</v>
      </c>
      <c r="H1263" s="27" t="n">
        <v>80</v>
      </c>
      <c r="I1263" s="27" t="n">
        <v>0</v>
      </c>
      <c r="J1263" s="35" t="s">
        <v>1372</v>
      </c>
      <c r="K1263" s="36" t="n">
        <v>300000</v>
      </c>
      <c r="L1263" s="36" t="n">
        <v>648000</v>
      </c>
      <c r="M1263" s="29" t="n">
        <v>40500</v>
      </c>
      <c r="N1263" s="30" t="n">
        <v>40000</v>
      </c>
      <c r="O1263" s="30" t="n">
        <v>648000</v>
      </c>
      <c r="P1263" s="36" t="n">
        <v>0</v>
      </c>
      <c r="Q1263" s="302" t="n">
        <v>46055</v>
      </c>
    </row>
    <row r="1264" customFormat="false" ht="28.35" hidden="true" customHeight="false" outlineLevel="0" collapsed="false">
      <c r="A1264" s="20" t="n">
        <v>3455</v>
      </c>
      <c r="B1264" s="21" t="s">
        <v>218</v>
      </c>
      <c r="C1264" s="21" t="s">
        <v>219</v>
      </c>
      <c r="D1264" s="34"/>
      <c r="E1264" s="25" t="n">
        <v>45950</v>
      </c>
      <c r="F1264" s="25" t="n">
        <v>46050</v>
      </c>
      <c r="G1264" s="26" t="n">
        <v>72</v>
      </c>
      <c r="H1264" s="27" t="n">
        <v>72</v>
      </c>
      <c r="I1264" s="27" t="n">
        <v>0</v>
      </c>
      <c r="J1264" s="22" t="s">
        <v>266</v>
      </c>
      <c r="K1264" s="31" t="n">
        <v>100000</v>
      </c>
      <c r="L1264" s="31" t="n">
        <v>216000</v>
      </c>
      <c r="M1264" s="37" t="n">
        <v>15000</v>
      </c>
      <c r="N1264" s="30" t="n">
        <v>16000</v>
      </c>
      <c r="O1264" s="30" t="n">
        <v>216000</v>
      </c>
      <c r="P1264" s="31" t="n">
        <v>0</v>
      </c>
      <c r="Q1264" s="302" t="n">
        <v>46062</v>
      </c>
    </row>
    <row r="1265" customFormat="false" ht="21.6" hidden="true" customHeight="false" outlineLevel="0" collapsed="false">
      <c r="A1265" s="20" t="n">
        <v>3600</v>
      </c>
      <c r="B1265" s="21" t="s">
        <v>230</v>
      </c>
      <c r="C1265" s="21" t="s">
        <v>231</v>
      </c>
      <c r="D1265" s="34"/>
      <c r="E1265" s="25" t="n">
        <v>46034</v>
      </c>
      <c r="F1265" s="25" t="n">
        <v>46062</v>
      </c>
      <c r="G1265" s="26" t="n">
        <v>20</v>
      </c>
      <c r="H1265" s="27" t="e">
        <f aca="false">#DIV/0!</f>
        <v>#DIV/0!</v>
      </c>
      <c r="I1265" s="27" t="e">
        <f aca="false">#DIV/0!</f>
        <v>#DIV/0!</v>
      </c>
      <c r="J1265" s="38" t="s">
        <v>1166</v>
      </c>
      <c r="K1265" s="36" t="n">
        <v>70000</v>
      </c>
      <c r="L1265" s="36" t="n">
        <v>105000</v>
      </c>
      <c r="M1265" s="37"/>
      <c r="N1265" s="30" t="n">
        <v>105000</v>
      </c>
      <c r="O1265" s="30" t="n">
        <v>105000</v>
      </c>
      <c r="P1265" s="31" t="n">
        <v>0</v>
      </c>
      <c r="Q1265" s="302" t="n">
        <v>46062</v>
      </c>
    </row>
    <row r="1266" customFormat="false" ht="21.6" hidden="true" customHeight="false" outlineLevel="0" collapsed="false">
      <c r="A1266" s="26" t="n">
        <v>3588</v>
      </c>
      <c r="B1266" s="21" t="s">
        <v>476</v>
      </c>
      <c r="C1266" s="21" t="s">
        <v>477</v>
      </c>
      <c r="D1266" s="34"/>
      <c r="E1266" s="25" t="n">
        <v>45541</v>
      </c>
      <c r="F1266" s="25" t="n">
        <v>45821</v>
      </c>
      <c r="G1266" s="26" t="n">
        <v>200</v>
      </c>
      <c r="H1266" s="27" t="n">
        <v>200</v>
      </c>
      <c r="I1266" s="27" t="n">
        <v>0</v>
      </c>
      <c r="J1266" s="49" t="s">
        <v>1373</v>
      </c>
      <c r="K1266" s="36" t="n">
        <v>200000</v>
      </c>
      <c r="L1266" s="36" t="n">
        <v>690000</v>
      </c>
      <c r="M1266" s="29" t="n">
        <v>17250</v>
      </c>
      <c r="N1266" s="30" t="n">
        <v>22168</v>
      </c>
      <c r="O1266" s="30" t="n">
        <v>690000</v>
      </c>
      <c r="P1266" s="36" t="n">
        <v>0</v>
      </c>
      <c r="Q1266" s="302" t="n">
        <v>46062</v>
      </c>
    </row>
    <row r="1267" customFormat="false" ht="28.35" hidden="true" customHeight="false" outlineLevel="0" collapsed="false">
      <c r="A1267" s="26" t="n">
        <v>3543</v>
      </c>
      <c r="B1267" s="21" t="s">
        <v>879</v>
      </c>
      <c r="C1267" s="21" t="s">
        <v>484</v>
      </c>
      <c r="D1267" s="34"/>
      <c r="E1267" s="25" t="n">
        <v>45976</v>
      </c>
      <c r="F1267" s="25" t="n">
        <v>46052</v>
      </c>
      <c r="G1267" s="26" t="n">
        <v>55</v>
      </c>
      <c r="H1267" s="27" t="n">
        <v>55</v>
      </c>
      <c r="I1267" s="27" t="n">
        <v>0</v>
      </c>
      <c r="J1267" s="22" t="s">
        <v>1374</v>
      </c>
      <c r="K1267" s="46" t="n">
        <v>80000</v>
      </c>
      <c r="L1267" s="36" t="n">
        <v>154000</v>
      </c>
      <c r="M1267" s="37" t="n">
        <v>14000</v>
      </c>
      <c r="N1267" s="30" t="n">
        <v>14000</v>
      </c>
      <c r="O1267" s="30" t="n">
        <v>154000</v>
      </c>
      <c r="P1267" s="36" t="n">
        <v>0</v>
      </c>
      <c r="Q1267" s="302" t="n">
        <v>46062</v>
      </c>
    </row>
    <row r="1268" customFormat="false" ht="14.25" hidden="true" customHeight="false" outlineLevel="0" collapsed="false">
      <c r="A1268" s="26" t="n">
        <v>3603</v>
      </c>
      <c r="B1268" s="21" t="s">
        <v>504</v>
      </c>
      <c r="C1268" s="21"/>
      <c r="D1268" s="34"/>
      <c r="E1268" s="25" t="n">
        <v>46036</v>
      </c>
      <c r="F1268" s="25" t="n">
        <v>46059</v>
      </c>
      <c r="G1268" s="26" t="n">
        <v>17</v>
      </c>
      <c r="H1268" s="27" t="e">
        <f aca="false">#DIV/0!</f>
        <v>#DIV/0!</v>
      </c>
      <c r="I1268" s="27" t="e">
        <f aca="false">#DIV/0!</f>
        <v>#DIV/0!</v>
      </c>
      <c r="J1268" s="35" t="s">
        <v>538</v>
      </c>
      <c r="K1268" s="36" t="n">
        <v>100000</v>
      </c>
      <c r="L1268" s="36" t="n">
        <v>150000</v>
      </c>
      <c r="M1268" s="29"/>
      <c r="N1268" s="30" t="n">
        <v>150000</v>
      </c>
      <c r="O1268" s="30" t="n">
        <v>150000</v>
      </c>
      <c r="P1268" s="36" t="n">
        <v>0</v>
      </c>
      <c r="Q1268" s="302" t="n">
        <v>46062</v>
      </c>
    </row>
    <row r="1269" customFormat="false" ht="14.9" hidden="true" customHeight="false" outlineLevel="0" collapsed="false">
      <c r="A1269" s="26" t="n">
        <v>3125</v>
      </c>
      <c r="B1269" s="21" t="s">
        <v>519</v>
      </c>
      <c r="C1269" s="21" t="s">
        <v>520</v>
      </c>
      <c r="D1269" s="34"/>
      <c r="E1269" s="25" t="n">
        <v>45906</v>
      </c>
      <c r="F1269" s="25" t="n">
        <v>46007</v>
      </c>
      <c r="G1269" s="26" t="n">
        <v>72</v>
      </c>
      <c r="H1269" s="27" t="n">
        <v>73</v>
      </c>
      <c r="I1269" s="27" t="n">
        <v>-1</v>
      </c>
      <c r="J1269" s="22" t="s">
        <v>266</v>
      </c>
      <c r="K1269" s="36" t="n">
        <v>100000</v>
      </c>
      <c r="L1269" s="36" t="n">
        <v>216000</v>
      </c>
      <c r="M1269" s="37" t="n">
        <v>15000</v>
      </c>
      <c r="N1269" s="30" t="n">
        <v>15000</v>
      </c>
      <c r="O1269" s="30" t="n">
        <v>219000</v>
      </c>
      <c r="P1269" s="36" t="n">
        <v>-3000</v>
      </c>
      <c r="Q1269" s="302" t="n">
        <v>46062</v>
      </c>
    </row>
    <row r="1270" customFormat="false" ht="14.9" hidden="true" customHeight="false" outlineLevel="0" collapsed="false">
      <c r="A1270" s="20" t="n">
        <v>3561</v>
      </c>
      <c r="B1270" s="21" t="s">
        <v>236</v>
      </c>
      <c r="C1270" s="21" t="s">
        <v>237</v>
      </c>
      <c r="D1270" s="34"/>
      <c r="E1270" s="25" t="n">
        <v>45894</v>
      </c>
      <c r="F1270" s="25" t="n">
        <v>45992</v>
      </c>
      <c r="G1270" s="26" t="n">
        <v>70</v>
      </c>
      <c r="H1270" s="27" t="n">
        <v>71.3475177304965</v>
      </c>
      <c r="I1270" s="27" t="n">
        <v>-1.34751773049645</v>
      </c>
      <c r="J1270" s="35" t="s">
        <v>1375</v>
      </c>
      <c r="K1270" s="36" t="n">
        <v>454000</v>
      </c>
      <c r="L1270" s="36" t="n">
        <v>987000</v>
      </c>
      <c r="M1270" s="37" t="n">
        <v>70500</v>
      </c>
      <c r="N1270" s="30" t="n">
        <v>70000</v>
      </c>
      <c r="O1270" s="30" t="n">
        <v>1006000</v>
      </c>
      <c r="P1270" s="31" t="n">
        <v>-19000</v>
      </c>
      <c r="Q1270" s="302" t="n">
        <v>46069</v>
      </c>
    </row>
    <row r="1271" customFormat="false" ht="21.6" hidden="true" customHeight="false" outlineLevel="0" collapsed="false">
      <c r="A1271" s="20" t="n">
        <v>2991</v>
      </c>
      <c r="B1271" s="21" t="s">
        <v>249</v>
      </c>
      <c r="C1271" s="21" t="s">
        <v>250</v>
      </c>
      <c r="D1271" s="34" t="n">
        <v>27252034574</v>
      </c>
      <c r="E1271" s="25" t="n">
        <v>45757</v>
      </c>
      <c r="F1271" s="25" t="n">
        <v>45981</v>
      </c>
      <c r="G1271" s="26" t="n">
        <v>160</v>
      </c>
      <c r="H1271" s="27" t="n">
        <v>160</v>
      </c>
      <c r="I1271" s="27" t="n">
        <v>0</v>
      </c>
      <c r="J1271" s="49" t="s">
        <v>1376</v>
      </c>
      <c r="K1271" s="31" t="n">
        <v>300000</v>
      </c>
      <c r="L1271" s="31" t="n">
        <v>912000</v>
      </c>
      <c r="M1271" s="56" t="n">
        <v>28500</v>
      </c>
      <c r="N1271" s="30" t="n">
        <v>58000</v>
      </c>
      <c r="O1271" s="30" t="n">
        <v>912000</v>
      </c>
      <c r="P1271" s="31" t="n">
        <v>0</v>
      </c>
      <c r="Q1271" s="302" t="n">
        <v>46069</v>
      </c>
    </row>
    <row r="1272" customFormat="false" ht="14.9" hidden="true" customHeight="false" outlineLevel="0" collapsed="false">
      <c r="A1272" s="26" t="n">
        <v>3511</v>
      </c>
      <c r="B1272" s="21" t="s">
        <v>291</v>
      </c>
      <c r="C1272" s="21" t="s">
        <v>292</v>
      </c>
      <c r="D1272" s="34"/>
      <c r="E1272" s="25" t="n">
        <v>45937</v>
      </c>
      <c r="F1272" s="25" t="n">
        <v>46091</v>
      </c>
      <c r="G1272" s="26" t="n">
        <v>110</v>
      </c>
      <c r="H1272" s="27" t="n">
        <v>110</v>
      </c>
      <c r="I1272" s="27" t="n">
        <v>0</v>
      </c>
      <c r="J1272" s="22" t="s">
        <v>362</v>
      </c>
      <c r="K1272" s="31" t="n">
        <v>100000</v>
      </c>
      <c r="L1272" s="31" t="n">
        <v>264000</v>
      </c>
      <c r="M1272" s="37" t="n">
        <v>12000</v>
      </c>
      <c r="N1272" s="30" t="n">
        <v>24000</v>
      </c>
      <c r="O1272" s="30" t="n">
        <v>264000</v>
      </c>
      <c r="P1272" s="36" t="n">
        <v>0</v>
      </c>
      <c r="Q1272" s="302" t="n">
        <v>46069</v>
      </c>
    </row>
    <row r="1273" customFormat="false" ht="14.9" hidden="true" customHeight="false" outlineLevel="0" collapsed="false">
      <c r="A1273" s="26" t="n">
        <v>3423</v>
      </c>
      <c r="B1273" s="21" t="s">
        <v>336</v>
      </c>
      <c r="C1273" s="21" t="s">
        <v>337</v>
      </c>
      <c r="D1273" s="34"/>
      <c r="E1273" s="25" t="n">
        <v>45868</v>
      </c>
      <c r="F1273" s="25" t="n">
        <v>46036</v>
      </c>
      <c r="G1273" s="26" t="n">
        <v>120</v>
      </c>
      <c r="H1273" s="27" t="n">
        <v>120.090909090909</v>
      </c>
      <c r="I1273" s="27" t="n">
        <v>-0.0909090909090935</v>
      </c>
      <c r="J1273" s="35" t="s">
        <v>1377</v>
      </c>
      <c r="K1273" s="36" t="n">
        <v>100000</v>
      </c>
      <c r="L1273" s="36" t="n">
        <v>264000</v>
      </c>
      <c r="M1273" s="37" t="n">
        <v>11000</v>
      </c>
      <c r="N1273" s="30" t="n">
        <v>44000</v>
      </c>
      <c r="O1273" s="30" t="n">
        <v>264200</v>
      </c>
      <c r="P1273" s="36" t="n">
        <v>-200</v>
      </c>
      <c r="Q1273" s="302" t="n">
        <v>46069</v>
      </c>
    </row>
    <row r="1274" customFormat="false" ht="14.9" hidden="true" customHeight="false" outlineLevel="0" collapsed="false">
      <c r="A1274" s="26" t="n">
        <v>3432</v>
      </c>
      <c r="B1274" s="21" t="s">
        <v>336</v>
      </c>
      <c r="C1274" s="21" t="s">
        <v>337</v>
      </c>
      <c r="D1274" s="34"/>
      <c r="E1274" s="25" t="n">
        <v>45924</v>
      </c>
      <c r="F1274" s="25" t="n">
        <v>46036</v>
      </c>
      <c r="G1274" s="26" t="n">
        <v>80</v>
      </c>
      <c r="H1274" s="27" t="n">
        <v>80</v>
      </c>
      <c r="I1274" s="27" t="n">
        <v>0</v>
      </c>
      <c r="J1274" s="35" t="s">
        <v>954</v>
      </c>
      <c r="K1274" s="36" t="n">
        <v>20000</v>
      </c>
      <c r="L1274" s="36" t="n">
        <v>43200</v>
      </c>
      <c r="M1274" s="37" t="n">
        <v>2700</v>
      </c>
      <c r="N1274" s="30" t="n">
        <v>10800</v>
      </c>
      <c r="O1274" s="30" t="n">
        <v>43200</v>
      </c>
      <c r="P1274" s="36" t="n">
        <v>0</v>
      </c>
      <c r="Q1274" s="302" t="n">
        <v>46069</v>
      </c>
    </row>
    <row r="1275" customFormat="false" ht="14.9" hidden="true" customHeight="false" outlineLevel="0" collapsed="false">
      <c r="A1275" s="26" t="n">
        <v>3161</v>
      </c>
      <c r="B1275" s="21" t="s">
        <v>336</v>
      </c>
      <c r="C1275" s="21" t="s">
        <v>337</v>
      </c>
      <c r="D1275" s="34"/>
      <c r="E1275" s="25" t="n">
        <v>45930</v>
      </c>
      <c r="F1275" s="25" t="n">
        <v>46042</v>
      </c>
      <c r="G1275" s="26" t="n">
        <v>80</v>
      </c>
      <c r="H1275" s="27" t="n">
        <v>80</v>
      </c>
      <c r="I1275" s="27" t="n">
        <v>0</v>
      </c>
      <c r="J1275" s="35" t="s">
        <v>1378</v>
      </c>
      <c r="K1275" s="36" t="n">
        <v>100000</v>
      </c>
      <c r="L1275" s="36" t="n">
        <v>216000</v>
      </c>
      <c r="M1275" s="37" t="n">
        <v>13500</v>
      </c>
      <c r="N1275" s="30" t="n">
        <v>54000</v>
      </c>
      <c r="O1275" s="30" t="n">
        <v>216000</v>
      </c>
      <c r="P1275" s="36" t="n">
        <v>0</v>
      </c>
      <c r="Q1275" s="302" t="n">
        <v>46069</v>
      </c>
    </row>
    <row r="1276" customFormat="false" ht="14.9" hidden="true" customHeight="false" outlineLevel="0" collapsed="false">
      <c r="A1276" s="26" t="n">
        <v>3360</v>
      </c>
      <c r="B1276" s="21" t="s">
        <v>380</v>
      </c>
      <c r="C1276" s="21" t="s">
        <v>292</v>
      </c>
      <c r="D1276" s="34"/>
      <c r="E1276" s="25" t="n">
        <v>45922</v>
      </c>
      <c r="F1276" s="25" t="n">
        <v>46022</v>
      </c>
      <c r="G1276" s="26" t="n">
        <v>72</v>
      </c>
      <c r="H1276" s="27" t="n">
        <v>72</v>
      </c>
      <c r="I1276" s="27" t="n">
        <v>0</v>
      </c>
      <c r="J1276" s="22" t="s">
        <v>244</v>
      </c>
      <c r="K1276" s="36" t="n">
        <v>200000</v>
      </c>
      <c r="L1276" s="36" t="n">
        <v>432000</v>
      </c>
      <c r="M1276" s="37" t="n">
        <v>30000</v>
      </c>
      <c r="N1276" s="30" t="n">
        <v>12000</v>
      </c>
      <c r="O1276" s="30" t="n">
        <v>432000</v>
      </c>
      <c r="P1276" s="36" t="n">
        <v>0</v>
      </c>
      <c r="Q1276" s="302" t="n">
        <v>46069</v>
      </c>
    </row>
    <row r="1277" customFormat="false" ht="19.4" hidden="true" customHeight="false" outlineLevel="0" collapsed="false">
      <c r="A1277" s="26" t="n">
        <v>3621</v>
      </c>
      <c r="B1277" s="21" t="s">
        <v>1106</v>
      </c>
      <c r="C1277" s="21" t="s">
        <v>489</v>
      </c>
      <c r="D1277" s="34"/>
      <c r="E1277" s="25" t="n">
        <v>46048</v>
      </c>
      <c r="F1277" s="25" t="n">
        <v>45966</v>
      </c>
      <c r="G1277" s="26" t="n">
        <v>20</v>
      </c>
      <c r="H1277" s="27" t="e">
        <f aca="false">#DIV/0!</f>
        <v>#DIV/0!</v>
      </c>
      <c r="I1277" s="27" t="e">
        <f aca="false">#DIV/0!</f>
        <v>#DIV/0!</v>
      </c>
      <c r="J1277" s="35" t="s">
        <v>490</v>
      </c>
      <c r="K1277" s="36" t="n">
        <v>50000</v>
      </c>
      <c r="L1277" s="36" t="n">
        <v>75000</v>
      </c>
      <c r="M1277" s="29"/>
      <c r="N1277" s="30" t="n">
        <v>75000</v>
      </c>
      <c r="O1277" s="30" t="n">
        <v>75000</v>
      </c>
      <c r="P1277" s="36" t="n">
        <v>0</v>
      </c>
      <c r="Q1277" s="302" t="n">
        <v>46069</v>
      </c>
    </row>
    <row r="1278" customFormat="false" ht="19.4" hidden="true" customHeight="false" outlineLevel="0" collapsed="false">
      <c r="A1278" s="26" t="n">
        <v>3622</v>
      </c>
      <c r="B1278" s="21" t="s">
        <v>1106</v>
      </c>
      <c r="C1278" s="21" t="s">
        <v>489</v>
      </c>
      <c r="D1278" s="34"/>
      <c r="E1278" s="25" t="n">
        <v>46048</v>
      </c>
      <c r="F1278" s="25" t="n">
        <v>46013</v>
      </c>
      <c r="G1278" s="26" t="n">
        <v>20</v>
      </c>
      <c r="H1278" s="27" t="e">
        <f aca="false">#DIV/0!</f>
        <v>#DIV/0!</v>
      </c>
      <c r="I1278" s="27" t="e">
        <f aca="false">#DIV/0!</f>
        <v>#DIV/0!</v>
      </c>
      <c r="J1278" s="35" t="s">
        <v>490</v>
      </c>
      <c r="K1278" s="36" t="n">
        <v>50000</v>
      </c>
      <c r="L1278" s="36" t="n">
        <v>75000</v>
      </c>
      <c r="M1278" s="29"/>
      <c r="N1278" s="30" t="n">
        <v>75000</v>
      </c>
      <c r="O1278" s="30" t="n">
        <v>75000</v>
      </c>
      <c r="P1278" s="36" t="n">
        <v>0</v>
      </c>
      <c r="Q1278" s="302" t="n">
        <v>46069</v>
      </c>
    </row>
    <row r="1279" customFormat="false" ht="14.9" hidden="true" customHeight="false" outlineLevel="0" collapsed="false">
      <c r="A1279" s="26" t="n">
        <v>3608</v>
      </c>
      <c r="B1279" s="21" t="s">
        <v>578</v>
      </c>
      <c r="C1279" s="21" t="s">
        <v>579</v>
      </c>
      <c r="D1279" s="34"/>
      <c r="E1279" s="25" t="n">
        <v>46040</v>
      </c>
      <c r="F1279" s="25" t="n">
        <v>46064</v>
      </c>
      <c r="G1279" s="26" t="n">
        <v>18</v>
      </c>
      <c r="H1279" s="27" t="e">
        <f aca="false">#DIV/0!</f>
        <v>#DIV/0!</v>
      </c>
      <c r="I1279" s="27" t="e">
        <f aca="false">#DIV/0!</f>
        <v>#DIV/0!</v>
      </c>
      <c r="J1279" s="35" t="s">
        <v>580</v>
      </c>
      <c r="K1279" s="66" t="n">
        <v>250000</v>
      </c>
      <c r="L1279" s="31" t="n">
        <v>350000</v>
      </c>
      <c r="M1279" s="37"/>
      <c r="N1279" s="30" t="n">
        <v>350000</v>
      </c>
      <c r="O1279" s="30" t="n">
        <v>350000</v>
      </c>
      <c r="P1279" s="36" t="n">
        <v>0</v>
      </c>
      <c r="Q1279" s="302" t="n">
        <v>46069</v>
      </c>
    </row>
    <row r="1280" customFormat="false" ht="21.6" hidden="true" customHeight="false" outlineLevel="0" collapsed="false">
      <c r="A1280" s="26" t="n">
        <v>3442</v>
      </c>
      <c r="B1280" s="21" t="s">
        <v>619</v>
      </c>
      <c r="C1280" s="21" t="s">
        <v>620</v>
      </c>
      <c r="D1280" s="34" t="n">
        <v>20284723342</v>
      </c>
      <c r="E1280" s="25" t="n">
        <v>45862</v>
      </c>
      <c r="F1280" s="25" t="n">
        <v>45964</v>
      </c>
      <c r="G1280" s="26" t="n">
        <v>72</v>
      </c>
      <c r="H1280" s="27" t="n">
        <v>72</v>
      </c>
      <c r="I1280" s="27" t="n">
        <v>0</v>
      </c>
      <c r="J1280" s="22" t="s">
        <v>242</v>
      </c>
      <c r="K1280" s="36" t="n">
        <v>250000</v>
      </c>
      <c r="L1280" s="36" t="n">
        <v>540000</v>
      </c>
      <c r="M1280" s="37" t="n">
        <v>37500</v>
      </c>
      <c r="N1280" s="30" t="n">
        <v>90000</v>
      </c>
      <c r="O1280" s="30" t="n">
        <v>540000</v>
      </c>
      <c r="P1280" s="36" t="n">
        <v>0</v>
      </c>
      <c r="Q1280" s="302" t="n">
        <v>46069</v>
      </c>
    </row>
    <row r="1281" customFormat="false" ht="28.35" hidden="true" customHeight="false" outlineLevel="0" collapsed="false">
      <c r="A1281" s="20" t="n">
        <v>3473</v>
      </c>
      <c r="B1281" s="21" t="s">
        <v>222</v>
      </c>
      <c r="C1281" s="21" t="s">
        <v>219</v>
      </c>
      <c r="D1281" s="34"/>
      <c r="E1281" s="25" t="n">
        <v>45962</v>
      </c>
      <c r="F1281" s="25" t="n">
        <v>46063</v>
      </c>
      <c r="G1281" s="26" t="n">
        <v>72</v>
      </c>
      <c r="H1281" s="27" t="n">
        <v>72</v>
      </c>
      <c r="I1281" s="27" t="n">
        <v>0</v>
      </c>
      <c r="J1281" s="22" t="s">
        <v>244</v>
      </c>
      <c r="K1281" s="36" t="n">
        <v>200000</v>
      </c>
      <c r="L1281" s="36" t="n">
        <v>432000</v>
      </c>
      <c r="M1281" s="37" t="n">
        <v>30000</v>
      </c>
      <c r="N1281" s="30" t="n">
        <v>102000</v>
      </c>
      <c r="O1281" s="30" t="n">
        <v>432000</v>
      </c>
      <c r="P1281" s="31" t="n">
        <v>0</v>
      </c>
      <c r="Q1281" s="302" t="n">
        <v>46076</v>
      </c>
    </row>
    <row r="1282" customFormat="false" ht="21.6" hidden="true" customHeight="false" outlineLevel="0" collapsed="false">
      <c r="A1282" s="26" t="n">
        <v>3405</v>
      </c>
      <c r="B1282" s="21" t="s">
        <v>1202</v>
      </c>
      <c r="C1282" s="21" t="s">
        <v>1379</v>
      </c>
      <c r="D1282" s="34"/>
      <c r="E1282" s="25" t="n">
        <v>45909</v>
      </c>
      <c r="F1282" s="25" t="n">
        <v>46021</v>
      </c>
      <c r="G1282" s="26" t="n">
        <v>80</v>
      </c>
      <c r="H1282" s="27" t="n">
        <v>80</v>
      </c>
      <c r="I1282" s="27" t="n">
        <v>0</v>
      </c>
      <c r="J1282" s="35" t="s">
        <v>341</v>
      </c>
      <c r="K1282" s="36" t="n">
        <v>100000</v>
      </c>
      <c r="L1282" s="36" t="n">
        <v>216000</v>
      </c>
      <c r="M1282" s="37" t="n">
        <v>13500</v>
      </c>
      <c r="N1282" s="30" t="n">
        <v>58000</v>
      </c>
      <c r="O1282" s="30" t="n">
        <v>216000</v>
      </c>
      <c r="P1282" s="36" t="n">
        <v>0</v>
      </c>
      <c r="Q1282" s="302" t="n">
        <v>46076</v>
      </c>
    </row>
    <row r="1283" customFormat="false" ht="28.35" hidden="true" customHeight="false" outlineLevel="0" collapsed="false">
      <c r="A1283" s="26" t="n">
        <v>3256</v>
      </c>
      <c r="B1283" s="21" t="s">
        <v>548</v>
      </c>
      <c r="C1283" s="21" t="s">
        <v>549</v>
      </c>
      <c r="D1283" s="34" t="n">
        <v>20317686979</v>
      </c>
      <c r="E1283" s="25" t="n">
        <v>45890</v>
      </c>
      <c r="F1283" s="25" t="n">
        <v>46058</v>
      </c>
      <c r="G1283" s="26" t="n">
        <v>120</v>
      </c>
      <c r="H1283" s="27" t="n">
        <v>120</v>
      </c>
      <c r="I1283" s="27" t="n">
        <v>0</v>
      </c>
      <c r="J1283" s="35" t="s">
        <v>1380</v>
      </c>
      <c r="K1283" s="36" t="n">
        <v>400000</v>
      </c>
      <c r="L1283" s="36" t="n">
        <v>1056000</v>
      </c>
      <c r="M1283" s="29" t="n">
        <v>44000</v>
      </c>
      <c r="N1283" s="30" t="n">
        <v>176000</v>
      </c>
      <c r="O1283" s="30" t="n">
        <v>1056000</v>
      </c>
      <c r="P1283" s="36" t="n">
        <v>0</v>
      </c>
      <c r="Q1283" s="302" t="n">
        <v>46076</v>
      </c>
    </row>
    <row r="1284" customFormat="false" ht="14.9" hidden="true" customHeight="false" outlineLevel="0" collapsed="false">
      <c r="A1284" s="20" t="n">
        <v>3465</v>
      </c>
      <c r="B1284" s="21" t="s">
        <v>224</v>
      </c>
      <c r="C1284" s="21"/>
      <c r="D1284" s="34" t="n">
        <v>22375673</v>
      </c>
      <c r="E1284" s="25" t="n">
        <v>45958</v>
      </c>
      <c r="F1284" s="25" t="n">
        <v>46070</v>
      </c>
      <c r="G1284" s="26" t="n">
        <v>80</v>
      </c>
      <c r="H1284" s="27" t="n">
        <v>80</v>
      </c>
      <c r="I1284" s="27" t="n">
        <v>0</v>
      </c>
      <c r="J1284" s="38" t="s">
        <v>1381</v>
      </c>
      <c r="K1284" s="36" t="n">
        <v>300000</v>
      </c>
      <c r="L1284" s="36" t="n">
        <v>648000</v>
      </c>
      <c r="M1284" s="37" t="n">
        <v>40500</v>
      </c>
      <c r="N1284" s="30" t="n">
        <v>162000</v>
      </c>
      <c r="O1284" s="30" t="n">
        <v>648000</v>
      </c>
      <c r="P1284" s="31" t="n">
        <v>0</v>
      </c>
      <c r="Q1284" s="302" t="n">
        <v>46083</v>
      </c>
    </row>
    <row r="1285" customFormat="false" ht="35.05" hidden="true" customHeight="false" outlineLevel="0" collapsed="false">
      <c r="A1285" s="20" t="n">
        <v>3582</v>
      </c>
      <c r="B1285" s="21" t="s">
        <v>280</v>
      </c>
      <c r="C1285" s="21" t="s">
        <v>281</v>
      </c>
      <c r="D1285" s="34" t="n">
        <v>20386454729</v>
      </c>
      <c r="E1285" s="25" t="n">
        <v>45955</v>
      </c>
      <c r="F1285" s="25" t="n">
        <v>46066</v>
      </c>
      <c r="G1285" s="26" t="n">
        <v>80</v>
      </c>
      <c r="H1285" s="27" t="n">
        <v>80</v>
      </c>
      <c r="I1285" s="27" t="n">
        <v>0</v>
      </c>
      <c r="J1285" s="35" t="s">
        <v>1382</v>
      </c>
      <c r="K1285" s="31" t="n">
        <v>100000</v>
      </c>
      <c r="L1285" s="31" t="n">
        <v>216000</v>
      </c>
      <c r="M1285" s="37" t="n">
        <v>13500</v>
      </c>
      <c r="N1285" s="30" t="n">
        <v>54000</v>
      </c>
      <c r="O1285" s="30" t="n">
        <v>216000</v>
      </c>
      <c r="P1285" s="36" t="n">
        <v>0</v>
      </c>
      <c r="Q1285" s="302" t="n">
        <v>46083</v>
      </c>
    </row>
    <row r="1286" customFormat="false" ht="21.6" hidden="true" customHeight="false" outlineLevel="0" collapsed="false">
      <c r="A1286" s="26" t="n">
        <v>3180</v>
      </c>
      <c r="B1286" s="21" t="s">
        <v>1242</v>
      </c>
      <c r="C1286" s="21" t="s">
        <v>370</v>
      </c>
      <c r="D1286" s="34"/>
      <c r="E1286" s="25" t="n">
        <v>45785</v>
      </c>
      <c r="F1286" s="25" t="n">
        <v>45887</v>
      </c>
      <c r="G1286" s="26" t="n">
        <v>72</v>
      </c>
      <c r="H1286" s="27" t="n">
        <v>72</v>
      </c>
      <c r="I1286" s="27" t="n">
        <v>0</v>
      </c>
      <c r="J1286" s="22" t="s">
        <v>266</v>
      </c>
      <c r="K1286" s="36" t="n">
        <v>150000</v>
      </c>
      <c r="L1286" s="36" t="n">
        <v>349000</v>
      </c>
      <c r="M1286" s="37" t="n">
        <v>24236.1111111111</v>
      </c>
      <c r="N1286" s="30" t="n">
        <v>50000</v>
      </c>
      <c r="O1286" s="30" t="n">
        <v>349000</v>
      </c>
      <c r="P1286" s="36" t="n">
        <v>0</v>
      </c>
      <c r="Q1286" s="302" t="n">
        <v>46083</v>
      </c>
    </row>
    <row r="1287" customFormat="false" ht="14.9" hidden="true" customHeight="false" outlineLevel="0" collapsed="false">
      <c r="A1287" s="26" t="n">
        <v>3523</v>
      </c>
      <c r="B1287" s="21" t="s">
        <v>423</v>
      </c>
      <c r="C1287" s="21" t="s">
        <v>424</v>
      </c>
      <c r="D1287" s="34"/>
      <c r="E1287" s="25" t="n">
        <v>45987</v>
      </c>
      <c r="F1287" s="25" t="n">
        <v>46087</v>
      </c>
      <c r="G1287" s="26" t="n">
        <v>72</v>
      </c>
      <c r="H1287" s="27" t="n">
        <v>72</v>
      </c>
      <c r="I1287" s="27" t="n">
        <v>0</v>
      </c>
      <c r="J1287" s="22" t="s">
        <v>266</v>
      </c>
      <c r="K1287" s="36" t="n">
        <v>100000</v>
      </c>
      <c r="L1287" s="36" t="n">
        <v>216000</v>
      </c>
      <c r="M1287" s="29" t="n">
        <v>15000</v>
      </c>
      <c r="N1287" s="30" t="n">
        <v>31000</v>
      </c>
      <c r="O1287" s="30" t="n">
        <v>216000</v>
      </c>
      <c r="P1287" s="36" t="n">
        <v>0</v>
      </c>
      <c r="Q1287" s="302" t="n">
        <v>46083</v>
      </c>
    </row>
    <row r="1288" customFormat="false" ht="28.35" hidden="true" customHeight="false" outlineLevel="0" collapsed="false">
      <c r="A1288" s="26" t="n">
        <v>3559</v>
      </c>
      <c r="B1288" s="22" t="s">
        <v>425</v>
      </c>
      <c r="C1288" s="22" t="s">
        <v>426</v>
      </c>
      <c r="D1288" s="22"/>
      <c r="E1288" s="25" t="n">
        <v>45963</v>
      </c>
      <c r="F1288" s="25" t="n">
        <v>46073</v>
      </c>
      <c r="G1288" s="26" t="n">
        <v>80</v>
      </c>
      <c r="H1288" s="27" t="n">
        <v>80</v>
      </c>
      <c r="I1288" s="27" t="n">
        <v>0</v>
      </c>
      <c r="J1288" s="38" t="s">
        <v>1383</v>
      </c>
      <c r="K1288" s="64" t="n">
        <v>200000</v>
      </c>
      <c r="L1288" s="36" t="n">
        <v>432000</v>
      </c>
      <c r="M1288" s="29" t="n">
        <v>27000</v>
      </c>
      <c r="N1288" s="30" t="n">
        <v>108000</v>
      </c>
      <c r="O1288" s="30" t="n">
        <v>432000</v>
      </c>
      <c r="P1288" s="36" t="n">
        <v>0</v>
      </c>
      <c r="Q1288" s="302" t="n">
        <v>46083</v>
      </c>
    </row>
    <row r="1289" customFormat="false" ht="28.35" hidden="true" customHeight="false" outlineLevel="0" collapsed="false">
      <c r="A1289" s="26" t="n">
        <v>3572</v>
      </c>
      <c r="B1289" s="22" t="s">
        <v>425</v>
      </c>
      <c r="C1289" s="22" t="s">
        <v>426</v>
      </c>
      <c r="D1289" s="22"/>
      <c r="E1289" s="25" t="n">
        <v>45987</v>
      </c>
      <c r="F1289" s="25" t="n">
        <v>46099</v>
      </c>
      <c r="G1289" s="26" t="n">
        <v>80</v>
      </c>
      <c r="H1289" s="27" t="n">
        <v>80</v>
      </c>
      <c r="I1289" s="27" t="n">
        <v>0</v>
      </c>
      <c r="J1289" s="38" t="s">
        <v>1258</v>
      </c>
      <c r="K1289" s="64" t="n">
        <v>100000</v>
      </c>
      <c r="L1289" s="36" t="n">
        <v>216000</v>
      </c>
      <c r="M1289" s="29" t="n">
        <v>13500</v>
      </c>
      <c r="N1289" s="30" t="n">
        <v>54000</v>
      </c>
      <c r="O1289" s="30" t="n">
        <v>216000</v>
      </c>
      <c r="P1289" s="36" t="n">
        <v>0</v>
      </c>
      <c r="Q1289" s="302" t="n">
        <v>46083</v>
      </c>
    </row>
    <row r="1290" customFormat="false" ht="17.9" hidden="true" customHeight="false" outlineLevel="0" collapsed="false">
      <c r="A1290" s="26" t="n">
        <v>3650</v>
      </c>
      <c r="B1290" s="34" t="s">
        <v>429</v>
      </c>
      <c r="C1290" s="34"/>
      <c r="D1290" s="34"/>
      <c r="E1290" s="25" t="n">
        <v>46074</v>
      </c>
      <c r="F1290" s="25" t="n">
        <v>46080</v>
      </c>
      <c r="G1290" s="26" t="n">
        <v>5</v>
      </c>
      <c r="H1290" s="27" t="e">
        <f aca="false">#DIV/0!</f>
        <v>#DIV/0!</v>
      </c>
      <c r="I1290" s="27" t="e">
        <f aca="false">#DIV/0!</f>
        <v>#DIV/0!</v>
      </c>
      <c r="J1290" s="38" t="s">
        <v>1166</v>
      </c>
      <c r="K1290" s="36" t="n">
        <v>50000</v>
      </c>
      <c r="L1290" s="36" t="n">
        <v>65000</v>
      </c>
      <c r="M1290" s="37"/>
      <c r="N1290" s="30" t="n">
        <v>65000</v>
      </c>
      <c r="O1290" s="30" t="n">
        <v>65000</v>
      </c>
      <c r="P1290" s="36" t="n">
        <v>0</v>
      </c>
      <c r="Q1290" s="302" t="n">
        <v>46083</v>
      </c>
    </row>
    <row r="1291" customFormat="false" ht="21.6" hidden="true" customHeight="false" outlineLevel="0" collapsed="false">
      <c r="A1291" s="26" t="n">
        <v>3554</v>
      </c>
      <c r="B1291" s="21" t="s">
        <v>1384</v>
      </c>
      <c r="C1291" s="21" t="s">
        <v>448</v>
      </c>
      <c r="D1291" s="34"/>
      <c r="E1291" s="25" t="n">
        <v>45974</v>
      </c>
      <c r="F1291" s="25" t="n">
        <v>46086</v>
      </c>
      <c r="G1291" s="26" t="n">
        <v>80</v>
      </c>
      <c r="H1291" s="27" t="n">
        <v>80</v>
      </c>
      <c r="I1291" s="27" t="n">
        <v>0</v>
      </c>
      <c r="J1291" s="22" t="s">
        <v>1385</v>
      </c>
      <c r="K1291" s="36" t="n">
        <v>300000</v>
      </c>
      <c r="L1291" s="36" t="n">
        <v>648000</v>
      </c>
      <c r="M1291" s="29" t="n">
        <v>40500</v>
      </c>
      <c r="N1291" s="30" t="n">
        <v>162000</v>
      </c>
      <c r="O1291" s="30" t="n">
        <v>648000</v>
      </c>
      <c r="P1291" s="36" t="n">
        <v>0</v>
      </c>
      <c r="Q1291" s="302" t="n">
        <v>46083</v>
      </c>
    </row>
    <row r="1292" customFormat="false" ht="28.35" hidden="true" customHeight="false" outlineLevel="0" collapsed="false">
      <c r="A1292" s="26" t="n">
        <v>3548</v>
      </c>
      <c r="B1292" s="22" t="s">
        <v>497</v>
      </c>
      <c r="C1292" s="22" t="s">
        <v>498</v>
      </c>
      <c r="D1292" s="22" t="n">
        <v>27352124309</v>
      </c>
      <c r="E1292" s="24" t="n">
        <v>45912</v>
      </c>
      <c r="F1292" s="25" t="n">
        <v>46080</v>
      </c>
      <c r="G1292" s="26" t="n">
        <v>120</v>
      </c>
      <c r="H1292" s="27" t="n">
        <v>120</v>
      </c>
      <c r="I1292" s="27" t="n">
        <v>0</v>
      </c>
      <c r="J1292" s="350" t="s">
        <v>1386</v>
      </c>
      <c r="K1292" s="28" t="n">
        <v>300000</v>
      </c>
      <c r="L1292" s="28" t="n">
        <v>792000</v>
      </c>
      <c r="M1292" s="29" t="n">
        <v>33000</v>
      </c>
      <c r="N1292" s="30" t="n">
        <v>132000</v>
      </c>
      <c r="O1292" s="30" t="n">
        <v>792000</v>
      </c>
      <c r="P1292" s="36" t="n">
        <v>0</v>
      </c>
      <c r="Q1292" s="302" t="n">
        <v>46083</v>
      </c>
    </row>
    <row r="1293" customFormat="false" ht="28.35" hidden="true" customHeight="false" outlineLevel="0" collapsed="false">
      <c r="A1293" s="26" t="n">
        <v>3546</v>
      </c>
      <c r="B1293" s="22" t="s">
        <v>497</v>
      </c>
      <c r="C1293" s="22" t="s">
        <v>498</v>
      </c>
      <c r="D1293" s="22" t="n">
        <v>27352124309</v>
      </c>
      <c r="E1293" s="24" t="n">
        <v>46020</v>
      </c>
      <c r="F1293" s="25" t="n">
        <v>46104</v>
      </c>
      <c r="G1293" s="26" t="n">
        <v>60</v>
      </c>
      <c r="H1293" s="27" t="n">
        <v>60</v>
      </c>
      <c r="I1293" s="27" t="n">
        <v>0</v>
      </c>
      <c r="J1293" s="35" t="s">
        <v>1387</v>
      </c>
      <c r="K1293" s="31" t="n">
        <v>250000</v>
      </c>
      <c r="L1293" s="307" t="n">
        <v>480000</v>
      </c>
      <c r="M1293" s="37" t="n">
        <v>40000</v>
      </c>
      <c r="N1293" s="30" t="n">
        <v>160000</v>
      </c>
      <c r="O1293" s="30" t="n">
        <v>480000</v>
      </c>
      <c r="P1293" s="36" t="n">
        <v>0</v>
      </c>
      <c r="Q1293" s="302" t="n">
        <v>46083</v>
      </c>
    </row>
    <row r="1294" customFormat="false" ht="28.35" hidden="true" customHeight="false" outlineLevel="0" collapsed="false">
      <c r="A1294" s="26" t="n">
        <v>3353</v>
      </c>
      <c r="B1294" s="21" t="s">
        <v>507</v>
      </c>
      <c r="C1294" s="21" t="s">
        <v>508</v>
      </c>
      <c r="D1294" s="34"/>
      <c r="E1294" s="25" t="n">
        <v>45868</v>
      </c>
      <c r="F1294" s="25" t="n">
        <v>46036</v>
      </c>
      <c r="G1294" s="26" t="n">
        <v>120</v>
      </c>
      <c r="H1294" s="27" t="n">
        <v>120</v>
      </c>
      <c r="I1294" s="27" t="n">
        <v>0</v>
      </c>
      <c r="J1294" s="35" t="s">
        <v>1388</v>
      </c>
      <c r="K1294" s="36" t="n">
        <v>100000</v>
      </c>
      <c r="L1294" s="36" t="n">
        <v>264000</v>
      </c>
      <c r="M1294" s="29" t="n">
        <v>11000</v>
      </c>
      <c r="N1294" s="30" t="n">
        <v>44000</v>
      </c>
      <c r="O1294" s="30" t="n">
        <v>264000</v>
      </c>
      <c r="P1294" s="36" t="n">
        <v>0</v>
      </c>
      <c r="Q1294" s="302" t="n">
        <v>46083</v>
      </c>
    </row>
    <row r="1295" customFormat="false" ht="28.35" hidden="true" customHeight="false" outlineLevel="0" collapsed="false">
      <c r="A1295" s="26" t="n">
        <v>3461</v>
      </c>
      <c r="B1295" s="21" t="s">
        <v>507</v>
      </c>
      <c r="C1295" s="21" t="s">
        <v>508</v>
      </c>
      <c r="D1295" s="34"/>
      <c r="E1295" s="25" t="n">
        <v>45919</v>
      </c>
      <c r="F1295" s="25" t="n">
        <v>46031</v>
      </c>
      <c r="G1295" s="26" t="n">
        <v>80</v>
      </c>
      <c r="H1295" s="27" t="n">
        <v>80</v>
      </c>
      <c r="I1295" s="27" t="n">
        <v>0</v>
      </c>
      <c r="J1295" s="35" t="s">
        <v>274</v>
      </c>
      <c r="K1295" s="36" t="n">
        <v>300000</v>
      </c>
      <c r="L1295" s="36" t="n">
        <v>648000</v>
      </c>
      <c r="M1295" s="29" t="n">
        <v>40500</v>
      </c>
      <c r="N1295" s="30" t="n">
        <v>162000</v>
      </c>
      <c r="O1295" s="30" t="n">
        <v>648000</v>
      </c>
      <c r="P1295" s="36" t="n">
        <v>0</v>
      </c>
      <c r="Q1295" s="302" t="n">
        <v>46083</v>
      </c>
    </row>
    <row r="1296" customFormat="false" ht="14.9" hidden="true" customHeight="false" outlineLevel="0" collapsed="false">
      <c r="A1296" s="26" t="n">
        <v>3212</v>
      </c>
      <c r="B1296" s="21" t="s">
        <v>599</v>
      </c>
      <c r="C1296" s="21"/>
      <c r="D1296" s="34"/>
      <c r="E1296" s="25" t="n">
        <v>45948</v>
      </c>
      <c r="F1296" s="25" t="n">
        <v>46059</v>
      </c>
      <c r="G1296" s="26" t="n">
        <v>80</v>
      </c>
      <c r="H1296" s="27" t="n">
        <v>83.4920634920635</v>
      </c>
      <c r="I1296" s="27" t="n">
        <v>-3.49206349206349</v>
      </c>
      <c r="J1296" s="35" t="s">
        <v>1389</v>
      </c>
      <c r="K1296" s="36" t="n">
        <v>70000</v>
      </c>
      <c r="L1296" s="36" t="n">
        <v>151200</v>
      </c>
      <c r="M1296" s="37" t="n">
        <v>9450</v>
      </c>
      <c r="N1296" s="30" t="n">
        <v>37800</v>
      </c>
      <c r="O1296" s="30" t="n">
        <v>157800</v>
      </c>
      <c r="P1296" s="36" t="n">
        <v>-6600</v>
      </c>
      <c r="Q1296" s="302" t="n">
        <v>46083</v>
      </c>
    </row>
    <row r="1297" customFormat="false" ht="42" hidden="true" customHeight="false" outlineLevel="0" collapsed="false">
      <c r="A1297" s="20" t="n">
        <v>3495</v>
      </c>
      <c r="B1297" s="324" t="s">
        <v>227</v>
      </c>
      <c r="C1297" s="34" t="s">
        <v>228</v>
      </c>
      <c r="D1297" s="34"/>
      <c r="E1297" s="25" t="n">
        <v>45976</v>
      </c>
      <c r="F1297" s="25" t="n">
        <v>46087</v>
      </c>
      <c r="G1297" s="26" t="n">
        <v>80</v>
      </c>
      <c r="H1297" s="27" t="n">
        <v>80</v>
      </c>
      <c r="I1297" s="27" t="n">
        <v>0</v>
      </c>
      <c r="J1297" s="38" t="s">
        <v>1390</v>
      </c>
      <c r="K1297" s="36" t="n">
        <v>200000</v>
      </c>
      <c r="L1297" s="36" t="n">
        <v>432000</v>
      </c>
      <c r="M1297" s="37" t="n">
        <v>27000</v>
      </c>
      <c r="N1297" s="30" t="n">
        <v>108000</v>
      </c>
      <c r="O1297" s="30" t="n">
        <v>432000</v>
      </c>
      <c r="P1297" s="31" t="n">
        <v>0</v>
      </c>
      <c r="Q1297" s="302" t="n">
        <v>46089</v>
      </c>
    </row>
    <row r="1298" customFormat="false" ht="21.6" hidden="true" customHeight="false" outlineLevel="0" collapsed="false">
      <c r="A1298" s="20" t="n">
        <v>3617</v>
      </c>
      <c r="B1298" s="21" t="s">
        <v>230</v>
      </c>
      <c r="C1298" s="21" t="s">
        <v>231</v>
      </c>
      <c r="D1298" s="34"/>
      <c r="E1298" s="25" t="n">
        <v>46046</v>
      </c>
      <c r="F1298" s="25" t="n">
        <v>46063</v>
      </c>
      <c r="G1298" s="26" t="n">
        <v>12</v>
      </c>
      <c r="H1298" s="27" t="e">
        <f aca="false">#VALUE!</f>
        <v>#VALUE!</v>
      </c>
      <c r="I1298" s="27" t="e">
        <f aca="false">#VALUE!</f>
        <v>#VALUE!</v>
      </c>
      <c r="J1298" s="35" t="s">
        <v>1391</v>
      </c>
      <c r="K1298" s="394" t="n">
        <v>30000</v>
      </c>
      <c r="L1298" s="36" t="n">
        <v>45000</v>
      </c>
      <c r="M1298" s="29" t="s">
        <v>214</v>
      </c>
      <c r="N1298" s="30" t="n">
        <v>45000</v>
      </c>
      <c r="O1298" s="30" t="n">
        <v>45000</v>
      </c>
      <c r="P1298" s="31" t="n">
        <v>0</v>
      </c>
      <c r="Q1298" s="302" t="n">
        <v>46089</v>
      </c>
    </row>
    <row r="1299" customFormat="false" ht="21.6" hidden="true" customHeight="false" outlineLevel="0" collapsed="false">
      <c r="A1299" s="20" t="n">
        <v>3640</v>
      </c>
      <c r="B1299" s="21" t="s">
        <v>230</v>
      </c>
      <c r="C1299" s="21" t="s">
        <v>231</v>
      </c>
      <c r="D1299" s="34"/>
      <c r="E1299" s="25" t="n">
        <v>46066</v>
      </c>
      <c r="F1299" s="25" t="n">
        <v>46094</v>
      </c>
      <c r="G1299" s="26" t="n">
        <v>20</v>
      </c>
      <c r="H1299" s="27" t="e">
        <f aca="false">#DIV/0!</f>
        <v>#DIV/0!</v>
      </c>
      <c r="I1299" s="27" t="e">
        <f aca="false">#DIV/0!</f>
        <v>#DIV/0!</v>
      </c>
      <c r="J1299" s="38" t="s">
        <v>1166</v>
      </c>
      <c r="K1299" s="36" t="n">
        <v>50000</v>
      </c>
      <c r="L1299" s="36" t="n">
        <v>75000</v>
      </c>
      <c r="M1299" s="29"/>
      <c r="N1299" s="30" t="n">
        <v>75000</v>
      </c>
      <c r="O1299" s="30" t="n">
        <v>75000</v>
      </c>
      <c r="P1299" s="31" t="n">
        <v>0</v>
      </c>
      <c r="Q1299" s="302" t="n">
        <v>46089</v>
      </c>
    </row>
    <row r="1300" customFormat="false" ht="14.9" hidden="true" customHeight="false" outlineLevel="0" collapsed="false">
      <c r="A1300" s="26" t="n">
        <v>3381</v>
      </c>
      <c r="B1300" s="21" t="s">
        <v>380</v>
      </c>
      <c r="C1300" s="21" t="s">
        <v>292</v>
      </c>
      <c r="D1300" s="34"/>
      <c r="E1300" s="25" t="n">
        <v>45948</v>
      </c>
      <c r="F1300" s="25" t="n">
        <v>46101</v>
      </c>
      <c r="G1300" s="26" t="n">
        <v>110</v>
      </c>
      <c r="H1300" s="27" t="n">
        <v>110</v>
      </c>
      <c r="I1300" s="27" t="n">
        <v>0</v>
      </c>
      <c r="J1300" s="49" t="s">
        <v>362</v>
      </c>
      <c r="K1300" s="36" t="n">
        <v>100000</v>
      </c>
      <c r="L1300" s="36" t="n">
        <v>264000</v>
      </c>
      <c r="M1300" s="37" t="n">
        <v>12000</v>
      </c>
      <c r="N1300" s="30" t="n">
        <v>24000</v>
      </c>
      <c r="O1300" s="30" t="n">
        <v>264000</v>
      </c>
      <c r="P1300" s="36" t="n">
        <v>0</v>
      </c>
      <c r="Q1300" s="302" t="n">
        <v>46089</v>
      </c>
    </row>
    <row r="1301" customFormat="false" ht="14.9" hidden="true" customHeight="false" outlineLevel="0" collapsed="false">
      <c r="A1301" s="26" t="n">
        <v>3403</v>
      </c>
      <c r="B1301" s="21" t="s">
        <v>380</v>
      </c>
      <c r="C1301" s="21" t="s">
        <v>292</v>
      </c>
      <c r="D1301" s="34"/>
      <c r="E1301" s="25" t="n">
        <v>45973</v>
      </c>
      <c r="F1301" s="25" t="n">
        <v>46073</v>
      </c>
      <c r="G1301" s="26" t="n">
        <v>72</v>
      </c>
      <c r="H1301" s="27" t="n">
        <v>72</v>
      </c>
      <c r="I1301" s="27" t="n">
        <v>0</v>
      </c>
      <c r="J1301" s="22" t="s">
        <v>381</v>
      </c>
      <c r="K1301" s="31" t="n">
        <v>50000</v>
      </c>
      <c r="L1301" s="31" t="n">
        <v>108000</v>
      </c>
      <c r="M1301" s="37" t="n">
        <v>7500</v>
      </c>
      <c r="N1301" s="30" t="n">
        <v>10500</v>
      </c>
      <c r="O1301" s="30" t="n">
        <v>108000</v>
      </c>
      <c r="P1301" s="36" t="n">
        <v>0</v>
      </c>
      <c r="Q1301" s="302" t="n">
        <v>46089</v>
      </c>
    </row>
    <row r="1302" customFormat="false" ht="26.1" hidden="true" customHeight="false" outlineLevel="0" collapsed="false">
      <c r="A1302" s="26" t="n">
        <v>3661</v>
      </c>
      <c r="B1302" s="34" t="s">
        <v>1392</v>
      </c>
      <c r="C1302" s="34"/>
      <c r="D1302" s="34"/>
      <c r="E1302" s="25" t="n">
        <v>46079</v>
      </c>
      <c r="F1302" s="25" t="n">
        <v>46086</v>
      </c>
      <c r="G1302" s="26" t="n">
        <v>5</v>
      </c>
      <c r="H1302" s="27" t="e">
        <f aca="false">#DIV/0!</f>
        <v>#DIV/0!</v>
      </c>
      <c r="I1302" s="27" t="e">
        <f aca="false">#DIV/0!</f>
        <v>#DIV/0!</v>
      </c>
      <c r="J1302" s="38" t="s">
        <v>1166</v>
      </c>
      <c r="K1302" s="31" t="n">
        <v>150000</v>
      </c>
      <c r="L1302" s="31" t="n">
        <v>195000</v>
      </c>
      <c r="M1302" s="37"/>
      <c r="N1302" s="30" t="n">
        <v>195000</v>
      </c>
      <c r="O1302" s="30" t="n">
        <v>195000</v>
      </c>
      <c r="P1302" s="36" t="n">
        <v>0</v>
      </c>
      <c r="Q1302" s="302" t="n">
        <v>46089</v>
      </c>
    </row>
    <row r="1303" customFormat="false" ht="28.35" hidden="true" customHeight="false" outlineLevel="0" collapsed="false">
      <c r="A1303" s="26" t="n">
        <v>3283</v>
      </c>
      <c r="B1303" s="21" t="s">
        <v>430</v>
      </c>
      <c r="C1303" s="21" t="s">
        <v>431</v>
      </c>
      <c r="D1303" s="34"/>
      <c r="E1303" s="25" t="n">
        <v>45959</v>
      </c>
      <c r="F1303" s="25" t="n">
        <v>46071</v>
      </c>
      <c r="G1303" s="26" t="n">
        <v>80</v>
      </c>
      <c r="H1303" s="27" t="n">
        <v>79.8518518518519</v>
      </c>
      <c r="I1303" s="27" t="n">
        <v>0.148148148148152</v>
      </c>
      <c r="J1303" s="65" t="s">
        <v>1393</v>
      </c>
      <c r="K1303" s="46" t="n">
        <v>100000</v>
      </c>
      <c r="L1303" s="36" t="n">
        <v>216000</v>
      </c>
      <c r="M1303" s="29" t="n">
        <v>13500</v>
      </c>
      <c r="N1303" s="30" t="n">
        <v>54000</v>
      </c>
      <c r="O1303" s="30" t="n">
        <v>215600</v>
      </c>
      <c r="P1303" s="36" t="n">
        <v>400</v>
      </c>
      <c r="Q1303" s="302" t="n">
        <v>46089</v>
      </c>
    </row>
    <row r="1304" customFormat="false" ht="21.6" hidden="true" customHeight="false" outlineLevel="0" collapsed="false">
      <c r="A1304" s="26" t="n">
        <v>3110</v>
      </c>
      <c r="B1304" s="21" t="s">
        <v>450</v>
      </c>
      <c r="C1304" s="21" t="s">
        <v>451</v>
      </c>
      <c r="D1304" s="34"/>
      <c r="E1304" s="25" t="n">
        <v>45959</v>
      </c>
      <c r="F1304" s="25" t="n">
        <v>46059</v>
      </c>
      <c r="G1304" s="26" t="n">
        <v>72</v>
      </c>
      <c r="H1304" s="27" t="n">
        <v>72</v>
      </c>
      <c r="I1304" s="27" t="n">
        <v>0</v>
      </c>
      <c r="J1304" s="22" t="s">
        <v>266</v>
      </c>
      <c r="K1304" s="46" t="n">
        <v>20000</v>
      </c>
      <c r="L1304" s="36" t="n">
        <v>43200</v>
      </c>
      <c r="M1304" s="37" t="n">
        <v>3000</v>
      </c>
      <c r="N1304" s="30" t="n">
        <v>4200</v>
      </c>
      <c r="O1304" s="30" t="n">
        <v>43200</v>
      </c>
      <c r="P1304" s="36" t="n">
        <v>0</v>
      </c>
      <c r="Q1304" s="302" t="n">
        <v>46089</v>
      </c>
    </row>
    <row r="1305" customFormat="false" ht="14.25" hidden="true" customHeight="false" outlineLevel="0" collapsed="false">
      <c r="A1305" s="26" t="n">
        <v>3663</v>
      </c>
      <c r="B1305" s="21" t="s">
        <v>504</v>
      </c>
      <c r="C1305" s="21"/>
      <c r="D1305" s="34"/>
      <c r="E1305" s="25" t="n">
        <v>46081</v>
      </c>
      <c r="F1305" s="25" t="n">
        <v>46094</v>
      </c>
      <c r="G1305" s="26" t="n">
        <v>10</v>
      </c>
      <c r="H1305" s="27" t="e">
        <f aca="false">#DIV/0!</f>
        <v>#DIV/0!</v>
      </c>
      <c r="I1305" s="27" t="e">
        <f aca="false">#DIV/0!</f>
        <v>#DIV/0!</v>
      </c>
      <c r="J1305" s="35" t="s">
        <v>1394</v>
      </c>
      <c r="K1305" s="36" t="n">
        <v>50000</v>
      </c>
      <c r="L1305" s="36" t="n">
        <v>75000</v>
      </c>
      <c r="M1305" s="29"/>
      <c r="N1305" s="30" t="n">
        <v>75000</v>
      </c>
      <c r="O1305" s="30" t="n">
        <v>75000</v>
      </c>
      <c r="P1305" s="36" t="n">
        <v>0</v>
      </c>
      <c r="Q1305" s="302" t="n">
        <v>46089</v>
      </c>
    </row>
    <row r="1306" customFormat="false" ht="28.35" hidden="true" customHeight="false" outlineLevel="0" collapsed="false">
      <c r="A1306" s="26" t="n">
        <v>2844</v>
      </c>
      <c r="B1306" s="21" t="s">
        <v>574</v>
      </c>
      <c r="C1306" s="21" t="s">
        <v>575</v>
      </c>
      <c r="D1306" s="34"/>
      <c r="E1306" s="25" t="n">
        <v>45922</v>
      </c>
      <c r="F1306" s="25" t="n">
        <v>46076</v>
      </c>
      <c r="G1306" s="26" t="n">
        <v>110</v>
      </c>
      <c r="H1306" s="27" t="n">
        <v>110</v>
      </c>
      <c r="I1306" s="27" t="n">
        <v>0</v>
      </c>
      <c r="J1306" s="22" t="s">
        <v>487</v>
      </c>
      <c r="K1306" s="57" t="n">
        <v>150000</v>
      </c>
      <c r="L1306" s="36" t="n">
        <v>396000</v>
      </c>
      <c r="M1306" s="37" t="n">
        <v>18000</v>
      </c>
      <c r="N1306" s="30" t="n">
        <v>36000</v>
      </c>
      <c r="O1306" s="30" t="n">
        <v>396000</v>
      </c>
      <c r="P1306" s="36" t="n">
        <v>0</v>
      </c>
      <c r="Q1306" s="302" t="n">
        <v>46089</v>
      </c>
    </row>
    <row r="1307" customFormat="false" ht="14.9" hidden="true" customHeight="false" outlineLevel="0" collapsed="false">
      <c r="A1307" s="26" t="n">
        <v>3589</v>
      </c>
      <c r="B1307" s="21" t="s">
        <v>631</v>
      </c>
      <c r="C1307" s="21" t="s">
        <v>632</v>
      </c>
      <c r="D1307" s="34"/>
      <c r="E1307" s="25" t="n">
        <v>45944</v>
      </c>
      <c r="F1307" s="25" t="n">
        <v>46084</v>
      </c>
      <c r="G1307" s="26" t="n">
        <v>100</v>
      </c>
      <c r="H1307" s="27" t="n">
        <v>100</v>
      </c>
      <c r="I1307" s="27" t="n">
        <v>0</v>
      </c>
      <c r="J1307" s="35" t="s">
        <v>1395</v>
      </c>
      <c r="K1307" s="36" t="n">
        <v>1000000</v>
      </c>
      <c r="L1307" s="36" t="n">
        <v>2160000</v>
      </c>
      <c r="M1307" s="37" t="n">
        <v>108000</v>
      </c>
      <c r="N1307" s="30" t="n">
        <v>432000</v>
      </c>
      <c r="O1307" s="30" t="n">
        <v>2160000</v>
      </c>
      <c r="P1307" s="36" t="n">
        <v>0</v>
      </c>
      <c r="Q1307" s="302" t="n">
        <v>46089</v>
      </c>
    </row>
    <row r="1308" customFormat="false" ht="28.35" hidden="true" customHeight="false" outlineLevel="0" collapsed="false">
      <c r="A1308" s="20" t="n">
        <v>3464</v>
      </c>
      <c r="B1308" s="21" t="s">
        <v>211</v>
      </c>
      <c r="C1308" s="22" t="s">
        <v>212</v>
      </c>
      <c r="D1308" s="23"/>
      <c r="E1308" s="24" t="n">
        <v>45957</v>
      </c>
      <c r="F1308" s="25" t="n">
        <v>46027</v>
      </c>
      <c r="G1308" s="26" t="n">
        <v>50</v>
      </c>
      <c r="H1308" s="27" t="n">
        <v>50</v>
      </c>
      <c r="I1308" s="27" t="n">
        <v>0</v>
      </c>
      <c r="J1308" s="22" t="s">
        <v>1396</v>
      </c>
      <c r="K1308" s="28" t="n">
        <v>200000</v>
      </c>
      <c r="L1308" s="28" t="n">
        <v>500000</v>
      </c>
      <c r="M1308" s="37" t="n">
        <v>50000</v>
      </c>
      <c r="N1308" s="30" t="n">
        <v>40000</v>
      </c>
      <c r="O1308" s="30" t="n">
        <v>500000</v>
      </c>
      <c r="P1308" s="31" t="n">
        <v>0</v>
      </c>
      <c r="Q1308" s="302" t="n">
        <v>46097</v>
      </c>
    </row>
    <row r="1309" customFormat="false" ht="14.9" hidden="true" customHeight="false" outlineLevel="0" collapsed="false">
      <c r="A1309" s="26" t="n">
        <v>3415</v>
      </c>
      <c r="B1309" s="21" t="s">
        <v>336</v>
      </c>
      <c r="C1309" s="21" t="s">
        <v>337</v>
      </c>
      <c r="D1309" s="34"/>
      <c r="E1309" s="25" t="n">
        <v>45840</v>
      </c>
      <c r="F1309" s="25" t="n">
        <v>46092</v>
      </c>
      <c r="G1309" s="26" t="n">
        <v>180</v>
      </c>
      <c r="H1309" s="27" t="n">
        <v>180</v>
      </c>
      <c r="I1309" s="27" t="n">
        <v>0</v>
      </c>
      <c r="J1309" s="35" t="s">
        <v>1397</v>
      </c>
      <c r="K1309" s="36" t="n">
        <v>200000</v>
      </c>
      <c r="L1309" s="36" t="n">
        <v>603000</v>
      </c>
      <c r="M1309" s="29" t="n">
        <v>16750</v>
      </c>
      <c r="N1309" s="30" t="n">
        <v>67000</v>
      </c>
      <c r="O1309" s="30" t="n">
        <v>603000</v>
      </c>
      <c r="P1309" s="36" t="n">
        <v>0</v>
      </c>
      <c r="Q1309" s="302" t="n">
        <v>46097</v>
      </c>
    </row>
    <row r="1310" customFormat="false" ht="14.9" hidden="true" customHeight="false" outlineLevel="0" collapsed="false">
      <c r="A1310" s="26" t="n">
        <v>3499</v>
      </c>
      <c r="B1310" s="21" t="s">
        <v>336</v>
      </c>
      <c r="C1310" s="21" t="s">
        <v>337</v>
      </c>
      <c r="D1310" s="34"/>
      <c r="E1310" s="25" t="n">
        <v>45894</v>
      </c>
      <c r="F1310" s="25" t="n">
        <v>46062</v>
      </c>
      <c r="G1310" s="26" t="n">
        <v>120</v>
      </c>
      <c r="H1310" s="27" t="n">
        <v>120</v>
      </c>
      <c r="I1310" s="27" t="n">
        <v>0</v>
      </c>
      <c r="J1310" s="35" t="s">
        <v>1398</v>
      </c>
      <c r="K1310" s="36" t="n">
        <v>50000</v>
      </c>
      <c r="L1310" s="36" t="n">
        <v>132000</v>
      </c>
      <c r="M1310" s="37" t="n">
        <v>5500</v>
      </c>
      <c r="N1310" s="30" t="n">
        <v>22000</v>
      </c>
      <c r="O1310" s="30" t="n">
        <v>132000</v>
      </c>
      <c r="P1310" s="36" t="n">
        <v>0</v>
      </c>
      <c r="Q1310" s="302" t="n">
        <v>46097</v>
      </c>
    </row>
    <row r="1311" customFormat="false" ht="14.9" hidden="true" customHeight="false" outlineLevel="0" collapsed="false">
      <c r="A1311" s="26" t="n">
        <v>3183</v>
      </c>
      <c r="B1311" s="21" t="s">
        <v>336</v>
      </c>
      <c r="C1311" s="21" t="s">
        <v>337</v>
      </c>
      <c r="D1311" s="34"/>
      <c r="E1311" s="25" t="n">
        <v>45978</v>
      </c>
      <c r="F1311" s="25" t="n">
        <v>46090</v>
      </c>
      <c r="G1311" s="26" t="n">
        <v>80</v>
      </c>
      <c r="H1311" s="27" t="n">
        <v>80</v>
      </c>
      <c r="I1311" s="27" t="n">
        <v>0</v>
      </c>
      <c r="J1311" s="35" t="s">
        <v>954</v>
      </c>
      <c r="K1311" s="36" t="n">
        <v>20000</v>
      </c>
      <c r="L1311" s="36" t="n">
        <v>43200</v>
      </c>
      <c r="M1311" s="37" t="n">
        <v>2700</v>
      </c>
      <c r="N1311" s="30" t="n">
        <v>10800</v>
      </c>
      <c r="O1311" s="30" t="n">
        <v>43200</v>
      </c>
      <c r="P1311" s="36" t="n">
        <v>0</v>
      </c>
      <c r="Q1311" s="302" t="n">
        <v>46097</v>
      </c>
    </row>
    <row r="1312" customFormat="false" ht="14.9" hidden="true" customHeight="false" outlineLevel="0" collapsed="false">
      <c r="A1312" s="26" t="n">
        <v>3224</v>
      </c>
      <c r="B1312" s="21" t="s">
        <v>336</v>
      </c>
      <c r="C1312" s="21" t="s">
        <v>337</v>
      </c>
      <c r="D1312" s="34"/>
      <c r="E1312" s="25" t="n">
        <v>45992</v>
      </c>
      <c r="F1312" s="25" t="n">
        <v>46104</v>
      </c>
      <c r="G1312" s="26" t="n">
        <v>80</v>
      </c>
      <c r="H1312" s="27" t="n">
        <v>80</v>
      </c>
      <c r="I1312" s="27" t="n">
        <v>0</v>
      </c>
      <c r="J1312" s="35" t="s">
        <v>1223</v>
      </c>
      <c r="K1312" s="47" t="n">
        <v>50000</v>
      </c>
      <c r="L1312" s="31" t="n">
        <v>108000</v>
      </c>
      <c r="M1312" s="37" t="n">
        <v>6750</v>
      </c>
      <c r="N1312" s="30" t="n">
        <v>40656</v>
      </c>
      <c r="O1312" s="30" t="n">
        <v>108000</v>
      </c>
      <c r="P1312" s="36" t="n">
        <v>0</v>
      </c>
      <c r="Q1312" s="302" t="n">
        <v>46097</v>
      </c>
    </row>
    <row r="1313" customFormat="false" ht="21.6" hidden="true" customHeight="false" outlineLevel="0" collapsed="false">
      <c r="A1313" s="26" t="n">
        <v>3537</v>
      </c>
      <c r="B1313" s="21" t="s">
        <v>454</v>
      </c>
      <c r="C1313" s="21" t="s">
        <v>451</v>
      </c>
      <c r="D1313" s="34"/>
      <c r="E1313" s="25" t="n">
        <v>46004</v>
      </c>
      <c r="F1313" s="25" t="n">
        <v>46105</v>
      </c>
      <c r="G1313" s="26" t="n">
        <v>72</v>
      </c>
      <c r="H1313" s="27" t="n">
        <v>72</v>
      </c>
      <c r="I1313" s="27" t="n">
        <v>0</v>
      </c>
      <c r="J1313" s="22" t="s">
        <v>381</v>
      </c>
      <c r="K1313" s="46" t="n">
        <v>50000</v>
      </c>
      <c r="L1313" s="36" t="n">
        <v>108000</v>
      </c>
      <c r="M1313" s="37" t="n">
        <v>7500</v>
      </c>
      <c r="N1313" s="30" t="n">
        <v>10500</v>
      </c>
      <c r="O1313" s="30" t="n">
        <v>108000</v>
      </c>
      <c r="P1313" s="36" t="n">
        <v>0</v>
      </c>
      <c r="Q1313" s="302" t="n">
        <v>46097</v>
      </c>
    </row>
    <row r="1314" customFormat="false" ht="28.35" hidden="true" customHeight="false" outlineLevel="0" collapsed="false">
      <c r="A1314" s="26" t="n">
        <v>3325</v>
      </c>
      <c r="B1314" s="21" t="s">
        <v>500</v>
      </c>
      <c r="C1314" s="21" t="s">
        <v>501</v>
      </c>
      <c r="D1314" s="34"/>
      <c r="E1314" s="25" t="n">
        <v>46020</v>
      </c>
      <c r="F1314" s="25" t="n">
        <v>46097</v>
      </c>
      <c r="G1314" s="26" t="n">
        <v>55</v>
      </c>
      <c r="H1314" s="27" t="n">
        <v>55</v>
      </c>
      <c r="I1314" s="27" t="n">
        <v>0</v>
      </c>
      <c r="J1314" s="22" t="s">
        <v>1316</v>
      </c>
      <c r="K1314" s="36" t="n">
        <v>450000</v>
      </c>
      <c r="L1314" s="36" t="n">
        <v>863500</v>
      </c>
      <c r="M1314" s="37" t="n">
        <v>78500</v>
      </c>
      <c r="N1314" s="30" t="n">
        <v>78500</v>
      </c>
      <c r="O1314" s="30" t="n">
        <v>863500</v>
      </c>
      <c r="P1314" s="36" t="n">
        <v>0</v>
      </c>
      <c r="Q1314" s="302" t="n">
        <v>46097</v>
      </c>
    </row>
    <row r="1315" customFormat="false" ht="14.9" hidden="false" customHeight="false" outlineLevel="0" collapsed="false">
      <c r="A1315" s="26" t="n">
        <v>3188</v>
      </c>
      <c r="B1315" s="21" t="s">
        <v>568</v>
      </c>
      <c r="C1315" s="21" t="s">
        <v>569</v>
      </c>
      <c r="D1315" s="34"/>
      <c r="E1315" s="25" t="n">
        <v>45794</v>
      </c>
      <c r="F1315" s="25" t="n">
        <v>46017</v>
      </c>
      <c r="G1315" s="26" t="n">
        <v>160</v>
      </c>
      <c r="H1315" s="27" t="n">
        <v>160</v>
      </c>
      <c r="I1315" s="27" t="n">
        <v>0</v>
      </c>
      <c r="J1315" s="35" t="s">
        <v>1399</v>
      </c>
      <c r="K1315" s="31" t="n">
        <v>170000</v>
      </c>
      <c r="L1315" s="31" t="n">
        <v>510000</v>
      </c>
      <c r="M1315" s="29" t="n">
        <v>15937.5</v>
      </c>
      <c r="N1315" s="30" t="n">
        <v>127500</v>
      </c>
      <c r="O1315" s="30" t="n">
        <v>510000</v>
      </c>
      <c r="P1315" s="36" t="n">
        <v>0</v>
      </c>
      <c r="Q1315" s="302" t="n">
        <v>46097</v>
      </c>
    </row>
    <row r="1316" customFormat="false" ht="14.9" hidden="false" customHeight="false" outlineLevel="0" collapsed="false">
      <c r="A1316" s="26" t="n">
        <v>3410</v>
      </c>
      <c r="B1316" s="21" t="s">
        <v>568</v>
      </c>
      <c r="C1316" s="21" t="s">
        <v>569</v>
      </c>
      <c r="D1316" s="34"/>
      <c r="E1316" s="25" t="n">
        <v>45830</v>
      </c>
      <c r="F1316" s="25" t="n">
        <v>45982</v>
      </c>
      <c r="G1316" s="26" t="n">
        <v>110</v>
      </c>
      <c r="H1316" s="27" t="n">
        <v>110</v>
      </c>
      <c r="I1316" s="27" t="n">
        <v>0</v>
      </c>
      <c r="J1316" s="22" t="s">
        <v>221</v>
      </c>
      <c r="K1316" s="57" t="n">
        <v>200000</v>
      </c>
      <c r="L1316" s="36" t="n">
        <v>528000</v>
      </c>
      <c r="M1316" s="37" t="n">
        <v>24000</v>
      </c>
      <c r="N1316" s="30" t="n">
        <v>48000</v>
      </c>
      <c r="O1316" s="30" t="n">
        <v>528000</v>
      </c>
      <c r="P1316" s="36" t="n">
        <v>0</v>
      </c>
      <c r="Q1316" s="302" t="n">
        <v>46097</v>
      </c>
    </row>
    <row r="1317" customFormat="false" ht="14.9" hidden="true" customHeight="false" outlineLevel="0" collapsed="false">
      <c r="A1317" s="26" t="n">
        <v>3641</v>
      </c>
      <c r="B1317" s="21" t="s">
        <v>578</v>
      </c>
      <c r="C1317" s="21" t="s">
        <v>579</v>
      </c>
      <c r="D1317" s="34"/>
      <c r="E1317" s="25" t="n">
        <v>46069</v>
      </c>
      <c r="F1317" s="25" t="n">
        <v>46064</v>
      </c>
      <c r="G1317" s="26" t="n">
        <v>18</v>
      </c>
      <c r="H1317" s="27" t="e">
        <f aca="false">#DIV/0!</f>
        <v>#DIV/0!</v>
      </c>
      <c r="I1317" s="27" t="e">
        <f aca="false">#DIV/0!</f>
        <v>#DIV/0!</v>
      </c>
      <c r="J1317" s="22" t="s">
        <v>580</v>
      </c>
      <c r="K1317" s="57" t="n">
        <v>250000</v>
      </c>
      <c r="L1317" s="36" t="n">
        <v>350000</v>
      </c>
      <c r="M1317" s="37"/>
      <c r="N1317" s="30" t="n">
        <v>350000</v>
      </c>
      <c r="O1317" s="30" t="n">
        <v>350000</v>
      </c>
      <c r="P1317" s="36" t="n">
        <v>0</v>
      </c>
      <c r="Q1317" s="302" t="n">
        <v>46097</v>
      </c>
    </row>
    <row r="1318" customFormat="false" ht="17.9" hidden="true" customHeight="false" outlineLevel="0" collapsed="false">
      <c r="A1318" s="26" t="n">
        <v>3687</v>
      </c>
      <c r="B1318" s="34" t="s">
        <v>429</v>
      </c>
      <c r="C1318" s="34"/>
      <c r="D1318" s="34"/>
      <c r="E1318" s="25" t="n">
        <v>46099</v>
      </c>
      <c r="F1318" s="25" t="n">
        <v>46106</v>
      </c>
      <c r="G1318" s="26" t="n">
        <v>5</v>
      </c>
      <c r="H1318" s="27" t="e">
        <f aca="false">#VALUE!</f>
        <v>#VALUE!</v>
      </c>
      <c r="I1318" s="27" t="e">
        <f aca="false">#VALUE!</f>
        <v>#VALUE!</v>
      </c>
      <c r="J1318" s="38" t="s">
        <v>1400</v>
      </c>
      <c r="K1318" s="36" t="n">
        <v>200000</v>
      </c>
      <c r="L1318" s="36" t="n">
        <v>260000</v>
      </c>
      <c r="M1318" s="37" t="s">
        <v>214</v>
      </c>
      <c r="N1318" s="30" t="n">
        <v>260000</v>
      </c>
      <c r="O1318" s="30" t="n">
        <v>260000</v>
      </c>
      <c r="P1318" s="36" t="n">
        <v>0</v>
      </c>
      <c r="Q1318" s="302" t="n">
        <v>46104</v>
      </c>
    </row>
    <row r="1319" customFormat="false" ht="14.9" hidden="true" customHeight="false" outlineLevel="0" collapsed="false">
      <c r="A1319" s="26" t="n">
        <v>3295</v>
      </c>
      <c r="B1319" s="21" t="s">
        <v>602</v>
      </c>
      <c r="C1319" s="21"/>
      <c r="D1319" s="34"/>
      <c r="E1319" s="25" t="n">
        <v>46013</v>
      </c>
      <c r="F1319" s="25" t="n">
        <v>46125</v>
      </c>
      <c r="G1319" s="26" t="n">
        <v>80</v>
      </c>
      <c r="H1319" s="27" t="n">
        <v>80</v>
      </c>
      <c r="I1319" s="27" t="n">
        <v>0</v>
      </c>
      <c r="J1319" s="35" t="s">
        <v>1401</v>
      </c>
      <c r="K1319" s="36" t="n">
        <v>200000</v>
      </c>
      <c r="L1319" s="36" t="n">
        <v>432000</v>
      </c>
      <c r="M1319" s="37" t="n">
        <v>27000</v>
      </c>
      <c r="N1319" s="30" t="n">
        <v>108000</v>
      </c>
      <c r="O1319" s="30" t="n">
        <v>432000</v>
      </c>
      <c r="P1319" s="36" t="n">
        <v>0</v>
      </c>
      <c r="Q1319" s="302" t="n">
        <v>46104</v>
      </c>
    </row>
    <row r="1320" customFormat="false" ht="14.9" hidden="true" customHeight="false" outlineLevel="0" collapsed="false">
      <c r="A1320" s="26" t="n">
        <v>3509</v>
      </c>
      <c r="B1320" s="21" t="s">
        <v>291</v>
      </c>
      <c r="C1320" s="21" t="s">
        <v>292</v>
      </c>
      <c r="D1320" s="34"/>
      <c r="E1320" s="25" t="n">
        <v>45810</v>
      </c>
      <c r="F1320" s="25" t="n">
        <v>46062</v>
      </c>
      <c r="G1320" s="26" t="n">
        <v>180</v>
      </c>
      <c r="H1320" s="27" t="n">
        <v>180</v>
      </c>
      <c r="I1320" s="27" t="n">
        <v>0</v>
      </c>
      <c r="J1320" s="35" t="s">
        <v>1397</v>
      </c>
      <c r="K1320" s="36" t="n">
        <v>200000</v>
      </c>
      <c r="L1320" s="36" t="n">
        <v>603000</v>
      </c>
      <c r="M1320" s="37" t="n">
        <v>16750</v>
      </c>
      <c r="N1320" s="30" t="n">
        <v>62000</v>
      </c>
      <c r="O1320" s="30" t="n">
        <v>603000</v>
      </c>
      <c r="P1320" s="36" t="n">
        <v>0</v>
      </c>
      <c r="Q1320" s="302" t="n">
        <v>46111</v>
      </c>
    </row>
    <row r="1321" customFormat="false" ht="19.4" hidden="true" customHeight="false" outlineLevel="0" collapsed="false">
      <c r="A1321" s="26" t="n">
        <v>3647</v>
      </c>
      <c r="B1321" s="21" t="s">
        <v>1106</v>
      </c>
      <c r="C1321" s="21" t="s">
        <v>489</v>
      </c>
      <c r="D1321" s="34"/>
      <c r="E1321" s="25" t="n">
        <v>46073</v>
      </c>
      <c r="F1321" s="25" t="n">
        <v>46013</v>
      </c>
      <c r="G1321" s="26" t="n">
        <v>20</v>
      </c>
      <c r="H1321" s="27" t="e">
        <f aca="false">#DIV/0!</f>
        <v>#DIV/0!</v>
      </c>
      <c r="I1321" s="27" t="e">
        <f aca="false">#DIV/0!</f>
        <v>#DIV/0!</v>
      </c>
      <c r="J1321" s="35" t="s">
        <v>490</v>
      </c>
      <c r="K1321" s="36" t="n">
        <v>50000</v>
      </c>
      <c r="L1321" s="36" t="n">
        <v>75000</v>
      </c>
      <c r="M1321" s="37"/>
      <c r="N1321" s="30" t="n">
        <v>75000</v>
      </c>
      <c r="O1321" s="30" t="n">
        <v>75000</v>
      </c>
      <c r="P1321" s="36" t="n">
        <v>0</v>
      </c>
      <c r="Q1321" s="302" t="n">
        <v>46111</v>
      </c>
    </row>
    <row r="1322" customFormat="false" ht="14.9" hidden="true" customHeight="false" outlineLevel="0" collapsed="false">
      <c r="A1322" s="26" t="n">
        <v>3260</v>
      </c>
      <c r="B1322" s="21" t="s">
        <v>519</v>
      </c>
      <c r="C1322" s="21" t="s">
        <v>520</v>
      </c>
      <c r="D1322" s="34"/>
      <c r="E1322" s="25" t="n">
        <v>45925</v>
      </c>
      <c r="F1322" s="25" t="n">
        <v>46027</v>
      </c>
      <c r="G1322" s="26" t="n">
        <v>72</v>
      </c>
      <c r="H1322" s="27" t="n">
        <v>74.3636363636364</v>
      </c>
      <c r="I1322" s="27" t="n">
        <v>-2.36363636363636</v>
      </c>
      <c r="J1322" s="22" t="s">
        <v>1402</v>
      </c>
      <c r="K1322" s="36" t="n">
        <v>150000</v>
      </c>
      <c r="L1322" s="36" t="n">
        <v>396000</v>
      </c>
      <c r="M1322" s="37" t="n">
        <v>27500</v>
      </c>
      <c r="N1322" s="30" t="n">
        <v>27500</v>
      </c>
      <c r="O1322" s="30" t="n">
        <v>409000</v>
      </c>
      <c r="P1322" s="36" t="n">
        <v>-13000</v>
      </c>
      <c r="Q1322" s="302" t="n">
        <v>46111</v>
      </c>
    </row>
    <row r="1323" customFormat="false" ht="21.6" hidden="true" customHeight="false" outlineLevel="0" collapsed="false">
      <c r="A1323" s="20" t="n">
        <v>3526</v>
      </c>
      <c r="B1323" s="21" t="s">
        <v>230</v>
      </c>
      <c r="C1323" s="21" t="s">
        <v>231</v>
      </c>
      <c r="D1323" s="34"/>
      <c r="E1323" s="25" t="n">
        <v>45995</v>
      </c>
      <c r="F1323" s="25" t="n">
        <v>46107</v>
      </c>
      <c r="G1323" s="26" t="n">
        <v>80</v>
      </c>
      <c r="H1323" s="27" t="n">
        <v>80</v>
      </c>
      <c r="I1323" s="27" t="n">
        <v>0</v>
      </c>
      <c r="J1323" s="35" t="s">
        <v>1190</v>
      </c>
      <c r="K1323" s="36" t="n">
        <v>150000</v>
      </c>
      <c r="L1323" s="36" t="n">
        <v>324000</v>
      </c>
      <c r="M1323" s="37" t="n">
        <v>20250</v>
      </c>
      <c r="N1323" s="30" t="n">
        <v>81000</v>
      </c>
      <c r="O1323" s="30" t="n">
        <v>324000</v>
      </c>
      <c r="P1323" s="31" t="n">
        <v>0</v>
      </c>
      <c r="Q1323" s="302" t="n">
        <v>46118</v>
      </c>
    </row>
    <row r="1324" customFormat="false" ht="21.6" hidden="true" customHeight="false" outlineLevel="0" collapsed="false">
      <c r="A1324" s="20" t="n">
        <v>3368</v>
      </c>
      <c r="B1324" s="21" t="s">
        <v>230</v>
      </c>
      <c r="C1324" s="21" t="s">
        <v>231</v>
      </c>
      <c r="D1324" s="34"/>
      <c r="E1324" s="25" t="n">
        <v>46032</v>
      </c>
      <c r="F1324" s="25" t="n">
        <v>46115</v>
      </c>
      <c r="G1324" s="26" t="n">
        <v>60</v>
      </c>
      <c r="H1324" s="27" t="n">
        <v>60</v>
      </c>
      <c r="I1324" s="27" t="n">
        <v>0</v>
      </c>
      <c r="J1324" s="35" t="s">
        <v>289</v>
      </c>
      <c r="K1324" s="36" t="n">
        <v>50000</v>
      </c>
      <c r="L1324" s="36" t="n">
        <v>96000</v>
      </c>
      <c r="M1324" s="37" t="n">
        <v>8000</v>
      </c>
      <c r="N1324" s="30" t="n">
        <v>32000</v>
      </c>
      <c r="O1324" s="30" t="n">
        <v>96000</v>
      </c>
      <c r="P1324" s="31" t="n">
        <v>0</v>
      </c>
      <c r="Q1324" s="302" t="n">
        <v>46118</v>
      </c>
    </row>
    <row r="1325" customFormat="false" ht="14.9" hidden="true" customHeight="false" outlineLevel="0" collapsed="false">
      <c r="A1325" s="20" t="n">
        <v>3541</v>
      </c>
      <c r="B1325" s="21" t="s">
        <v>240</v>
      </c>
      <c r="C1325" s="21" t="s">
        <v>241</v>
      </c>
      <c r="D1325" s="34"/>
      <c r="E1325" s="25" t="n">
        <v>45990</v>
      </c>
      <c r="F1325" s="25" t="n">
        <v>46091</v>
      </c>
      <c r="G1325" s="26" t="n">
        <v>72</v>
      </c>
      <c r="H1325" s="27" t="n">
        <v>72</v>
      </c>
      <c r="I1325" s="27" t="n">
        <v>0</v>
      </c>
      <c r="J1325" s="22" t="s">
        <v>381</v>
      </c>
      <c r="K1325" s="31" t="n">
        <v>50000</v>
      </c>
      <c r="L1325" s="31" t="n">
        <v>108000</v>
      </c>
      <c r="M1325" s="29" t="n">
        <v>7500</v>
      </c>
      <c r="N1325" s="30" t="n">
        <v>13000</v>
      </c>
      <c r="O1325" s="30" t="n">
        <v>108000</v>
      </c>
      <c r="P1325" s="36" t="n">
        <v>0</v>
      </c>
      <c r="Q1325" s="302" t="n">
        <v>46118</v>
      </c>
    </row>
    <row r="1326" customFormat="false" ht="21.6" hidden="true" customHeight="false" outlineLevel="0" collapsed="false">
      <c r="A1326" s="20" t="n">
        <v>3698</v>
      </c>
      <c r="B1326" s="21" t="s">
        <v>249</v>
      </c>
      <c r="C1326" s="21" t="s">
        <v>250</v>
      </c>
      <c r="D1326" s="34" t="n">
        <v>27252034574</v>
      </c>
      <c r="E1326" s="24" t="n">
        <v>46106</v>
      </c>
      <c r="F1326" s="25" t="n">
        <v>46027</v>
      </c>
      <c r="G1326" s="26" t="n">
        <v>72</v>
      </c>
      <c r="H1326" s="27" t="e">
        <f aca="false">#VALUE!</f>
        <v>#VALUE!</v>
      </c>
      <c r="I1326" s="27" t="e">
        <f aca="false">#VALUE!</f>
        <v>#VALUE!</v>
      </c>
      <c r="J1326" s="35" t="s">
        <v>1403</v>
      </c>
      <c r="K1326" s="31" t="n">
        <v>100000</v>
      </c>
      <c r="L1326" s="31" t="n">
        <v>135000</v>
      </c>
      <c r="M1326" s="29" t="s">
        <v>214</v>
      </c>
      <c r="N1326" s="30" t="n">
        <v>135000</v>
      </c>
      <c r="O1326" s="30" t="n">
        <v>135000</v>
      </c>
      <c r="P1326" s="36" t="n">
        <v>0</v>
      </c>
      <c r="Q1326" s="302" t="n">
        <v>46118</v>
      </c>
    </row>
    <row r="1327" customFormat="false" ht="14.9" hidden="true" customHeight="false" outlineLevel="0" collapsed="false">
      <c r="A1327" s="26" t="n">
        <v>3006</v>
      </c>
      <c r="B1327" s="21" t="s">
        <v>301</v>
      </c>
      <c r="C1327" s="21" t="s">
        <v>292</v>
      </c>
      <c r="D1327" s="34"/>
      <c r="E1327" s="25" t="n">
        <v>45983</v>
      </c>
      <c r="F1327" s="25" t="n">
        <v>46150</v>
      </c>
      <c r="G1327" s="26" t="n">
        <v>120</v>
      </c>
      <c r="H1327" s="27" t="n">
        <v>140</v>
      </c>
      <c r="I1327" s="27" t="n">
        <v>-20</v>
      </c>
      <c r="J1327" s="35" t="s">
        <v>1404</v>
      </c>
      <c r="K1327" s="36" t="n">
        <v>50000</v>
      </c>
      <c r="L1327" s="36" t="n">
        <v>132000</v>
      </c>
      <c r="M1327" s="37" t="n">
        <v>5500</v>
      </c>
      <c r="N1327" s="30" t="n">
        <v>66000</v>
      </c>
      <c r="O1327" s="30" t="n">
        <v>154000</v>
      </c>
      <c r="P1327" s="36" t="n">
        <v>-22000</v>
      </c>
      <c r="Q1327" s="302" t="n">
        <v>46118</v>
      </c>
    </row>
    <row r="1328" customFormat="false" ht="14.9" hidden="true" customHeight="false" outlineLevel="0" collapsed="false">
      <c r="A1328" s="26" t="n">
        <v>3426</v>
      </c>
      <c r="B1328" s="21" t="s">
        <v>342</v>
      </c>
      <c r="C1328" s="21" t="s">
        <v>343</v>
      </c>
      <c r="D1328" s="34" t="n">
        <v>27350892988</v>
      </c>
      <c r="E1328" s="25" t="n">
        <v>45939</v>
      </c>
      <c r="F1328" s="25" t="n">
        <v>46023</v>
      </c>
      <c r="G1328" s="26" t="n">
        <v>60</v>
      </c>
      <c r="H1328" s="27" t="n">
        <v>60</v>
      </c>
      <c r="I1328" s="27" t="n">
        <v>0</v>
      </c>
      <c r="J1328" s="22" t="s">
        <v>1405</v>
      </c>
      <c r="K1328" s="36" t="n">
        <v>500000</v>
      </c>
      <c r="L1328" s="36" t="n">
        <v>960000</v>
      </c>
      <c r="M1328" s="37" t="n">
        <v>80000</v>
      </c>
      <c r="N1328" s="30" t="n">
        <v>80000</v>
      </c>
      <c r="O1328" s="30" t="n">
        <v>960000</v>
      </c>
      <c r="P1328" s="36" t="n">
        <v>0</v>
      </c>
      <c r="Q1328" s="302" t="n">
        <v>46118</v>
      </c>
    </row>
    <row r="1329" customFormat="false" ht="28.35" hidden="true" customHeight="false" outlineLevel="0" collapsed="false">
      <c r="A1329" s="26" t="n">
        <v>3287</v>
      </c>
      <c r="B1329" s="21" t="s">
        <v>430</v>
      </c>
      <c r="C1329" s="21" t="s">
        <v>431</v>
      </c>
      <c r="D1329" s="34"/>
      <c r="E1329" s="25" t="n">
        <v>45884</v>
      </c>
      <c r="F1329" s="25" t="n">
        <v>46108</v>
      </c>
      <c r="G1329" s="26" t="n">
        <v>160</v>
      </c>
      <c r="H1329" s="27" t="n">
        <v>160</v>
      </c>
      <c r="I1329" s="27" t="n">
        <v>0</v>
      </c>
      <c r="J1329" s="65" t="s">
        <v>1406</v>
      </c>
      <c r="K1329" s="46" t="n">
        <v>150000</v>
      </c>
      <c r="L1329" s="36" t="n">
        <v>352000</v>
      </c>
      <c r="M1329" s="37" t="n">
        <v>11000</v>
      </c>
      <c r="N1329" s="30" t="n">
        <v>44000</v>
      </c>
      <c r="O1329" s="30" t="n">
        <v>352000</v>
      </c>
      <c r="P1329" s="36" t="n">
        <v>0</v>
      </c>
      <c r="Q1329" s="302" t="n">
        <v>46118</v>
      </c>
    </row>
    <row r="1330" customFormat="false" ht="28.35" hidden="true" customHeight="false" outlineLevel="0" collapsed="false">
      <c r="A1330" s="26" t="n">
        <v>3477</v>
      </c>
      <c r="B1330" s="21" t="s">
        <v>507</v>
      </c>
      <c r="C1330" s="21" t="s">
        <v>508</v>
      </c>
      <c r="D1330" s="34"/>
      <c r="E1330" s="25" t="n">
        <v>45949</v>
      </c>
      <c r="F1330" s="25" t="n">
        <v>46059</v>
      </c>
      <c r="G1330" s="26" t="n">
        <v>80</v>
      </c>
      <c r="H1330" s="27" t="n">
        <v>80</v>
      </c>
      <c r="I1330" s="27" t="n">
        <v>0</v>
      </c>
      <c r="J1330" s="35" t="s">
        <v>274</v>
      </c>
      <c r="K1330" s="57" t="n">
        <v>300000</v>
      </c>
      <c r="L1330" s="36" t="n">
        <v>648000</v>
      </c>
      <c r="M1330" s="29" t="n">
        <v>40500</v>
      </c>
      <c r="N1330" s="30" t="n">
        <v>162000</v>
      </c>
      <c r="O1330" s="30" t="n">
        <v>648000</v>
      </c>
      <c r="P1330" s="36" t="n">
        <v>0</v>
      </c>
      <c r="Q1330" s="302" t="n">
        <v>46118</v>
      </c>
    </row>
    <row r="1331" customFormat="false" ht="41.75" hidden="true" customHeight="false" outlineLevel="0" collapsed="false">
      <c r="A1331" s="26" t="n">
        <v>3337</v>
      </c>
      <c r="B1331" s="21" t="s">
        <v>540</v>
      </c>
      <c r="C1331" s="21" t="s">
        <v>541</v>
      </c>
      <c r="D1331" s="34" t="s">
        <v>542</v>
      </c>
      <c r="E1331" s="25" t="n">
        <v>45818</v>
      </c>
      <c r="F1331" s="25" t="n">
        <v>46042</v>
      </c>
      <c r="G1331" s="26" t="n">
        <v>160</v>
      </c>
      <c r="H1331" s="27" t="n">
        <v>160</v>
      </c>
      <c r="I1331" s="27" t="n">
        <v>0</v>
      </c>
      <c r="J1331" s="35" t="s">
        <v>1407</v>
      </c>
      <c r="K1331" s="36" t="n">
        <v>400000</v>
      </c>
      <c r="L1331" s="36" t="n">
        <v>1200000</v>
      </c>
      <c r="M1331" s="29" t="n">
        <v>37500</v>
      </c>
      <c r="N1331" s="30" t="n">
        <v>50000</v>
      </c>
      <c r="O1331" s="30" t="n">
        <v>1200000</v>
      </c>
      <c r="P1331" s="36" t="n">
        <v>0</v>
      </c>
      <c r="Q1331" s="302" t="n">
        <v>46118</v>
      </c>
    </row>
    <row r="1332" customFormat="false" ht="14.9" hidden="false" customHeight="false" outlineLevel="0" collapsed="false">
      <c r="A1332" s="26" t="n">
        <v>3476</v>
      </c>
      <c r="B1332" s="21" t="s">
        <v>568</v>
      </c>
      <c r="C1332" s="21" t="s">
        <v>569</v>
      </c>
      <c r="D1332" s="34"/>
      <c r="E1332" s="25" t="n">
        <v>45849</v>
      </c>
      <c r="F1332" s="25" t="n">
        <v>46003</v>
      </c>
      <c r="G1332" s="26" t="n">
        <v>110</v>
      </c>
      <c r="H1332" s="27" t="n">
        <v>110</v>
      </c>
      <c r="I1332" s="27" t="n">
        <v>0</v>
      </c>
      <c r="J1332" s="22" t="s">
        <v>598</v>
      </c>
      <c r="K1332" s="36" t="n">
        <v>250000</v>
      </c>
      <c r="L1332" s="36" t="n">
        <v>660000</v>
      </c>
      <c r="M1332" s="37" t="n">
        <v>30000</v>
      </c>
      <c r="N1332" s="30" t="n">
        <v>90000</v>
      </c>
      <c r="O1332" s="30" t="n">
        <v>660000</v>
      </c>
      <c r="P1332" s="36" t="n">
        <v>0</v>
      </c>
      <c r="Q1332" s="302" t="n">
        <v>46118</v>
      </c>
    </row>
    <row r="1333" customFormat="false" ht="28.35" hidden="true" customHeight="false" outlineLevel="0" collapsed="false">
      <c r="A1333" s="20" t="n">
        <v>3569</v>
      </c>
      <c r="B1333" s="21" t="s">
        <v>222</v>
      </c>
      <c r="C1333" s="21" t="s">
        <v>219</v>
      </c>
      <c r="D1333" s="34"/>
      <c r="E1333" s="25" t="n">
        <v>46015</v>
      </c>
      <c r="F1333" s="25" t="n">
        <v>46115</v>
      </c>
      <c r="G1333" s="26" t="n">
        <v>72</v>
      </c>
      <c r="H1333" s="27" t="n">
        <v>72</v>
      </c>
      <c r="I1333" s="27" t="n">
        <v>0</v>
      </c>
      <c r="J1333" s="22" t="s">
        <v>687</v>
      </c>
      <c r="K1333" s="36" t="n">
        <v>100000</v>
      </c>
      <c r="L1333" s="36" t="n">
        <v>216000</v>
      </c>
      <c r="M1333" s="37" t="n">
        <v>15000</v>
      </c>
      <c r="N1333" s="30" t="n">
        <v>36000</v>
      </c>
      <c r="O1333" s="30" t="n">
        <v>216000</v>
      </c>
      <c r="P1333" s="31" t="n">
        <v>0</v>
      </c>
      <c r="Q1333" s="302" t="n">
        <v>46125</v>
      </c>
    </row>
    <row r="1334" customFormat="false" ht="21.6" hidden="true" customHeight="false" outlineLevel="0" collapsed="false">
      <c r="A1334" s="26" t="n">
        <v>3427</v>
      </c>
      <c r="B1334" s="21" t="s">
        <v>285</v>
      </c>
      <c r="C1334" s="21" t="s">
        <v>286</v>
      </c>
      <c r="D1334" s="34"/>
      <c r="E1334" s="25" t="n">
        <v>46021</v>
      </c>
      <c r="F1334" s="25" t="n">
        <v>46133</v>
      </c>
      <c r="G1334" s="26" t="n">
        <v>80</v>
      </c>
      <c r="H1334" s="27" t="n">
        <v>80</v>
      </c>
      <c r="I1334" s="27" t="n">
        <v>0</v>
      </c>
      <c r="J1334" s="35" t="s">
        <v>259</v>
      </c>
      <c r="K1334" s="36" t="n">
        <v>100000</v>
      </c>
      <c r="L1334" s="36" t="n">
        <v>216000</v>
      </c>
      <c r="M1334" s="56" t="n">
        <v>13500</v>
      </c>
      <c r="N1334" s="30" t="n">
        <v>54000</v>
      </c>
      <c r="O1334" s="30" t="n">
        <v>216000</v>
      </c>
      <c r="P1334" s="36" t="n">
        <v>0</v>
      </c>
      <c r="Q1334" s="302" t="n">
        <v>46125</v>
      </c>
    </row>
    <row r="1335" customFormat="false" ht="14.9" hidden="true" customHeight="false" outlineLevel="0" collapsed="false">
      <c r="A1335" s="26" t="n">
        <v>2403</v>
      </c>
      <c r="B1335" s="21" t="s">
        <v>297</v>
      </c>
      <c r="C1335" s="21" t="s">
        <v>292</v>
      </c>
      <c r="D1335" s="34"/>
      <c r="E1335" s="25" t="n">
        <v>46029</v>
      </c>
      <c r="F1335" s="25" t="n">
        <v>46129</v>
      </c>
      <c r="G1335" s="26" t="n">
        <v>72</v>
      </c>
      <c r="H1335" s="27" t="n">
        <v>72</v>
      </c>
      <c r="I1335" s="27" t="n">
        <v>0</v>
      </c>
      <c r="J1335" s="22" t="s">
        <v>244</v>
      </c>
      <c r="K1335" s="36" t="n">
        <v>200000</v>
      </c>
      <c r="L1335" s="36" t="n">
        <v>432000</v>
      </c>
      <c r="M1335" s="37" t="n">
        <v>30000</v>
      </c>
      <c r="N1335" s="30" t="n">
        <v>42000</v>
      </c>
      <c r="O1335" s="30" t="n">
        <v>432000</v>
      </c>
      <c r="P1335" s="36" t="n">
        <v>0</v>
      </c>
      <c r="Q1335" s="302" t="n">
        <v>46125</v>
      </c>
    </row>
    <row r="1336" customFormat="false" ht="26.1" hidden="true" customHeight="false" outlineLevel="0" collapsed="false">
      <c r="A1336" s="26" t="n">
        <v>2062</v>
      </c>
      <c r="B1336" s="34" t="s">
        <v>360</v>
      </c>
      <c r="C1336" s="34" t="s">
        <v>361</v>
      </c>
      <c r="D1336" s="34"/>
      <c r="E1336" s="25" t="n">
        <v>45892</v>
      </c>
      <c r="F1336" s="25" t="n">
        <v>46045</v>
      </c>
      <c r="G1336" s="26" t="n">
        <v>110</v>
      </c>
      <c r="H1336" s="27" t="n">
        <v>110</v>
      </c>
      <c r="I1336" s="27" t="n">
        <v>0</v>
      </c>
      <c r="J1336" s="34" t="s">
        <v>362</v>
      </c>
      <c r="K1336" s="36" t="n">
        <v>100000</v>
      </c>
      <c r="L1336" s="36" t="n">
        <v>264000</v>
      </c>
      <c r="M1336" s="29" t="n">
        <v>12000</v>
      </c>
      <c r="N1336" s="30" t="n">
        <v>12000</v>
      </c>
      <c r="O1336" s="30" t="n">
        <v>264000</v>
      </c>
      <c r="P1336" s="36" t="n">
        <v>0</v>
      </c>
      <c r="Q1336" s="302" t="n">
        <v>46125</v>
      </c>
    </row>
    <row r="1337" customFormat="false" ht="14.9" hidden="true" customHeight="false" outlineLevel="0" collapsed="false">
      <c r="A1337" s="26" t="n">
        <v>3458</v>
      </c>
      <c r="B1337" s="21" t="s">
        <v>392</v>
      </c>
      <c r="C1337" s="21" t="s">
        <v>393</v>
      </c>
      <c r="D1337" s="34"/>
      <c r="E1337" s="25" t="n">
        <v>45887</v>
      </c>
      <c r="F1337" s="25" t="n">
        <v>46111</v>
      </c>
      <c r="G1337" s="26" t="n">
        <v>160</v>
      </c>
      <c r="H1337" s="27" t="n">
        <v>160</v>
      </c>
      <c r="I1337" s="27" t="n">
        <v>0</v>
      </c>
      <c r="J1337" s="35" t="s">
        <v>1408</v>
      </c>
      <c r="K1337" s="36" t="n">
        <v>250000</v>
      </c>
      <c r="L1337" s="36" t="n">
        <v>720000</v>
      </c>
      <c r="M1337" s="29" t="n">
        <v>22500</v>
      </c>
      <c r="N1337" s="30" t="n">
        <v>90000</v>
      </c>
      <c r="O1337" s="30" t="n">
        <v>720000</v>
      </c>
      <c r="P1337" s="36" t="n">
        <v>0</v>
      </c>
      <c r="Q1337" s="302" t="n">
        <v>46125</v>
      </c>
    </row>
    <row r="1338" customFormat="false" ht="46.25" hidden="true" customHeight="false" outlineLevel="0" collapsed="false">
      <c r="A1338" s="26" t="n">
        <v>3437</v>
      </c>
      <c r="B1338" s="22" t="s">
        <v>776</v>
      </c>
      <c r="C1338" s="22" t="s">
        <v>445</v>
      </c>
      <c r="D1338" s="34"/>
      <c r="E1338" s="25" t="n">
        <v>46007</v>
      </c>
      <c r="F1338" s="25" t="n">
        <v>46105</v>
      </c>
      <c r="G1338" s="26" t="n">
        <v>70</v>
      </c>
      <c r="H1338" s="27" t="n">
        <v>70</v>
      </c>
      <c r="I1338" s="27" t="n">
        <v>0</v>
      </c>
      <c r="J1338" s="68" t="s">
        <v>1409</v>
      </c>
      <c r="K1338" s="28" t="n">
        <v>200000</v>
      </c>
      <c r="L1338" s="28" t="n">
        <v>432250</v>
      </c>
      <c r="M1338" s="29" t="n">
        <v>30875</v>
      </c>
      <c r="N1338" s="30"/>
      <c r="O1338" s="30" t="n">
        <v>432250</v>
      </c>
      <c r="P1338" s="36" t="n">
        <v>0</v>
      </c>
      <c r="Q1338" s="302" t="n">
        <v>46125</v>
      </c>
    </row>
    <row r="1339" customFormat="false" ht="14.25" hidden="true" customHeight="false" outlineLevel="0" collapsed="false">
      <c r="A1339" s="26" t="n">
        <v>3680</v>
      </c>
      <c r="B1339" s="21" t="s">
        <v>504</v>
      </c>
      <c r="C1339" s="21"/>
      <c r="D1339" s="34"/>
      <c r="E1339" s="25" t="n">
        <v>46094</v>
      </c>
      <c r="F1339" s="25" t="n">
        <v>46108</v>
      </c>
      <c r="G1339" s="26" t="n">
        <v>10</v>
      </c>
      <c r="H1339" s="27" t="e">
        <f aca="false">#DIV/0!</f>
        <v>#DIV/0!</v>
      </c>
      <c r="I1339" s="27" t="e">
        <f aca="false">#DIV/0!</f>
        <v>#DIV/0!</v>
      </c>
      <c r="J1339" s="35" t="s">
        <v>1394</v>
      </c>
      <c r="K1339" s="31" t="n">
        <v>50000</v>
      </c>
      <c r="L1339" s="31" t="n">
        <v>75000</v>
      </c>
      <c r="M1339" s="29"/>
      <c r="N1339" s="30" t="n">
        <v>75000</v>
      </c>
      <c r="O1339" s="30" t="n">
        <v>75000</v>
      </c>
      <c r="P1339" s="36" t="n">
        <v>0</v>
      </c>
      <c r="Q1339" s="302" t="n">
        <v>46125</v>
      </c>
    </row>
    <row r="1340" customFormat="false" ht="14.25" hidden="true" customHeight="false" outlineLevel="0" collapsed="false">
      <c r="A1340" s="26" t="n">
        <v>3686</v>
      </c>
      <c r="B1340" s="21" t="s">
        <v>504</v>
      </c>
      <c r="C1340" s="21"/>
      <c r="D1340" s="34"/>
      <c r="E1340" s="25" t="n">
        <v>46098</v>
      </c>
      <c r="F1340" s="25" t="n">
        <v>46112</v>
      </c>
      <c r="G1340" s="26" t="n">
        <v>10</v>
      </c>
      <c r="H1340" s="27" t="e">
        <f aca="false">#DIV/0!</f>
        <v>#DIV/0!</v>
      </c>
      <c r="I1340" s="27" t="e">
        <f aca="false">#DIV/0!</f>
        <v>#DIV/0!</v>
      </c>
      <c r="J1340" s="35" t="s">
        <v>1410</v>
      </c>
      <c r="K1340" s="36" t="n">
        <v>20000</v>
      </c>
      <c r="L1340" s="36" t="n">
        <v>30000</v>
      </c>
      <c r="M1340" s="37"/>
      <c r="N1340" s="30" t="n">
        <v>30000</v>
      </c>
      <c r="O1340" s="30" t="n">
        <v>30000</v>
      </c>
      <c r="P1340" s="36" t="n">
        <v>0</v>
      </c>
      <c r="Q1340" s="302" t="n">
        <v>46125</v>
      </c>
    </row>
    <row r="1341" customFormat="false" ht="14.9" hidden="true" customHeight="false" outlineLevel="0" collapsed="false">
      <c r="A1341" s="26" t="n">
        <v>2951</v>
      </c>
      <c r="B1341" s="21" t="s">
        <v>519</v>
      </c>
      <c r="C1341" s="21" t="s">
        <v>520</v>
      </c>
      <c r="D1341" s="34"/>
      <c r="E1341" s="25" t="n">
        <v>45957</v>
      </c>
      <c r="F1341" s="25" t="n">
        <v>46057</v>
      </c>
      <c r="G1341" s="26" t="n">
        <v>72</v>
      </c>
      <c r="H1341" s="27" t="n">
        <v>72</v>
      </c>
      <c r="I1341" s="27" t="n">
        <v>0</v>
      </c>
      <c r="J1341" s="22" t="s">
        <v>266</v>
      </c>
      <c r="K1341" s="58" t="n">
        <v>100000</v>
      </c>
      <c r="L1341" s="36" t="n">
        <v>216000</v>
      </c>
      <c r="M1341" s="29" t="n">
        <v>15000</v>
      </c>
      <c r="N1341" s="30" t="n">
        <v>19000</v>
      </c>
      <c r="O1341" s="30" t="n">
        <v>216000</v>
      </c>
      <c r="P1341" s="36" t="n">
        <v>0</v>
      </c>
      <c r="Q1341" s="302" t="n">
        <v>46125</v>
      </c>
    </row>
    <row r="1342" customFormat="false" ht="37.3" hidden="true" customHeight="false" outlineLevel="0" collapsed="false">
      <c r="A1342" s="26" t="n">
        <v>3581</v>
      </c>
      <c r="B1342" s="22" t="s">
        <v>531</v>
      </c>
      <c r="C1342" s="22" t="s">
        <v>532</v>
      </c>
      <c r="D1342" s="34"/>
      <c r="E1342" s="25" t="n">
        <v>45940</v>
      </c>
      <c r="F1342" s="25" t="n">
        <v>46094</v>
      </c>
      <c r="G1342" s="26" t="n">
        <v>110</v>
      </c>
      <c r="H1342" s="27" t="n">
        <v>110</v>
      </c>
      <c r="I1342" s="27" t="n">
        <v>0</v>
      </c>
      <c r="J1342" s="38" t="s">
        <v>1145</v>
      </c>
      <c r="K1342" s="307" t="n">
        <v>100000</v>
      </c>
      <c r="L1342" s="307" t="n">
        <v>264000</v>
      </c>
      <c r="M1342" s="37" t="n">
        <v>12000</v>
      </c>
      <c r="N1342" s="30" t="n">
        <v>88000</v>
      </c>
      <c r="O1342" s="30" t="n">
        <v>264000</v>
      </c>
      <c r="P1342" s="36" t="n">
        <v>0</v>
      </c>
      <c r="Q1342" s="302" t="n">
        <v>46125</v>
      </c>
    </row>
    <row r="1343" customFormat="false" ht="14.9" hidden="true" customHeight="false" outlineLevel="0" collapsed="false">
      <c r="A1343" s="26" t="n">
        <v>3689</v>
      </c>
      <c r="B1343" s="21" t="s">
        <v>578</v>
      </c>
      <c r="C1343" s="21" t="s">
        <v>579</v>
      </c>
      <c r="D1343" s="34"/>
      <c r="E1343" s="25" t="n">
        <v>46100</v>
      </c>
      <c r="F1343" s="25" t="n">
        <v>46064</v>
      </c>
      <c r="G1343" s="26" t="n">
        <v>18</v>
      </c>
      <c r="H1343" s="27" t="e">
        <f aca="false">#DIV/0!</f>
        <v>#DIV/0!</v>
      </c>
      <c r="I1343" s="27" t="e">
        <f aca="false">#DIV/0!</f>
        <v>#DIV/0!</v>
      </c>
      <c r="J1343" s="22" t="s">
        <v>580</v>
      </c>
      <c r="K1343" s="36" t="n">
        <v>250000</v>
      </c>
      <c r="L1343" s="36" t="n">
        <v>350000</v>
      </c>
      <c r="M1343" s="29"/>
      <c r="N1343" s="30" t="n">
        <v>350000</v>
      </c>
      <c r="O1343" s="30" t="n">
        <v>350000</v>
      </c>
      <c r="P1343" s="36" t="n">
        <v>0</v>
      </c>
      <c r="Q1343" s="302" t="n">
        <v>46125</v>
      </c>
    </row>
    <row r="1344" customFormat="false" ht="21.6" hidden="true" customHeight="false" outlineLevel="0" collapsed="false">
      <c r="A1344" s="26" t="n">
        <v>3120</v>
      </c>
      <c r="B1344" s="21" t="s">
        <v>628</v>
      </c>
      <c r="C1344" s="21" t="s">
        <v>629</v>
      </c>
      <c r="D1344" s="34"/>
      <c r="E1344" s="25" t="n">
        <v>45877</v>
      </c>
      <c r="F1344" s="25" t="n">
        <v>46101</v>
      </c>
      <c r="G1344" s="26" t="n">
        <v>160</v>
      </c>
      <c r="H1344" s="27" t="n">
        <v>160</v>
      </c>
      <c r="I1344" s="27" t="n">
        <v>0</v>
      </c>
      <c r="J1344" s="35" t="s">
        <v>1371</v>
      </c>
      <c r="K1344" s="36" t="n">
        <v>400000</v>
      </c>
      <c r="L1344" s="36" t="n">
        <v>1200000</v>
      </c>
      <c r="M1344" s="37" t="n">
        <v>37500</v>
      </c>
      <c r="N1344" s="30" t="n">
        <v>150000</v>
      </c>
      <c r="O1344" s="30" t="n">
        <v>1200000</v>
      </c>
      <c r="P1344" s="36" t="n">
        <v>0</v>
      </c>
      <c r="Q1344" s="302" t="n">
        <v>46125</v>
      </c>
    </row>
    <row r="1345" customFormat="false" ht="14.9" hidden="true" customHeight="false" outlineLevel="0" collapsed="false">
      <c r="A1345" s="26" t="n">
        <v>3593</v>
      </c>
      <c r="B1345" s="21" t="s">
        <v>638</v>
      </c>
      <c r="C1345" s="21" t="s">
        <v>639</v>
      </c>
      <c r="D1345" s="34"/>
      <c r="E1345" s="25" t="n">
        <v>45705</v>
      </c>
      <c r="F1345" s="25" t="n">
        <v>45873</v>
      </c>
      <c r="G1345" s="26" t="n">
        <v>120</v>
      </c>
      <c r="H1345" s="27" t="n">
        <v>120</v>
      </c>
      <c r="I1345" s="27" t="n">
        <v>0</v>
      </c>
      <c r="J1345" s="35" t="s">
        <v>1411</v>
      </c>
      <c r="K1345" s="31" t="n">
        <v>150000</v>
      </c>
      <c r="L1345" s="31" t="n">
        <v>396000</v>
      </c>
      <c r="M1345" s="37" t="n">
        <v>16500</v>
      </c>
      <c r="N1345" s="30" t="n">
        <v>30500</v>
      </c>
      <c r="O1345" s="30" t="n">
        <v>396000</v>
      </c>
      <c r="P1345" s="36" t="n">
        <v>0</v>
      </c>
      <c r="Q1345" s="302" t="n">
        <v>46125</v>
      </c>
    </row>
    <row r="1346" customFormat="false" ht="14.9" hidden="true" customHeight="false" outlineLevel="0" collapsed="false">
      <c r="A1346" s="20" t="n">
        <v>3147</v>
      </c>
      <c r="B1346" s="21" t="s">
        <v>240</v>
      </c>
      <c r="C1346" s="21" t="s">
        <v>241</v>
      </c>
      <c r="D1346" s="34"/>
      <c r="E1346" s="25" t="n">
        <v>46004</v>
      </c>
      <c r="F1346" s="25" t="n">
        <v>46105</v>
      </c>
      <c r="G1346" s="26" t="n">
        <v>72</v>
      </c>
      <c r="H1346" s="27" t="n">
        <v>72</v>
      </c>
      <c r="I1346" s="27" t="n">
        <v>0</v>
      </c>
      <c r="J1346" s="22" t="s">
        <v>266</v>
      </c>
      <c r="K1346" s="36" t="n">
        <v>100000</v>
      </c>
      <c r="L1346" s="36" t="n">
        <v>216000</v>
      </c>
      <c r="M1346" s="37" t="n">
        <v>15000</v>
      </c>
      <c r="N1346" s="30" t="n">
        <v>3700</v>
      </c>
      <c r="O1346" s="30" t="n">
        <v>216000</v>
      </c>
      <c r="P1346" s="36" t="n">
        <v>0</v>
      </c>
      <c r="Q1346" s="302" t="n">
        <v>46132</v>
      </c>
    </row>
    <row r="1347" customFormat="false" ht="21.6" hidden="true" customHeight="false" outlineLevel="0" collapsed="false">
      <c r="A1347" s="20" t="n">
        <v>3724</v>
      </c>
      <c r="B1347" s="21" t="s">
        <v>249</v>
      </c>
      <c r="C1347" s="21" t="s">
        <v>250</v>
      </c>
      <c r="D1347" s="34" t="n">
        <v>27252034574</v>
      </c>
      <c r="E1347" s="25" t="n">
        <v>46128</v>
      </c>
      <c r="F1347" s="25" t="n">
        <v>46135</v>
      </c>
      <c r="G1347" s="26" t="n">
        <v>5</v>
      </c>
      <c r="H1347" s="27" t="e">
        <f aca="false">#DIV/0!</f>
        <v>#DIV/0!</v>
      </c>
      <c r="I1347" s="27" t="e">
        <f aca="false">#DIV/0!</f>
        <v>#DIV/0!</v>
      </c>
      <c r="J1347" s="35" t="s">
        <v>538</v>
      </c>
      <c r="K1347" s="31" t="n">
        <v>50000</v>
      </c>
      <c r="L1347" s="31" t="n">
        <v>75000</v>
      </c>
      <c r="M1347" s="37"/>
      <c r="N1347" s="30" t="n">
        <v>75000</v>
      </c>
      <c r="O1347" s="30" t="n">
        <v>75000</v>
      </c>
      <c r="P1347" s="36" t="n">
        <v>0</v>
      </c>
      <c r="Q1347" s="302" t="n">
        <v>46132</v>
      </c>
    </row>
    <row r="1348" customFormat="false" ht="42" hidden="true" customHeight="false" outlineLevel="0" collapsed="false">
      <c r="A1348" s="26" t="n">
        <v>3706</v>
      </c>
      <c r="B1348" s="34" t="s">
        <v>396</v>
      </c>
      <c r="C1348" s="34" t="s">
        <v>397</v>
      </c>
      <c r="D1348" s="34"/>
      <c r="E1348" s="25" t="n">
        <v>46112</v>
      </c>
      <c r="F1348" s="25" t="n">
        <v>46140</v>
      </c>
      <c r="G1348" s="26" t="n">
        <v>20</v>
      </c>
      <c r="H1348" s="27" t="e">
        <f aca="false">#DIV/0!</f>
        <v>#DIV/0!</v>
      </c>
      <c r="I1348" s="27" t="e">
        <f aca="false">#DIV/0!</f>
        <v>#DIV/0!</v>
      </c>
      <c r="J1348" s="35" t="s">
        <v>1412</v>
      </c>
      <c r="K1348" s="36" t="n">
        <v>60000</v>
      </c>
      <c r="L1348" s="36" t="n">
        <v>90000</v>
      </c>
      <c r="M1348" s="29"/>
      <c r="N1348" s="30" t="n">
        <v>90000</v>
      </c>
      <c r="O1348" s="30" t="n">
        <v>90000</v>
      </c>
      <c r="P1348" s="36" t="n">
        <v>0</v>
      </c>
      <c r="Q1348" s="302" t="n">
        <v>46132</v>
      </c>
    </row>
    <row r="1349" customFormat="false" ht="28.35" hidden="true" customHeight="false" outlineLevel="0" collapsed="false">
      <c r="A1349" s="26" t="n">
        <v>3478</v>
      </c>
      <c r="B1349" s="21" t="s">
        <v>404</v>
      </c>
      <c r="C1349" s="21" t="s">
        <v>405</v>
      </c>
      <c r="D1349" s="34" t="s">
        <v>406</v>
      </c>
      <c r="E1349" s="25" t="n">
        <v>46021</v>
      </c>
      <c r="F1349" s="25" t="n">
        <v>46121</v>
      </c>
      <c r="G1349" s="26" t="n">
        <v>72</v>
      </c>
      <c r="H1349" s="27" t="n">
        <v>72</v>
      </c>
      <c r="I1349" s="27" t="n">
        <v>0</v>
      </c>
      <c r="J1349" s="22" t="s">
        <v>245</v>
      </c>
      <c r="K1349" s="36" t="n">
        <v>300000</v>
      </c>
      <c r="L1349" s="36" t="n">
        <v>648000</v>
      </c>
      <c r="M1349" s="29" t="n">
        <v>45000</v>
      </c>
      <c r="N1349" s="30" t="n">
        <v>18000</v>
      </c>
      <c r="O1349" s="30" t="n">
        <v>648000</v>
      </c>
      <c r="P1349" s="36" t="n">
        <v>0</v>
      </c>
      <c r="Q1349" s="302" t="n">
        <v>46132</v>
      </c>
    </row>
    <row r="1350" customFormat="false" ht="17.9" hidden="true" customHeight="false" outlineLevel="0" collapsed="false">
      <c r="A1350" s="26" t="n">
        <v>3489</v>
      </c>
      <c r="B1350" s="34" t="s">
        <v>429</v>
      </c>
      <c r="C1350" s="34"/>
      <c r="D1350" s="34"/>
      <c r="E1350" s="25" t="n">
        <v>46018</v>
      </c>
      <c r="F1350" s="25" t="n">
        <v>45337</v>
      </c>
      <c r="G1350" s="26" t="n">
        <v>60</v>
      </c>
      <c r="H1350" s="27" t="n">
        <v>60</v>
      </c>
      <c r="I1350" s="27" t="n">
        <v>0</v>
      </c>
      <c r="J1350" s="68" t="s">
        <v>1413</v>
      </c>
      <c r="K1350" s="36" t="n">
        <v>500000</v>
      </c>
      <c r="L1350" s="36" t="n">
        <v>960000</v>
      </c>
      <c r="M1350" s="29" t="n">
        <v>80000</v>
      </c>
      <c r="N1350" s="30" t="n">
        <v>160000</v>
      </c>
      <c r="O1350" s="30" t="n">
        <v>960000</v>
      </c>
      <c r="P1350" s="36" t="n">
        <v>0</v>
      </c>
      <c r="Q1350" s="302" t="n">
        <v>46132</v>
      </c>
    </row>
    <row r="1351" customFormat="false" ht="21.6" hidden="true" customHeight="false" outlineLevel="0" collapsed="false">
      <c r="A1351" s="26" t="n">
        <v>3438</v>
      </c>
      <c r="B1351" s="21" t="s">
        <v>450</v>
      </c>
      <c r="C1351" s="21" t="s">
        <v>451</v>
      </c>
      <c r="D1351" s="34"/>
      <c r="E1351" s="25" t="n">
        <v>46001</v>
      </c>
      <c r="F1351" s="25" t="n">
        <v>46101</v>
      </c>
      <c r="G1351" s="26" t="n">
        <v>72</v>
      </c>
      <c r="H1351" s="27" t="n">
        <v>72</v>
      </c>
      <c r="I1351" s="27" t="n">
        <v>0</v>
      </c>
      <c r="J1351" s="22" t="s">
        <v>266</v>
      </c>
      <c r="K1351" s="45" t="n">
        <v>20000</v>
      </c>
      <c r="L1351" s="31" t="n">
        <v>43200</v>
      </c>
      <c r="M1351" s="29" t="n">
        <v>3000</v>
      </c>
      <c r="N1351" s="30" t="n">
        <v>7200</v>
      </c>
      <c r="O1351" s="30" t="n">
        <v>43200</v>
      </c>
      <c r="P1351" s="36" t="n">
        <v>0</v>
      </c>
      <c r="Q1351" s="302" t="n">
        <v>46132</v>
      </c>
    </row>
    <row r="1352" customFormat="false" ht="28.35" hidden="true" customHeight="false" outlineLevel="0" collapsed="false">
      <c r="A1352" s="26" t="n">
        <v>3392</v>
      </c>
      <c r="B1352" s="21" t="s">
        <v>879</v>
      </c>
      <c r="C1352" s="21" t="s">
        <v>484</v>
      </c>
      <c r="D1352" s="34"/>
      <c r="E1352" s="25" t="n">
        <v>46025</v>
      </c>
      <c r="F1352" s="25" t="n">
        <v>46126</v>
      </c>
      <c r="G1352" s="26" t="n">
        <v>72</v>
      </c>
      <c r="H1352" s="27" t="n">
        <v>72.25</v>
      </c>
      <c r="I1352" s="27" t="n">
        <v>-0.25</v>
      </c>
      <c r="J1352" s="22" t="s">
        <v>687</v>
      </c>
      <c r="K1352" s="36" t="n">
        <v>100000</v>
      </c>
      <c r="L1352" s="36" t="n">
        <v>216000</v>
      </c>
      <c r="M1352" s="29" t="n">
        <v>15000</v>
      </c>
      <c r="N1352" s="30" t="n">
        <v>29000</v>
      </c>
      <c r="O1352" s="30" t="n">
        <v>216750</v>
      </c>
      <c r="P1352" s="36" t="n">
        <v>-750</v>
      </c>
      <c r="Q1352" s="302" t="n">
        <v>46132</v>
      </c>
    </row>
    <row r="1353" customFormat="false" ht="19.4" hidden="true" customHeight="false" outlineLevel="0" collapsed="false">
      <c r="A1353" s="26" t="n">
        <v>3707</v>
      </c>
      <c r="B1353" s="21" t="s">
        <v>1106</v>
      </c>
      <c r="C1353" s="21" t="s">
        <v>489</v>
      </c>
      <c r="D1353" s="34"/>
      <c r="E1353" s="25" t="n">
        <v>46113</v>
      </c>
      <c r="F1353" s="25" t="n">
        <v>46013</v>
      </c>
      <c r="G1353" s="26" t="n">
        <v>20</v>
      </c>
      <c r="H1353" s="27" t="e">
        <f aca="false">#DIV/0!</f>
        <v>#DIV/0!</v>
      </c>
      <c r="I1353" s="27" t="e">
        <f aca="false">#DIV/0!</f>
        <v>#DIV/0!</v>
      </c>
      <c r="J1353" s="35" t="s">
        <v>490</v>
      </c>
      <c r="K1353" s="36" t="n">
        <v>50000</v>
      </c>
      <c r="L1353" s="36" t="n">
        <v>75000</v>
      </c>
      <c r="M1353" s="37"/>
      <c r="N1353" s="30" t="n">
        <v>75000</v>
      </c>
      <c r="O1353" s="30" t="n">
        <v>75000</v>
      </c>
      <c r="P1353" s="36" t="n">
        <v>0</v>
      </c>
      <c r="Q1353" s="302" t="n">
        <v>46132</v>
      </c>
    </row>
    <row r="1354" customFormat="false" ht="21.6" hidden="true" customHeight="false" outlineLevel="0" collapsed="false">
      <c r="A1354" s="26" t="n">
        <v>3530</v>
      </c>
      <c r="B1354" s="21" t="s">
        <v>565</v>
      </c>
      <c r="C1354" s="21" t="s">
        <v>566</v>
      </c>
      <c r="D1354" s="44"/>
      <c r="E1354" s="25" t="n">
        <v>45912</v>
      </c>
      <c r="F1354" s="25" t="n">
        <v>46080</v>
      </c>
      <c r="G1354" s="26" t="n">
        <v>120</v>
      </c>
      <c r="H1354" s="27" t="n">
        <v>120</v>
      </c>
      <c r="I1354" s="27" t="n">
        <v>0</v>
      </c>
      <c r="J1354" s="38" t="s">
        <v>567</v>
      </c>
      <c r="K1354" s="36" t="n">
        <v>500000</v>
      </c>
      <c r="L1354" s="36" t="n">
        <v>1320000</v>
      </c>
      <c r="M1354" s="37" t="n">
        <v>55000</v>
      </c>
      <c r="N1354" s="30" t="n">
        <v>220000</v>
      </c>
      <c r="O1354" s="30" t="n">
        <v>1320000</v>
      </c>
      <c r="P1354" s="36" t="n">
        <v>0</v>
      </c>
      <c r="Q1354" s="302" t="n">
        <v>46132</v>
      </c>
    </row>
    <row r="1355" customFormat="false" ht="14.9" hidden="true" customHeight="false" outlineLevel="0" collapsed="false">
      <c r="A1355" s="26" t="n">
        <v>2236</v>
      </c>
      <c r="B1355" s="21" t="s">
        <v>578</v>
      </c>
      <c r="C1355" s="21" t="s">
        <v>579</v>
      </c>
      <c r="D1355" s="34"/>
      <c r="E1355" s="25" t="n">
        <v>46004</v>
      </c>
      <c r="F1355" s="25" t="n">
        <v>46105</v>
      </c>
      <c r="G1355" s="26" t="n">
        <v>72</v>
      </c>
      <c r="H1355" s="27" t="n">
        <v>72</v>
      </c>
      <c r="I1355" s="27" t="n">
        <v>0</v>
      </c>
      <c r="J1355" s="22" t="s">
        <v>245</v>
      </c>
      <c r="K1355" s="36" t="n">
        <v>300000</v>
      </c>
      <c r="L1355" s="36" t="n">
        <v>648000</v>
      </c>
      <c r="M1355" s="29" t="n">
        <v>45000</v>
      </c>
      <c r="N1355" s="30" t="n">
        <v>18000</v>
      </c>
      <c r="O1355" s="30" t="n">
        <v>648000</v>
      </c>
      <c r="P1355" s="36" t="n">
        <v>0</v>
      </c>
      <c r="Q1355" s="302" t="n">
        <v>46132</v>
      </c>
    </row>
    <row r="1356" customFormat="false" ht="26.1" hidden="true" customHeight="false" outlineLevel="0" collapsed="false">
      <c r="A1356" s="26" t="n">
        <v>3591</v>
      </c>
      <c r="B1356" s="34" t="s">
        <v>636</v>
      </c>
      <c r="C1356" s="34" t="s">
        <v>637</v>
      </c>
      <c r="D1356" s="34"/>
      <c r="E1356" s="25" t="n">
        <v>45969</v>
      </c>
      <c r="F1356" s="25" t="n">
        <v>46122</v>
      </c>
      <c r="G1356" s="26" t="n">
        <v>110</v>
      </c>
      <c r="H1356" s="27" t="n">
        <v>110</v>
      </c>
      <c r="I1356" s="27" t="n">
        <v>0</v>
      </c>
      <c r="J1356" s="22" t="s">
        <v>362</v>
      </c>
      <c r="K1356" s="36" t="n">
        <v>100000</v>
      </c>
      <c r="L1356" s="36" t="n">
        <v>264000</v>
      </c>
      <c r="M1356" s="29" t="n">
        <v>12000</v>
      </c>
      <c r="N1356" s="30" t="n">
        <v>2400</v>
      </c>
      <c r="O1356" s="30" t="n">
        <v>264000</v>
      </c>
      <c r="P1356" s="36" t="n">
        <v>0</v>
      </c>
      <c r="Q1356" s="302" t="n">
        <v>46132</v>
      </c>
    </row>
    <row r="1357" customFormat="false" ht="21.6" hidden="true" customHeight="false" outlineLevel="0" collapsed="false">
      <c r="A1357" s="20" t="n">
        <v>3734</v>
      </c>
      <c r="B1357" s="21" t="s">
        <v>249</v>
      </c>
      <c r="C1357" s="21" t="s">
        <v>250</v>
      </c>
      <c r="D1357" s="34" t="n">
        <v>27252034574</v>
      </c>
      <c r="E1357" s="25" t="n">
        <v>46135</v>
      </c>
      <c r="F1357" s="25" t="n">
        <v>46142</v>
      </c>
      <c r="G1357" s="26" t="n">
        <v>5</v>
      </c>
      <c r="H1357" s="27" t="e">
        <f aca="false">#DIV/0!</f>
        <v>#DIV/0!</v>
      </c>
      <c r="I1357" s="27" t="e">
        <f aca="false">#DIV/0!</f>
        <v>#DIV/0!</v>
      </c>
      <c r="J1357" s="35" t="s">
        <v>538</v>
      </c>
      <c r="K1357" s="36" t="n">
        <v>30000</v>
      </c>
      <c r="L1357" s="36" t="n">
        <v>45000</v>
      </c>
      <c r="M1357" s="37"/>
      <c r="N1357" s="30" t="n">
        <v>45000</v>
      </c>
      <c r="O1357" s="30" t="n">
        <v>45000</v>
      </c>
      <c r="P1357" s="36" t="n">
        <v>0</v>
      </c>
      <c r="Q1357" s="302" t="n">
        <v>46139</v>
      </c>
    </row>
    <row r="1358" customFormat="false" ht="14.9" hidden="true" customHeight="false" outlineLevel="0" collapsed="false">
      <c r="A1358" s="26" t="n">
        <v>3517</v>
      </c>
      <c r="B1358" s="21" t="s">
        <v>264</v>
      </c>
      <c r="C1358" s="21" t="s">
        <v>265</v>
      </c>
      <c r="D1358" s="34"/>
      <c r="E1358" s="25" t="n">
        <v>46024</v>
      </c>
      <c r="F1358" s="25" t="n">
        <v>46126</v>
      </c>
      <c r="G1358" s="26" t="n">
        <v>72</v>
      </c>
      <c r="H1358" s="27" t="n">
        <v>72</v>
      </c>
      <c r="I1358" s="27" t="n">
        <v>0</v>
      </c>
      <c r="J1358" s="22" t="s">
        <v>245</v>
      </c>
      <c r="K1358" s="46" t="n">
        <v>300000</v>
      </c>
      <c r="L1358" s="36" t="n">
        <v>648000</v>
      </c>
      <c r="M1358" s="37" t="n">
        <v>45000</v>
      </c>
      <c r="N1358" s="30" t="n">
        <v>18000</v>
      </c>
      <c r="O1358" s="30" t="n">
        <v>648000</v>
      </c>
      <c r="P1358" s="36" t="n">
        <v>0</v>
      </c>
      <c r="Q1358" s="302" t="n">
        <v>46139</v>
      </c>
    </row>
    <row r="1359" customFormat="false" ht="21.6" hidden="true" customHeight="false" outlineLevel="0" collapsed="false">
      <c r="A1359" s="26" t="n">
        <v>3362</v>
      </c>
      <c r="B1359" s="21" t="s">
        <v>345</v>
      </c>
      <c r="C1359" s="21" t="s">
        <v>346</v>
      </c>
      <c r="D1359" s="34" t="n">
        <v>27212523</v>
      </c>
      <c r="E1359" s="25" t="n">
        <v>45785</v>
      </c>
      <c r="F1359" s="25" t="n">
        <v>45939</v>
      </c>
      <c r="G1359" s="26" t="n">
        <v>110</v>
      </c>
      <c r="H1359" s="27" t="n">
        <v>119.625</v>
      </c>
      <c r="I1359" s="27" t="n">
        <v>-9.625</v>
      </c>
      <c r="J1359" s="49" t="s">
        <v>1340</v>
      </c>
      <c r="K1359" s="31" t="n">
        <v>100000</v>
      </c>
      <c r="L1359" s="31" t="n">
        <v>264000</v>
      </c>
      <c r="M1359" s="37" t="n">
        <v>12000</v>
      </c>
      <c r="N1359" s="30" t="n">
        <v>48000</v>
      </c>
      <c r="O1359" s="30" t="n">
        <v>287100</v>
      </c>
      <c r="P1359" s="36" t="n">
        <v>-23100</v>
      </c>
      <c r="Q1359" s="302" t="n">
        <v>46139</v>
      </c>
    </row>
    <row r="1360" customFormat="false" ht="28.35" hidden="true" customHeight="false" outlineLevel="0" collapsed="false">
      <c r="A1360" s="26" t="n">
        <v>3531</v>
      </c>
      <c r="B1360" s="21" t="s">
        <v>574</v>
      </c>
      <c r="C1360" s="21" t="s">
        <v>575</v>
      </c>
      <c r="D1360" s="34"/>
      <c r="E1360" s="25" t="n">
        <v>46015</v>
      </c>
      <c r="F1360" s="25" t="n">
        <v>46115</v>
      </c>
      <c r="G1360" s="26" t="n">
        <v>72</v>
      </c>
      <c r="H1360" s="27" t="n">
        <v>72</v>
      </c>
      <c r="I1360" s="27" t="n">
        <v>0</v>
      </c>
      <c r="J1360" s="22" t="s">
        <v>687</v>
      </c>
      <c r="K1360" s="36" t="n">
        <v>100000</v>
      </c>
      <c r="L1360" s="36" t="n">
        <v>216000</v>
      </c>
      <c r="M1360" s="29" t="n">
        <v>15000</v>
      </c>
      <c r="N1360" s="30" t="n">
        <v>36000</v>
      </c>
      <c r="O1360" s="30" t="n">
        <v>216000</v>
      </c>
      <c r="P1360" s="36" t="n">
        <v>0</v>
      </c>
      <c r="Q1360" s="302" t="n">
        <v>46139</v>
      </c>
    </row>
    <row r="1361" customFormat="false" ht="28.35" hidden="true" customHeight="false" outlineLevel="0" collapsed="false">
      <c r="A1361" s="26" t="n">
        <v>3602</v>
      </c>
      <c r="B1361" s="21" t="s">
        <v>574</v>
      </c>
      <c r="C1361" s="21" t="s">
        <v>575</v>
      </c>
      <c r="D1361" s="34"/>
      <c r="E1361" s="25" t="n">
        <v>46035</v>
      </c>
      <c r="F1361" s="25" t="n">
        <v>46135</v>
      </c>
      <c r="G1361" s="26" t="n">
        <v>72</v>
      </c>
      <c r="H1361" s="27" t="n">
        <v>72</v>
      </c>
      <c r="I1361" s="27" t="n">
        <v>0</v>
      </c>
      <c r="J1361" s="22" t="s">
        <v>554</v>
      </c>
      <c r="K1361" s="36" t="n">
        <v>50000</v>
      </c>
      <c r="L1361" s="36" t="n">
        <v>108000</v>
      </c>
      <c r="M1361" s="29" t="n">
        <v>7500</v>
      </c>
      <c r="N1361" s="30" t="n">
        <v>25500</v>
      </c>
      <c r="O1361" s="30" t="n">
        <v>108000</v>
      </c>
      <c r="P1361" s="36" t="n">
        <v>0</v>
      </c>
      <c r="Q1361" s="302" t="n">
        <v>46139</v>
      </c>
    </row>
    <row r="1362" customFormat="false" ht="21.6" hidden="true" customHeight="false" outlineLevel="0" collapsed="false">
      <c r="A1362" s="26" t="n">
        <v>2306</v>
      </c>
      <c r="B1362" s="21" t="s">
        <v>576</v>
      </c>
      <c r="C1362" s="21" t="s">
        <v>577</v>
      </c>
      <c r="D1362" s="34"/>
      <c r="E1362" s="25" t="n">
        <v>46014</v>
      </c>
      <c r="F1362" s="25" t="n">
        <v>46098</v>
      </c>
      <c r="G1362" s="26" t="n">
        <v>60</v>
      </c>
      <c r="H1362" s="27" t="n">
        <v>60</v>
      </c>
      <c r="I1362" s="27" t="n">
        <v>0</v>
      </c>
      <c r="J1362" s="49" t="s">
        <v>1414</v>
      </c>
      <c r="K1362" s="36" t="n">
        <v>300000</v>
      </c>
      <c r="L1362" s="36" t="n">
        <v>576000</v>
      </c>
      <c r="M1362" s="37" t="n">
        <v>48000</v>
      </c>
      <c r="N1362" s="30" t="n">
        <v>64000</v>
      </c>
      <c r="O1362" s="30" t="n">
        <v>576000</v>
      </c>
      <c r="P1362" s="36" t="n">
        <v>0</v>
      </c>
      <c r="Q1362" s="302" t="n">
        <v>46139</v>
      </c>
    </row>
    <row r="1363" customFormat="false" ht="28.35" hidden="true" customHeight="false" outlineLevel="0" collapsed="false">
      <c r="A1363" s="26" t="n">
        <v>3601</v>
      </c>
      <c r="B1363" s="21" t="s">
        <v>793</v>
      </c>
      <c r="C1363" s="34" t="s">
        <v>623</v>
      </c>
      <c r="D1363" s="34"/>
      <c r="E1363" s="25" t="n">
        <v>46034</v>
      </c>
      <c r="F1363" s="25" t="n">
        <v>46134</v>
      </c>
      <c r="G1363" s="26" t="n">
        <v>72</v>
      </c>
      <c r="H1363" s="27" t="n">
        <v>98.8888888888889</v>
      </c>
      <c r="I1363" s="27" t="n">
        <v>-26.8888888888889</v>
      </c>
      <c r="J1363" s="34" t="s">
        <v>788</v>
      </c>
      <c r="K1363" s="36" t="n">
        <v>15000</v>
      </c>
      <c r="L1363" s="36" t="n">
        <v>32400</v>
      </c>
      <c r="M1363" s="29" t="n">
        <v>2250</v>
      </c>
      <c r="N1363" s="30" t="n">
        <v>30000</v>
      </c>
      <c r="O1363" s="30" t="n">
        <v>44500</v>
      </c>
      <c r="P1363" s="36" t="n">
        <v>-12100</v>
      </c>
      <c r="Q1363" s="302" t="n">
        <v>46139</v>
      </c>
    </row>
    <row r="1364" customFormat="false" ht="21.6" hidden="true" customHeight="false" outlineLevel="0" collapsed="false">
      <c r="A1364" s="20" t="n">
        <v>3575</v>
      </c>
      <c r="B1364" s="21" t="s">
        <v>230</v>
      </c>
      <c r="C1364" s="21" t="s">
        <v>231</v>
      </c>
      <c r="D1364" s="34"/>
      <c r="E1364" s="25" t="n">
        <v>46018</v>
      </c>
      <c r="F1364" s="25" t="n">
        <v>46129</v>
      </c>
      <c r="G1364" s="26" t="n">
        <v>80</v>
      </c>
      <c r="H1364" s="27" t="n">
        <v>80</v>
      </c>
      <c r="I1364" s="27" t="n">
        <v>0</v>
      </c>
      <c r="J1364" s="35" t="s">
        <v>1415</v>
      </c>
      <c r="K1364" s="36" t="n">
        <v>30000</v>
      </c>
      <c r="L1364" s="36" t="n">
        <v>64800</v>
      </c>
      <c r="M1364" s="37" t="n">
        <v>4050</v>
      </c>
      <c r="N1364" s="30" t="n">
        <v>16200</v>
      </c>
      <c r="O1364" s="30" t="n">
        <v>64800</v>
      </c>
      <c r="P1364" s="31" t="n">
        <v>0</v>
      </c>
      <c r="Q1364" s="302" t="n">
        <v>46146</v>
      </c>
    </row>
    <row r="1365" customFormat="false" ht="21.6" hidden="true" customHeight="false" outlineLevel="0" collapsed="false">
      <c r="A1365" s="20" t="n">
        <v>3586</v>
      </c>
      <c r="B1365" s="21" t="s">
        <v>230</v>
      </c>
      <c r="C1365" s="21" t="s">
        <v>231</v>
      </c>
      <c r="D1365" s="34"/>
      <c r="E1365" s="25" t="n">
        <v>46022</v>
      </c>
      <c r="F1365" s="25" t="n">
        <v>46134</v>
      </c>
      <c r="G1365" s="26" t="n">
        <v>80</v>
      </c>
      <c r="H1365" s="27" t="n">
        <v>80</v>
      </c>
      <c r="I1365" s="27" t="n">
        <v>0</v>
      </c>
      <c r="J1365" s="35" t="s">
        <v>1415</v>
      </c>
      <c r="K1365" s="36" t="n">
        <v>30000</v>
      </c>
      <c r="L1365" s="36" t="n">
        <v>64800</v>
      </c>
      <c r="M1365" s="37" t="n">
        <v>4050</v>
      </c>
      <c r="N1365" s="30" t="n">
        <v>16200</v>
      </c>
      <c r="O1365" s="30" t="n">
        <v>64800</v>
      </c>
      <c r="P1365" s="31" t="n">
        <v>0</v>
      </c>
      <c r="Q1365" s="302" t="n">
        <v>46146</v>
      </c>
    </row>
    <row r="1366" customFormat="false" ht="21.6" hidden="true" customHeight="false" outlineLevel="0" collapsed="false">
      <c r="A1366" s="20" t="n">
        <v>3703</v>
      </c>
      <c r="B1366" s="21" t="s">
        <v>230</v>
      </c>
      <c r="C1366" s="21" t="s">
        <v>231</v>
      </c>
      <c r="D1366" s="34"/>
      <c r="E1366" s="25" t="n">
        <v>46108</v>
      </c>
      <c r="F1366" s="25" t="n">
        <v>46136</v>
      </c>
      <c r="G1366" s="26" t="n">
        <v>20</v>
      </c>
      <c r="H1366" s="27" t="e">
        <f aca="false">#DIV/0!</f>
        <v>#DIV/0!</v>
      </c>
      <c r="I1366" s="27" t="e">
        <f aca="false">#DIV/0!</f>
        <v>#DIV/0!</v>
      </c>
      <c r="J1366" s="35" t="s">
        <v>234</v>
      </c>
      <c r="K1366" s="36" t="n">
        <v>30000</v>
      </c>
      <c r="L1366" s="36" t="n">
        <v>45000</v>
      </c>
      <c r="M1366" s="29"/>
      <c r="N1366" s="30" t="n">
        <v>45000</v>
      </c>
      <c r="O1366" s="30" t="n">
        <v>45000</v>
      </c>
      <c r="P1366" s="31" t="n">
        <v>0</v>
      </c>
      <c r="Q1366" s="302" t="n">
        <v>46146</v>
      </c>
    </row>
    <row r="1367" customFormat="false" ht="21.6" hidden="true" customHeight="false" outlineLevel="0" collapsed="false">
      <c r="A1367" s="20" t="n">
        <v>3705</v>
      </c>
      <c r="B1367" s="21" t="s">
        <v>230</v>
      </c>
      <c r="C1367" s="21" t="s">
        <v>231</v>
      </c>
      <c r="D1367" s="34"/>
      <c r="E1367" s="25" t="n">
        <v>46111</v>
      </c>
      <c r="F1367" s="25" t="n">
        <v>46139</v>
      </c>
      <c r="G1367" s="26" t="n">
        <v>20</v>
      </c>
      <c r="H1367" s="27" t="e">
        <f aca="false">#DIV/0!</f>
        <v>#DIV/0!</v>
      </c>
      <c r="I1367" s="27" t="e">
        <f aca="false">#DIV/0!</f>
        <v>#DIV/0!</v>
      </c>
      <c r="J1367" s="35" t="s">
        <v>1416</v>
      </c>
      <c r="K1367" s="394" t="n">
        <v>100000</v>
      </c>
      <c r="L1367" s="36" t="n">
        <v>150000</v>
      </c>
      <c r="M1367" s="37"/>
      <c r="N1367" s="30" t="n">
        <v>150000</v>
      </c>
      <c r="O1367" s="30" t="n">
        <v>150000</v>
      </c>
      <c r="P1367" s="31" t="n">
        <v>0</v>
      </c>
      <c r="Q1367" s="302" t="n">
        <v>46146</v>
      </c>
    </row>
    <row r="1368" customFormat="false" ht="21.6" hidden="true" customHeight="false" outlineLevel="0" collapsed="false">
      <c r="A1368" s="20" t="n">
        <v>3710</v>
      </c>
      <c r="B1368" s="21" t="s">
        <v>230</v>
      </c>
      <c r="C1368" s="21" t="s">
        <v>231</v>
      </c>
      <c r="D1368" s="34"/>
      <c r="E1368" s="25" t="n">
        <v>46114</v>
      </c>
      <c r="F1368" s="25" t="n">
        <v>46142</v>
      </c>
      <c r="G1368" s="26" t="n">
        <v>20</v>
      </c>
      <c r="H1368" s="27" t="e">
        <f aca="false">#DIV/0!</f>
        <v>#DIV/0!</v>
      </c>
      <c r="I1368" s="27" t="e">
        <f aca="false">#DIV/0!</f>
        <v>#DIV/0!</v>
      </c>
      <c r="J1368" s="35" t="s">
        <v>234</v>
      </c>
      <c r="K1368" s="394" t="n">
        <v>30000</v>
      </c>
      <c r="L1368" s="36" t="n">
        <v>45000</v>
      </c>
      <c r="M1368" s="37"/>
      <c r="N1368" s="30" t="n">
        <v>45000</v>
      </c>
      <c r="O1368" s="30" t="n">
        <v>45000</v>
      </c>
      <c r="P1368" s="31" t="n">
        <v>0</v>
      </c>
      <c r="Q1368" s="302" t="n">
        <v>46146</v>
      </c>
    </row>
    <row r="1369" customFormat="false" ht="21.6" hidden="true" customHeight="false" outlineLevel="0" collapsed="false">
      <c r="A1369" s="20" t="n">
        <v>3728</v>
      </c>
      <c r="B1369" s="21" t="s">
        <v>230</v>
      </c>
      <c r="C1369" s="21" t="s">
        <v>231</v>
      </c>
      <c r="D1369" s="34"/>
      <c r="E1369" s="25" t="n">
        <v>46129</v>
      </c>
      <c r="F1369" s="25" t="n">
        <v>46157</v>
      </c>
      <c r="G1369" s="26" t="n">
        <v>20</v>
      </c>
      <c r="H1369" s="27" t="e">
        <f aca="false">#DIV/0!</f>
        <v>#DIV/0!</v>
      </c>
      <c r="I1369" s="27" t="e">
        <f aca="false">#DIV/0!</f>
        <v>#DIV/0!</v>
      </c>
      <c r="J1369" s="35" t="s">
        <v>1417</v>
      </c>
      <c r="K1369" s="394" t="n">
        <v>20000</v>
      </c>
      <c r="L1369" s="36" t="n">
        <v>30000</v>
      </c>
      <c r="M1369" s="29"/>
      <c r="N1369" s="30" t="n">
        <v>30000</v>
      </c>
      <c r="O1369" s="30" t="n">
        <v>30000</v>
      </c>
      <c r="P1369" s="31" t="n">
        <v>0</v>
      </c>
      <c r="Q1369" s="302" t="n">
        <v>46146</v>
      </c>
    </row>
    <row r="1370" customFormat="false" ht="21.6" hidden="true" customHeight="false" outlineLevel="0" collapsed="false">
      <c r="A1370" s="20" t="n">
        <v>3750</v>
      </c>
      <c r="B1370" s="21" t="s">
        <v>249</v>
      </c>
      <c r="C1370" s="21" t="s">
        <v>250</v>
      </c>
      <c r="D1370" s="34" t="n">
        <v>27252034574</v>
      </c>
      <c r="E1370" s="25" t="n">
        <v>46142</v>
      </c>
      <c r="F1370" s="25" t="n">
        <v>46149</v>
      </c>
      <c r="G1370" s="26" t="n">
        <v>5</v>
      </c>
      <c r="H1370" s="27" t="e">
        <f aca="false">#DIV/0!</f>
        <v>#DIV/0!</v>
      </c>
      <c r="I1370" s="27" t="e">
        <f aca="false">#DIV/0!</f>
        <v>#DIV/0!</v>
      </c>
      <c r="J1370" s="35" t="s">
        <v>538</v>
      </c>
      <c r="K1370" s="36" t="n">
        <v>150000</v>
      </c>
      <c r="L1370" s="36" t="n">
        <v>195000</v>
      </c>
      <c r="M1370" s="37"/>
      <c r="N1370" s="30" t="n">
        <v>195000</v>
      </c>
      <c r="O1370" s="30" t="n">
        <v>195000</v>
      </c>
      <c r="P1370" s="36" t="n">
        <v>0</v>
      </c>
      <c r="Q1370" s="302" t="n">
        <v>46146</v>
      </c>
    </row>
    <row r="1371" customFormat="false" ht="41.75" hidden="true" customHeight="false" outlineLevel="0" collapsed="false">
      <c r="A1371" s="26" t="n">
        <v>3462</v>
      </c>
      <c r="B1371" s="21" t="s">
        <v>272</v>
      </c>
      <c r="C1371" s="21" t="s">
        <v>273</v>
      </c>
      <c r="D1371" s="34"/>
      <c r="E1371" s="25" t="n">
        <v>45909</v>
      </c>
      <c r="F1371" s="25" t="n">
        <v>46077</v>
      </c>
      <c r="G1371" s="26" t="n">
        <v>120</v>
      </c>
      <c r="H1371" s="27" t="n">
        <v>120</v>
      </c>
      <c r="I1371" s="27" t="n">
        <v>0</v>
      </c>
      <c r="J1371" s="48" t="s">
        <v>1418</v>
      </c>
      <c r="K1371" s="29" t="n">
        <v>300000</v>
      </c>
      <c r="L1371" s="36" t="n">
        <v>792000</v>
      </c>
      <c r="M1371" s="37" t="n">
        <v>33000</v>
      </c>
      <c r="N1371" s="30" t="n">
        <v>134000</v>
      </c>
      <c r="O1371" s="30" t="n">
        <v>792000</v>
      </c>
      <c r="P1371" s="36" t="n">
        <v>0</v>
      </c>
      <c r="Q1371" s="302" t="n">
        <v>46146</v>
      </c>
    </row>
    <row r="1372" customFormat="false" ht="14.9" hidden="true" customHeight="false" outlineLevel="0" collapsed="false">
      <c r="A1372" s="26" t="n">
        <v>3331</v>
      </c>
      <c r="B1372" s="21" t="s">
        <v>374</v>
      </c>
      <c r="C1372" s="21" t="s">
        <v>375</v>
      </c>
      <c r="D1372" s="34"/>
      <c r="E1372" s="25" t="n">
        <v>46011</v>
      </c>
      <c r="F1372" s="25" t="n">
        <v>46122</v>
      </c>
      <c r="G1372" s="26" t="n">
        <v>80</v>
      </c>
      <c r="H1372" s="27" t="n">
        <v>80</v>
      </c>
      <c r="I1372" s="27" t="n">
        <v>0</v>
      </c>
      <c r="J1372" s="35" t="s">
        <v>1419</v>
      </c>
      <c r="K1372" s="36" t="n">
        <v>250000</v>
      </c>
      <c r="L1372" s="36" t="n">
        <v>540000</v>
      </c>
      <c r="M1372" s="29" t="n">
        <v>33750</v>
      </c>
      <c r="N1372" s="30" t="n">
        <v>135000</v>
      </c>
      <c r="O1372" s="30" t="n">
        <v>540000</v>
      </c>
      <c r="P1372" s="36" t="n">
        <v>0</v>
      </c>
      <c r="Q1372" s="302" t="n">
        <v>46146</v>
      </c>
    </row>
    <row r="1373" customFormat="false" ht="19.4" hidden="true" customHeight="false" outlineLevel="0" collapsed="false">
      <c r="A1373" s="26" t="n">
        <v>3746</v>
      </c>
      <c r="B1373" s="21" t="s">
        <v>374</v>
      </c>
      <c r="C1373" s="21"/>
      <c r="D1373" s="34"/>
      <c r="E1373" s="25" t="n">
        <v>46139</v>
      </c>
      <c r="F1373" s="25" t="n">
        <v>46146</v>
      </c>
      <c r="G1373" s="26" t="n">
        <v>5</v>
      </c>
      <c r="H1373" s="27" t="e">
        <f aca="false">#VALUE!</f>
        <v>#VALUE!</v>
      </c>
      <c r="I1373" s="27" t="e">
        <f aca="false">#VALUE!</f>
        <v>#VALUE!</v>
      </c>
      <c r="J1373" s="35" t="s">
        <v>1420</v>
      </c>
      <c r="K1373" s="36" t="n">
        <v>400000</v>
      </c>
      <c r="L1373" s="36" t="n">
        <v>520000</v>
      </c>
      <c r="M1373" s="37" t="s">
        <v>214</v>
      </c>
      <c r="N1373" s="30" t="n">
        <v>520000</v>
      </c>
      <c r="O1373" s="30" t="n">
        <v>520000</v>
      </c>
      <c r="P1373" s="36" t="n">
        <v>0</v>
      </c>
      <c r="Q1373" s="302" t="n">
        <v>46146</v>
      </c>
    </row>
    <row r="1374" customFormat="false" ht="17.9" hidden="true" customHeight="false" outlineLevel="0" collapsed="false">
      <c r="A1374" s="26" t="n">
        <v>3738</v>
      </c>
      <c r="B1374" s="34" t="s">
        <v>429</v>
      </c>
      <c r="C1374" s="34"/>
      <c r="D1374" s="34"/>
      <c r="E1374" s="25" t="n">
        <v>46136</v>
      </c>
      <c r="F1374" s="25" t="n">
        <v>45337</v>
      </c>
      <c r="G1374" s="26" t="n">
        <v>5</v>
      </c>
      <c r="H1374" s="27" t="e">
        <f aca="false">#VALUE!</f>
        <v>#VALUE!</v>
      </c>
      <c r="I1374" s="27" t="e">
        <f aca="false">#VALUE!</f>
        <v>#VALUE!</v>
      </c>
      <c r="J1374" s="38" t="s">
        <v>1421</v>
      </c>
      <c r="K1374" s="36" t="n">
        <v>200000</v>
      </c>
      <c r="L1374" s="36" t="n">
        <v>260000</v>
      </c>
      <c r="M1374" s="29" t="s">
        <v>214</v>
      </c>
      <c r="N1374" s="30" t="n">
        <v>260000</v>
      </c>
      <c r="O1374" s="30" t="n">
        <v>260000</v>
      </c>
      <c r="P1374" s="36" t="n">
        <v>0</v>
      </c>
      <c r="Q1374" s="302" t="n">
        <v>46146</v>
      </c>
    </row>
    <row r="1375" customFormat="false" ht="17.9" hidden="true" customHeight="false" outlineLevel="0" collapsed="false">
      <c r="A1375" s="26" t="n">
        <v>3742</v>
      </c>
      <c r="B1375" s="34" t="s">
        <v>429</v>
      </c>
      <c r="C1375" s="34"/>
      <c r="D1375" s="34"/>
      <c r="E1375" s="25" t="n">
        <v>46137</v>
      </c>
      <c r="F1375" s="25" t="n">
        <v>45337</v>
      </c>
      <c r="G1375" s="26" t="n">
        <v>5</v>
      </c>
      <c r="H1375" s="27" t="e">
        <f aca="false">#DIV/0!</f>
        <v>#DIV/0!</v>
      </c>
      <c r="I1375" s="27" t="e">
        <f aca="false">#DIV/0!</f>
        <v>#DIV/0!</v>
      </c>
      <c r="J1375" s="38" t="s">
        <v>1422</v>
      </c>
      <c r="K1375" s="31" t="n">
        <v>100000</v>
      </c>
      <c r="L1375" s="31" t="n">
        <v>130000</v>
      </c>
      <c r="M1375" s="29"/>
      <c r="N1375" s="30" t="n">
        <v>130000</v>
      </c>
      <c r="O1375" s="30" t="n">
        <v>130000</v>
      </c>
      <c r="P1375" s="36" t="n">
        <v>0</v>
      </c>
      <c r="Q1375" s="302" t="n">
        <v>46146</v>
      </c>
    </row>
    <row r="1376" customFormat="false" ht="21.6" hidden="true" customHeight="false" outlineLevel="0" collapsed="false">
      <c r="A1376" s="26" t="n">
        <v>3302</v>
      </c>
      <c r="B1376" s="21" t="s">
        <v>1423</v>
      </c>
      <c r="C1376" s="21" t="s">
        <v>1424</v>
      </c>
      <c r="D1376" s="34"/>
      <c r="E1376" s="25" t="n">
        <v>45909</v>
      </c>
      <c r="F1376" s="25" t="n">
        <v>46133</v>
      </c>
      <c r="G1376" s="26" t="n">
        <v>160</v>
      </c>
      <c r="H1376" s="27" t="n">
        <v>160</v>
      </c>
      <c r="I1376" s="27" t="n">
        <v>0</v>
      </c>
      <c r="J1376" s="35" t="s">
        <v>1425</v>
      </c>
      <c r="K1376" s="31" t="n">
        <v>1000000</v>
      </c>
      <c r="L1376" s="31" t="n">
        <v>2880000</v>
      </c>
      <c r="M1376" s="37" t="n">
        <v>90000</v>
      </c>
      <c r="N1376" s="30" t="n">
        <v>360000</v>
      </c>
      <c r="O1376" s="30" t="n">
        <v>2880000</v>
      </c>
      <c r="P1376" s="36" t="n">
        <v>0</v>
      </c>
      <c r="Q1376" s="302" t="n">
        <v>46146</v>
      </c>
    </row>
    <row r="1377" customFormat="false" ht="35.05" hidden="true" customHeight="false" outlineLevel="0" collapsed="false">
      <c r="A1377" s="26" t="n">
        <v>3451</v>
      </c>
      <c r="B1377" s="21" t="s">
        <v>584</v>
      </c>
      <c r="C1377" s="21" t="s">
        <v>585</v>
      </c>
      <c r="D1377" s="34"/>
      <c r="E1377" s="25" t="n">
        <v>45681</v>
      </c>
      <c r="F1377" s="25" t="n">
        <v>46017</v>
      </c>
      <c r="G1377" s="26" t="n">
        <v>240</v>
      </c>
      <c r="H1377" s="27" t="n">
        <v>240</v>
      </c>
      <c r="I1377" s="27" t="n">
        <v>0</v>
      </c>
      <c r="J1377" s="35" t="s">
        <v>1426</v>
      </c>
      <c r="K1377" s="36" t="n">
        <v>1000000</v>
      </c>
      <c r="L1377" s="36" t="n">
        <v>3000000</v>
      </c>
      <c r="M1377" s="37" t="n">
        <v>62500</v>
      </c>
      <c r="N1377" s="30" t="n">
        <v>230000</v>
      </c>
      <c r="O1377" s="30" t="n">
        <v>3000000</v>
      </c>
      <c r="P1377" s="36" t="n">
        <v>0</v>
      </c>
      <c r="Q1377" s="302" t="n">
        <v>46146</v>
      </c>
    </row>
    <row r="1378" customFormat="false" ht="21.6" hidden="true" customHeight="false" outlineLevel="0" collapsed="false">
      <c r="A1378" s="26" t="n">
        <v>3565</v>
      </c>
      <c r="B1378" s="21" t="s">
        <v>744</v>
      </c>
      <c r="C1378" s="21" t="s">
        <v>745</v>
      </c>
      <c r="D1378" s="34"/>
      <c r="E1378" s="25" t="n">
        <v>45919</v>
      </c>
      <c r="F1378" s="25" t="n">
        <v>46073</v>
      </c>
      <c r="G1378" s="26" t="n">
        <v>110</v>
      </c>
      <c r="H1378" s="27" t="n">
        <v>110.833333333333</v>
      </c>
      <c r="I1378" s="27" t="n">
        <v>-0.833333333333329</v>
      </c>
      <c r="J1378" s="22" t="s">
        <v>1427</v>
      </c>
      <c r="K1378" s="31" t="n">
        <v>120000</v>
      </c>
      <c r="L1378" s="31" t="n">
        <v>316800</v>
      </c>
      <c r="M1378" s="37" t="n">
        <v>14400</v>
      </c>
      <c r="N1378" s="30" t="n">
        <v>7500</v>
      </c>
      <c r="O1378" s="30" t="n">
        <v>319200</v>
      </c>
      <c r="P1378" s="36" t="n">
        <v>-2400</v>
      </c>
      <c r="Q1378" s="302" t="n">
        <v>46153</v>
      </c>
    </row>
    <row r="1379" customFormat="false" ht="21.6" hidden="true" customHeight="false" outlineLevel="0" collapsed="false">
      <c r="A1379" s="26" t="n">
        <v>3484</v>
      </c>
      <c r="B1379" s="21" t="s">
        <v>1428</v>
      </c>
      <c r="C1379" s="21" t="s">
        <v>451</v>
      </c>
      <c r="D1379" s="34"/>
      <c r="E1379" s="25" t="n">
        <v>46009</v>
      </c>
      <c r="F1379" s="25" t="n">
        <v>46111</v>
      </c>
      <c r="G1379" s="26" t="n">
        <v>72</v>
      </c>
      <c r="H1379" s="27" t="n">
        <v>72</v>
      </c>
      <c r="I1379" s="27" t="n">
        <v>0</v>
      </c>
      <c r="J1379" s="22" t="s">
        <v>792</v>
      </c>
      <c r="K1379" s="46" t="n">
        <v>60000</v>
      </c>
      <c r="L1379" s="36" t="n">
        <v>129600</v>
      </c>
      <c r="M1379" s="29" t="n">
        <v>9000</v>
      </c>
      <c r="N1379" s="30" t="n">
        <v>12600</v>
      </c>
      <c r="O1379" s="30" t="n">
        <v>129600</v>
      </c>
      <c r="P1379" s="36" t="n">
        <v>0</v>
      </c>
      <c r="Q1379" s="302" t="n">
        <v>46153</v>
      </c>
    </row>
    <row r="1380" customFormat="false" ht="14.9" hidden="true" customHeight="false" outlineLevel="0" collapsed="false">
      <c r="A1380" s="20" t="n">
        <v>3576</v>
      </c>
      <c r="B1380" s="21" t="s">
        <v>240</v>
      </c>
      <c r="C1380" s="21" t="s">
        <v>241</v>
      </c>
      <c r="D1380" s="34"/>
      <c r="E1380" s="25" t="n">
        <v>46032</v>
      </c>
      <c r="F1380" s="25" t="n">
        <v>46133</v>
      </c>
      <c r="G1380" s="26" t="n">
        <v>72</v>
      </c>
      <c r="H1380" s="27" t="n">
        <v>72</v>
      </c>
      <c r="I1380" s="27" t="n">
        <v>0</v>
      </c>
      <c r="J1380" s="22" t="s">
        <v>244</v>
      </c>
      <c r="K1380" s="31" t="n">
        <v>200000</v>
      </c>
      <c r="L1380" s="31" t="n">
        <v>432000</v>
      </c>
      <c r="M1380" s="37" t="n">
        <v>30000</v>
      </c>
      <c r="N1380" s="30" t="n">
        <v>12000</v>
      </c>
      <c r="O1380" s="30" t="n">
        <v>432000</v>
      </c>
      <c r="P1380" s="36" t="n">
        <v>0</v>
      </c>
      <c r="Q1380" s="302" t="n">
        <v>46160</v>
      </c>
    </row>
    <row r="1381" customFormat="false" ht="14.9" hidden="true" customHeight="false" outlineLevel="0" collapsed="false">
      <c r="A1381" s="26" t="n">
        <v>3167</v>
      </c>
      <c r="B1381" s="21" t="s">
        <v>336</v>
      </c>
      <c r="C1381" s="21" t="s">
        <v>337</v>
      </c>
      <c r="D1381" s="34"/>
      <c r="E1381" s="25" t="n">
        <v>45953</v>
      </c>
      <c r="F1381" s="25" t="n">
        <v>46121</v>
      </c>
      <c r="G1381" s="26" t="n">
        <v>120</v>
      </c>
      <c r="H1381" s="27" t="n">
        <v>120</v>
      </c>
      <c r="I1381" s="27" t="n">
        <v>0</v>
      </c>
      <c r="J1381" s="35" t="s">
        <v>1429</v>
      </c>
      <c r="K1381" s="31" t="n">
        <v>51200</v>
      </c>
      <c r="L1381" s="31" t="n">
        <v>135168</v>
      </c>
      <c r="M1381" s="29" t="n">
        <v>5632</v>
      </c>
      <c r="N1381" s="30" t="n">
        <v>22528</v>
      </c>
      <c r="O1381" s="30" t="n">
        <v>135168</v>
      </c>
      <c r="P1381" s="36" t="n">
        <v>0</v>
      </c>
      <c r="Q1381" s="302" t="n">
        <v>46160</v>
      </c>
    </row>
    <row r="1382" customFormat="false" ht="14.9" hidden="true" customHeight="false" outlineLevel="0" collapsed="false">
      <c r="A1382" s="26" t="n">
        <v>3638</v>
      </c>
      <c r="B1382" s="21" t="s">
        <v>336</v>
      </c>
      <c r="C1382" s="21" t="s">
        <v>337</v>
      </c>
      <c r="D1382" s="34"/>
      <c r="E1382" s="25" t="n">
        <v>46063</v>
      </c>
      <c r="F1382" s="25" t="n">
        <v>46175</v>
      </c>
      <c r="G1382" s="26" t="n">
        <v>80</v>
      </c>
      <c r="H1382" s="27" t="n">
        <v>79.8518518518519</v>
      </c>
      <c r="I1382" s="27" t="n">
        <v>0.148148148148152</v>
      </c>
      <c r="J1382" s="35" t="s">
        <v>1223</v>
      </c>
      <c r="K1382" s="31" t="n">
        <v>50000</v>
      </c>
      <c r="L1382" s="31" t="n">
        <v>108000</v>
      </c>
      <c r="M1382" s="37" t="n">
        <v>6750</v>
      </c>
      <c r="N1382" s="30" t="n">
        <v>27000</v>
      </c>
      <c r="O1382" s="30" t="n">
        <v>107800</v>
      </c>
      <c r="P1382" s="36" t="n">
        <v>200</v>
      </c>
      <c r="Q1382" s="302" t="n">
        <v>46160</v>
      </c>
    </row>
    <row r="1383" customFormat="false" ht="14.9" hidden="true" customHeight="false" outlineLevel="0" collapsed="false">
      <c r="A1383" s="26" t="n">
        <v>3625</v>
      </c>
      <c r="B1383" s="21" t="s">
        <v>1430</v>
      </c>
      <c r="C1383" s="21" t="s">
        <v>1431</v>
      </c>
      <c r="D1383" s="34"/>
      <c r="E1383" s="25" t="n">
        <v>46045</v>
      </c>
      <c r="F1383" s="25" t="n">
        <v>46147</v>
      </c>
      <c r="G1383" s="26" t="n">
        <v>72</v>
      </c>
      <c r="H1383" s="27" t="n">
        <v>72</v>
      </c>
      <c r="I1383" s="27" t="n">
        <v>0</v>
      </c>
      <c r="J1383" s="22" t="s">
        <v>266</v>
      </c>
      <c r="K1383" s="36" t="n">
        <v>100000</v>
      </c>
      <c r="L1383" s="36" t="n">
        <v>216000</v>
      </c>
      <c r="M1383" s="29" t="n">
        <v>15000</v>
      </c>
      <c r="N1383" s="30" t="n">
        <v>6000</v>
      </c>
      <c r="O1383" s="30" t="n">
        <v>216000</v>
      </c>
      <c r="P1383" s="36" t="n">
        <v>0</v>
      </c>
      <c r="Q1383" s="302" t="n">
        <v>46160</v>
      </c>
    </row>
    <row r="1384" customFormat="false" ht="37.3" hidden="true" customHeight="false" outlineLevel="0" collapsed="false">
      <c r="A1384" s="26" t="n">
        <v>3605</v>
      </c>
      <c r="B1384" s="34" t="s">
        <v>413</v>
      </c>
      <c r="C1384" s="22" t="s">
        <v>414</v>
      </c>
      <c r="D1384" s="22" t="n">
        <v>37095915</v>
      </c>
      <c r="E1384" s="24" t="n">
        <v>46036</v>
      </c>
      <c r="F1384" s="25" t="n">
        <v>46148</v>
      </c>
      <c r="G1384" s="26" t="n">
        <v>80</v>
      </c>
      <c r="H1384" s="27" t="n">
        <v>80</v>
      </c>
      <c r="I1384" s="27" t="n">
        <v>0</v>
      </c>
      <c r="J1384" s="35" t="s">
        <v>415</v>
      </c>
      <c r="K1384" s="28" t="n">
        <v>500000</v>
      </c>
      <c r="L1384" s="28" t="n">
        <v>1080000</v>
      </c>
      <c r="M1384" s="37" t="n">
        <v>67500</v>
      </c>
      <c r="N1384" s="30" t="n">
        <v>270000</v>
      </c>
      <c r="O1384" s="30" t="n">
        <v>1080000</v>
      </c>
      <c r="P1384" s="36" t="n">
        <v>0</v>
      </c>
      <c r="Q1384" s="302" t="n">
        <v>46160</v>
      </c>
    </row>
    <row r="1385" customFormat="false" ht="19.4" hidden="true" customHeight="false" outlineLevel="0" collapsed="false">
      <c r="A1385" s="26" t="n">
        <v>3735</v>
      </c>
      <c r="B1385" s="21" t="s">
        <v>1106</v>
      </c>
      <c r="C1385" s="21" t="s">
        <v>489</v>
      </c>
      <c r="D1385" s="34"/>
      <c r="E1385" s="25" t="n">
        <v>46135</v>
      </c>
      <c r="F1385" s="25" t="n">
        <v>46163</v>
      </c>
      <c r="G1385" s="26" t="n">
        <v>20</v>
      </c>
      <c r="H1385" s="27" t="e">
        <f aca="false">#DIV/0!</f>
        <v>#DIV/0!</v>
      </c>
      <c r="I1385" s="27" t="e">
        <f aca="false">#DIV/0!</f>
        <v>#DIV/0!</v>
      </c>
      <c r="J1385" s="35" t="s">
        <v>490</v>
      </c>
      <c r="K1385" s="31" t="n">
        <v>50000</v>
      </c>
      <c r="L1385" s="31" t="n">
        <v>75000</v>
      </c>
      <c r="M1385" s="37"/>
      <c r="N1385" s="30" t="n">
        <v>75000</v>
      </c>
      <c r="O1385" s="30" t="n">
        <v>75000</v>
      </c>
      <c r="P1385" s="36" t="n">
        <v>0</v>
      </c>
      <c r="Q1385" s="302" t="n">
        <v>46160</v>
      </c>
    </row>
    <row r="1386" customFormat="false" ht="19.4" hidden="true" customHeight="false" outlineLevel="0" collapsed="false">
      <c r="A1386" s="26" t="n">
        <v>3736</v>
      </c>
      <c r="B1386" s="21" t="s">
        <v>488</v>
      </c>
      <c r="C1386" s="21" t="s">
        <v>489</v>
      </c>
      <c r="D1386" s="34"/>
      <c r="E1386" s="25" t="n">
        <v>46135</v>
      </c>
      <c r="F1386" s="25" t="n">
        <v>46163</v>
      </c>
      <c r="G1386" s="26" t="n">
        <v>20</v>
      </c>
      <c r="H1386" s="27" t="e">
        <f aca="false">#DIV/0!</f>
        <v>#DIV/0!</v>
      </c>
      <c r="I1386" s="27" t="e">
        <f aca="false">#DIV/0!</f>
        <v>#DIV/0!</v>
      </c>
      <c r="J1386" s="35" t="s">
        <v>490</v>
      </c>
      <c r="K1386" s="31" t="n">
        <v>50000</v>
      </c>
      <c r="L1386" s="31" t="n">
        <v>75000</v>
      </c>
      <c r="M1386" s="37"/>
      <c r="N1386" s="30" t="n">
        <v>75000</v>
      </c>
      <c r="O1386" s="30" t="n">
        <v>75000</v>
      </c>
      <c r="P1386" s="36" t="n">
        <v>0</v>
      </c>
      <c r="Q1386" s="302" t="n">
        <v>46160</v>
      </c>
    </row>
    <row r="1387" customFormat="false" ht="35.05" hidden="true" customHeight="false" outlineLevel="0" collapsed="false">
      <c r="A1387" s="26" t="n">
        <v>3333</v>
      </c>
      <c r="B1387" s="21" t="s">
        <v>939</v>
      </c>
      <c r="C1387" s="21" t="s">
        <v>1286</v>
      </c>
      <c r="D1387" s="34"/>
      <c r="E1387" s="25" t="n">
        <v>46006</v>
      </c>
      <c r="F1387" s="25" t="n">
        <v>45968</v>
      </c>
      <c r="G1387" s="27" t="n">
        <v>120</v>
      </c>
      <c r="H1387" s="27" t="n">
        <v>120</v>
      </c>
      <c r="I1387" s="27" t="n">
        <v>0</v>
      </c>
      <c r="J1387" s="35" t="s">
        <v>1432</v>
      </c>
      <c r="K1387" s="39" t="n">
        <v>200000</v>
      </c>
      <c r="L1387" s="36" t="n">
        <v>528000</v>
      </c>
      <c r="M1387" s="37" t="n">
        <v>22000</v>
      </c>
      <c r="N1387" s="30" t="n">
        <v>88000</v>
      </c>
      <c r="O1387" s="30" t="n">
        <v>528000</v>
      </c>
      <c r="P1387" s="36" t="n">
        <v>0</v>
      </c>
      <c r="Q1387" s="302" t="n">
        <v>46160</v>
      </c>
    </row>
    <row r="1388" customFormat="false" ht="14.9" hidden="false" customHeight="false" outlineLevel="0" collapsed="false">
      <c r="A1388" s="26" t="n">
        <v>3564</v>
      </c>
      <c r="B1388" s="21" t="s">
        <v>568</v>
      </c>
      <c r="C1388" s="21" t="s">
        <v>569</v>
      </c>
      <c r="D1388" s="34"/>
      <c r="E1388" s="25" t="n">
        <v>45871</v>
      </c>
      <c r="F1388" s="25" t="n">
        <v>46024</v>
      </c>
      <c r="G1388" s="26" t="n">
        <v>110</v>
      </c>
      <c r="H1388" s="27" t="n">
        <v>110</v>
      </c>
      <c r="I1388" s="27" t="n">
        <v>0</v>
      </c>
      <c r="J1388" s="22" t="s">
        <v>221</v>
      </c>
      <c r="K1388" s="36" t="n">
        <v>250000</v>
      </c>
      <c r="L1388" s="36" t="n">
        <v>660000</v>
      </c>
      <c r="M1388" s="29" t="n">
        <v>30000</v>
      </c>
      <c r="N1388" s="30" t="n">
        <v>184000</v>
      </c>
      <c r="O1388" s="30" t="n">
        <v>660000</v>
      </c>
      <c r="P1388" s="36" t="n">
        <v>0</v>
      </c>
      <c r="Q1388" s="302" t="n">
        <v>46160</v>
      </c>
    </row>
    <row r="1389" customFormat="false" ht="28.35" hidden="true" customHeight="false" outlineLevel="0" collapsed="false">
      <c r="A1389" s="26" t="n">
        <v>3019</v>
      </c>
      <c r="B1389" s="21" t="s">
        <v>574</v>
      </c>
      <c r="C1389" s="21" t="s">
        <v>575</v>
      </c>
      <c r="D1389" s="34"/>
      <c r="E1389" s="25" t="n">
        <v>45963</v>
      </c>
      <c r="F1389" s="25" t="n">
        <v>46115</v>
      </c>
      <c r="G1389" s="26" t="n">
        <v>110</v>
      </c>
      <c r="H1389" s="27" t="n">
        <v>110</v>
      </c>
      <c r="I1389" s="27" t="n">
        <v>0</v>
      </c>
      <c r="J1389" s="22" t="s">
        <v>487</v>
      </c>
      <c r="K1389" s="57" t="n">
        <v>150000</v>
      </c>
      <c r="L1389" s="36" t="n">
        <v>396000</v>
      </c>
      <c r="M1389" s="29" t="n">
        <v>18000</v>
      </c>
      <c r="N1389" s="30" t="n">
        <v>36000</v>
      </c>
      <c r="O1389" s="30" t="n">
        <v>396000</v>
      </c>
      <c r="P1389" s="36" t="n">
        <v>0</v>
      </c>
      <c r="Q1389" s="302" t="n">
        <v>46160</v>
      </c>
    </row>
    <row r="1390" customFormat="false" ht="19.4" hidden="true" customHeight="false" outlineLevel="0" collapsed="false">
      <c r="A1390" s="26" t="n">
        <v>3341</v>
      </c>
      <c r="B1390" s="21" t="s">
        <v>251</v>
      </c>
      <c r="C1390" s="21" t="s">
        <v>252</v>
      </c>
      <c r="D1390" s="34" t="s">
        <v>253</v>
      </c>
      <c r="E1390" s="25" t="n">
        <v>45664</v>
      </c>
      <c r="F1390" s="25" t="n">
        <v>45944</v>
      </c>
      <c r="G1390" s="26" t="n">
        <v>200</v>
      </c>
      <c r="H1390" s="27" t="n">
        <v>209.791666666667</v>
      </c>
      <c r="I1390" s="27" t="n">
        <v>-9.79166666666666</v>
      </c>
      <c r="J1390" s="35" t="s">
        <v>1433</v>
      </c>
      <c r="K1390" s="31" t="n">
        <v>400000</v>
      </c>
      <c r="L1390" s="31" t="n">
        <v>1344000</v>
      </c>
      <c r="M1390" s="37" t="n">
        <v>33600</v>
      </c>
      <c r="N1390" s="30" t="n">
        <v>100000</v>
      </c>
      <c r="O1390" s="30" t="n">
        <v>1409800</v>
      </c>
      <c r="P1390" s="36" t="n">
        <v>-65800</v>
      </c>
      <c r="Q1390" s="302" t="n">
        <v>46167</v>
      </c>
    </row>
    <row r="1391" customFormat="false" ht="14.9" hidden="true" customHeight="false" outlineLevel="0" collapsed="false">
      <c r="A1391" s="26" t="n">
        <v>3626</v>
      </c>
      <c r="B1391" s="21" t="s">
        <v>264</v>
      </c>
      <c r="C1391" s="21" t="s">
        <v>265</v>
      </c>
      <c r="D1391" s="34"/>
      <c r="E1391" s="25" t="n">
        <v>46052</v>
      </c>
      <c r="F1391" s="25" t="n">
        <v>46154</v>
      </c>
      <c r="G1391" s="26" t="n">
        <v>72</v>
      </c>
      <c r="H1391" s="27" t="n">
        <v>72</v>
      </c>
      <c r="I1391" s="27" t="n">
        <v>0</v>
      </c>
      <c r="J1391" s="22" t="s">
        <v>244</v>
      </c>
      <c r="K1391" s="45" t="n">
        <v>200000</v>
      </c>
      <c r="L1391" s="31" t="n">
        <v>432000</v>
      </c>
      <c r="M1391" s="37" t="n">
        <v>30000</v>
      </c>
      <c r="N1391" s="30" t="n">
        <v>12000</v>
      </c>
      <c r="O1391" s="30" t="n">
        <v>432000</v>
      </c>
      <c r="P1391" s="36" t="n">
        <v>0</v>
      </c>
      <c r="Q1391" s="302" t="n">
        <v>46167</v>
      </c>
    </row>
    <row r="1392" customFormat="false" ht="14.9" hidden="true" customHeight="false" outlineLevel="0" collapsed="false">
      <c r="A1392" s="26" t="n">
        <v>3598</v>
      </c>
      <c r="B1392" s="21" t="s">
        <v>380</v>
      </c>
      <c r="C1392" s="21" t="s">
        <v>292</v>
      </c>
      <c r="D1392" s="34"/>
      <c r="E1392" s="25" t="n">
        <v>46033</v>
      </c>
      <c r="F1392" s="25" t="n">
        <v>46133</v>
      </c>
      <c r="G1392" s="26" t="n">
        <v>72</v>
      </c>
      <c r="H1392" s="27" t="n">
        <v>72</v>
      </c>
      <c r="I1392" s="27" t="n">
        <v>0</v>
      </c>
      <c r="J1392" s="22" t="s">
        <v>244</v>
      </c>
      <c r="K1392" s="36" t="n">
        <v>200000</v>
      </c>
      <c r="L1392" s="36" t="n">
        <v>432000</v>
      </c>
      <c r="M1392" s="37" t="n">
        <v>30000</v>
      </c>
      <c r="N1392" s="30" t="n">
        <v>12000</v>
      </c>
      <c r="O1392" s="30" t="n">
        <v>432000</v>
      </c>
      <c r="P1392" s="36" t="n">
        <v>0</v>
      </c>
      <c r="Q1392" s="302" t="n">
        <v>46167</v>
      </c>
    </row>
    <row r="1393" customFormat="false" ht="21.6" hidden="true" customHeight="false" outlineLevel="0" collapsed="false">
      <c r="A1393" s="26" t="n">
        <v>3651</v>
      </c>
      <c r="B1393" s="21" t="s">
        <v>454</v>
      </c>
      <c r="C1393" s="21" t="s">
        <v>451</v>
      </c>
      <c r="D1393" s="34"/>
      <c r="E1393" s="25" t="n">
        <v>46074</v>
      </c>
      <c r="F1393" s="25" t="n">
        <v>46175</v>
      </c>
      <c r="G1393" s="26" t="n">
        <v>72</v>
      </c>
      <c r="H1393" s="27" t="n">
        <v>72</v>
      </c>
      <c r="I1393" s="27" t="n">
        <v>0</v>
      </c>
      <c r="J1393" s="22" t="s">
        <v>381</v>
      </c>
      <c r="K1393" s="46" t="n">
        <v>50000</v>
      </c>
      <c r="L1393" s="36" t="n">
        <v>108000</v>
      </c>
      <c r="M1393" s="29" t="n">
        <v>7500</v>
      </c>
      <c r="N1393" s="30" t="n">
        <v>10500</v>
      </c>
      <c r="O1393" s="30" t="n">
        <v>108000</v>
      </c>
      <c r="P1393" s="36" t="n">
        <v>0</v>
      </c>
      <c r="Q1393" s="302" t="n">
        <v>46167</v>
      </c>
    </row>
    <row r="1394" customFormat="false" ht="21.6" hidden="true" customHeight="false" outlineLevel="0" collapsed="false">
      <c r="A1394" s="26" t="n">
        <v>3282</v>
      </c>
      <c r="B1394" s="21" t="s">
        <v>555</v>
      </c>
      <c r="C1394" s="21" t="s">
        <v>556</v>
      </c>
      <c r="D1394" s="34"/>
      <c r="E1394" s="25" t="n">
        <v>46020</v>
      </c>
      <c r="F1394" s="25" t="n">
        <v>46120</v>
      </c>
      <c r="G1394" s="26" t="n">
        <v>72</v>
      </c>
      <c r="H1394" s="27" t="n">
        <v>72.2222222222222</v>
      </c>
      <c r="I1394" s="27" t="n">
        <v>-0.222222222222229</v>
      </c>
      <c r="J1394" s="35" t="s">
        <v>245</v>
      </c>
      <c r="K1394" s="36" t="n">
        <v>300000</v>
      </c>
      <c r="L1394" s="36" t="n">
        <v>648000</v>
      </c>
      <c r="M1394" s="29" t="n">
        <v>45000</v>
      </c>
      <c r="N1394" s="30" t="n">
        <v>25000</v>
      </c>
      <c r="O1394" s="30" t="n">
        <v>650000</v>
      </c>
      <c r="P1394" s="36" t="n">
        <v>-2000</v>
      </c>
      <c r="Q1394" s="302" t="n">
        <v>46167</v>
      </c>
    </row>
    <row r="1395" customFormat="false" ht="14.9" hidden="true" customHeight="false" outlineLevel="0" collapsed="false">
      <c r="A1395" s="26" t="n">
        <v>3729</v>
      </c>
      <c r="B1395" s="21" t="s">
        <v>578</v>
      </c>
      <c r="C1395" s="21" t="s">
        <v>579</v>
      </c>
      <c r="D1395" s="34"/>
      <c r="E1395" s="25" t="n">
        <v>46130</v>
      </c>
      <c r="F1395" s="25" t="n">
        <v>46064</v>
      </c>
      <c r="G1395" s="26" t="n">
        <v>18</v>
      </c>
      <c r="H1395" s="27" t="e">
        <f aca="false">#DIV/0!</f>
        <v>#DIV/0!</v>
      </c>
      <c r="I1395" s="27" t="e">
        <f aca="false">#DIV/0!</f>
        <v>#DIV/0!</v>
      </c>
      <c r="J1395" s="22" t="s">
        <v>580</v>
      </c>
      <c r="K1395" s="36" t="n">
        <v>250000</v>
      </c>
      <c r="L1395" s="36" t="n">
        <v>350000</v>
      </c>
      <c r="M1395" s="29"/>
      <c r="N1395" s="30" t="n">
        <v>350000</v>
      </c>
      <c r="O1395" s="30" t="n">
        <v>350000</v>
      </c>
      <c r="P1395" s="36" t="n">
        <v>0</v>
      </c>
      <c r="Q1395" s="302" t="n">
        <v>46167</v>
      </c>
    </row>
    <row r="1396" customFormat="false" ht="14.9" hidden="true" customHeight="false" outlineLevel="0" collapsed="false">
      <c r="A1396" s="20" t="n">
        <v>3618</v>
      </c>
      <c r="B1396" s="21" t="s">
        <v>240</v>
      </c>
      <c r="C1396" s="21" t="s">
        <v>241</v>
      </c>
      <c r="D1396" s="34"/>
      <c r="E1396" s="25" t="n">
        <v>46046</v>
      </c>
      <c r="F1396" s="25" t="n">
        <v>46147</v>
      </c>
      <c r="G1396" s="26" t="n">
        <v>72</v>
      </c>
      <c r="H1396" s="27" t="n">
        <v>72</v>
      </c>
      <c r="I1396" s="27" t="n">
        <v>0</v>
      </c>
      <c r="J1396" s="22" t="s">
        <v>266</v>
      </c>
      <c r="K1396" s="36" t="n">
        <v>100000</v>
      </c>
      <c r="L1396" s="36" t="n">
        <v>216000</v>
      </c>
      <c r="M1396" s="37" t="n">
        <v>15000</v>
      </c>
      <c r="N1396" s="30" t="n">
        <v>6000</v>
      </c>
      <c r="O1396" s="30" t="n">
        <v>216000</v>
      </c>
      <c r="P1396" s="36" t="n">
        <v>0</v>
      </c>
      <c r="Q1396" s="302" t="n">
        <v>46174</v>
      </c>
    </row>
    <row r="1397" customFormat="false" ht="14.9" hidden="true" customHeight="false" outlineLevel="0" collapsed="false">
      <c r="A1397" s="20" t="n">
        <v>3627</v>
      </c>
      <c r="B1397" s="21" t="s">
        <v>240</v>
      </c>
      <c r="C1397" s="21" t="s">
        <v>241</v>
      </c>
      <c r="D1397" s="34"/>
      <c r="E1397" s="25" t="n">
        <v>46053</v>
      </c>
      <c r="F1397" s="25" t="n">
        <v>46154</v>
      </c>
      <c r="G1397" s="26" t="n">
        <v>72</v>
      </c>
      <c r="H1397" s="27" t="n">
        <v>72</v>
      </c>
      <c r="I1397" s="27" t="n">
        <v>0</v>
      </c>
      <c r="J1397" s="22" t="s">
        <v>521</v>
      </c>
      <c r="K1397" s="36" t="n">
        <v>130000</v>
      </c>
      <c r="L1397" s="36" t="n">
        <v>280800</v>
      </c>
      <c r="M1397" s="37" t="n">
        <v>19500</v>
      </c>
      <c r="N1397" s="30" t="n">
        <v>34300</v>
      </c>
      <c r="O1397" s="30" t="n">
        <v>280800</v>
      </c>
      <c r="P1397" s="36" t="n">
        <v>0</v>
      </c>
      <c r="Q1397" s="302" t="n">
        <v>46174</v>
      </c>
    </row>
    <row r="1398" customFormat="false" ht="28.35" hidden="true" customHeight="false" outlineLevel="0" collapsed="false">
      <c r="A1398" s="26" t="n">
        <v>3607</v>
      </c>
      <c r="B1398" s="21" t="s">
        <v>256</v>
      </c>
      <c r="C1398" s="21" t="s">
        <v>257</v>
      </c>
      <c r="D1398" s="34"/>
      <c r="E1398" s="25" t="n">
        <v>46038</v>
      </c>
      <c r="F1398" s="25" t="n">
        <v>46150</v>
      </c>
      <c r="G1398" s="26" t="n">
        <v>80</v>
      </c>
      <c r="H1398" s="27" t="n">
        <v>80</v>
      </c>
      <c r="I1398" s="27" t="n">
        <v>0</v>
      </c>
      <c r="J1398" s="35" t="s">
        <v>1434</v>
      </c>
      <c r="K1398" s="36" t="n">
        <v>250000</v>
      </c>
      <c r="L1398" s="36" t="n">
        <v>540000</v>
      </c>
      <c r="M1398" s="37" t="n">
        <v>33750</v>
      </c>
      <c r="N1398" s="30" t="n">
        <v>135000</v>
      </c>
      <c r="O1398" s="30" t="n">
        <v>540000</v>
      </c>
      <c r="P1398" s="36" t="n">
        <v>0</v>
      </c>
      <c r="Q1398" s="302" t="n">
        <v>46174</v>
      </c>
    </row>
    <row r="1399" customFormat="false" ht="35.05" hidden="true" customHeight="false" outlineLevel="0" collapsed="false">
      <c r="A1399" s="26" t="n">
        <v>2913</v>
      </c>
      <c r="B1399" s="21" t="s">
        <v>459</v>
      </c>
      <c r="C1399" s="21" t="s">
        <v>460</v>
      </c>
      <c r="D1399" s="34"/>
      <c r="E1399" s="25" t="n">
        <v>46020</v>
      </c>
      <c r="F1399" s="25" t="n">
        <v>45915</v>
      </c>
      <c r="G1399" s="26" t="n">
        <v>120</v>
      </c>
      <c r="H1399" s="27" t="n">
        <v>120</v>
      </c>
      <c r="I1399" s="27" t="n">
        <v>0</v>
      </c>
      <c r="J1399" s="38" t="s">
        <v>1418</v>
      </c>
      <c r="K1399" s="36" t="n">
        <v>300000</v>
      </c>
      <c r="L1399" s="36" t="n">
        <v>792000</v>
      </c>
      <c r="M1399" s="37" t="n">
        <v>33000</v>
      </c>
      <c r="N1399" s="30" t="n">
        <v>121000</v>
      </c>
      <c r="O1399" s="30" t="n">
        <v>792000</v>
      </c>
      <c r="P1399" s="36" t="n">
        <v>0</v>
      </c>
      <c r="Q1399" s="302" t="n">
        <v>46174</v>
      </c>
    </row>
    <row r="1400" customFormat="false" ht="35.05" hidden="true" customHeight="false" outlineLevel="0" collapsed="false">
      <c r="A1400" s="26" t="n">
        <v>3749</v>
      </c>
      <c r="B1400" s="21" t="s">
        <v>459</v>
      </c>
      <c r="C1400" s="21" t="s">
        <v>460</v>
      </c>
      <c r="D1400" s="34"/>
      <c r="E1400" s="25" t="n">
        <v>46142</v>
      </c>
      <c r="F1400" s="25" t="n">
        <v>45915</v>
      </c>
      <c r="G1400" s="26" t="n">
        <v>80</v>
      </c>
      <c r="H1400" s="27" t="n">
        <v>80</v>
      </c>
      <c r="I1400" s="27" t="n">
        <v>0</v>
      </c>
      <c r="J1400" s="38" t="s">
        <v>470</v>
      </c>
      <c r="K1400" s="36" t="n">
        <v>50000</v>
      </c>
      <c r="L1400" s="36" t="n">
        <v>108000</v>
      </c>
      <c r="M1400" s="37" t="n">
        <v>6750</v>
      </c>
      <c r="N1400" s="30" t="n">
        <v>75000</v>
      </c>
      <c r="O1400" s="30" t="n">
        <v>108000</v>
      </c>
      <c r="P1400" s="36" t="n">
        <v>0</v>
      </c>
      <c r="Q1400" s="302" t="n">
        <v>46174</v>
      </c>
    </row>
    <row r="1401" customFormat="false" ht="28.35" hidden="true" customHeight="false" outlineLevel="0" collapsed="false">
      <c r="A1401" s="26" t="n">
        <v>3316</v>
      </c>
      <c r="B1401" s="21" t="s">
        <v>1367</v>
      </c>
      <c r="C1401" s="21" t="s">
        <v>1368</v>
      </c>
      <c r="D1401" s="34"/>
      <c r="E1401" s="25" t="n">
        <v>45923</v>
      </c>
      <c r="F1401" s="25" t="n">
        <v>46091</v>
      </c>
      <c r="G1401" s="26" t="n">
        <v>120</v>
      </c>
      <c r="H1401" s="27" t="n">
        <v>120.909090909091</v>
      </c>
      <c r="I1401" s="27" t="n">
        <v>-0.909090909090907</v>
      </c>
      <c r="J1401" s="35" t="s">
        <v>340</v>
      </c>
      <c r="K1401" s="31" t="n">
        <v>100000</v>
      </c>
      <c r="L1401" s="31" t="n">
        <v>264000</v>
      </c>
      <c r="M1401" s="37" t="n">
        <v>11000</v>
      </c>
      <c r="N1401" s="30" t="n">
        <v>20000</v>
      </c>
      <c r="O1401" s="30" t="n">
        <v>266000</v>
      </c>
      <c r="P1401" s="36" t="n">
        <v>-2000</v>
      </c>
      <c r="Q1401" s="302" t="n">
        <v>46174</v>
      </c>
    </row>
    <row r="1402" customFormat="false" ht="28.35" hidden="true" customHeight="false" outlineLevel="0" collapsed="false">
      <c r="A1402" s="26" t="n">
        <v>3482</v>
      </c>
      <c r="B1402" s="21" t="s">
        <v>507</v>
      </c>
      <c r="C1402" s="21" t="s">
        <v>508</v>
      </c>
      <c r="D1402" s="34"/>
      <c r="E1402" s="25" t="n">
        <v>45987</v>
      </c>
      <c r="F1402" s="25" t="n">
        <v>46155</v>
      </c>
      <c r="G1402" s="26" t="n">
        <v>120</v>
      </c>
      <c r="H1402" s="27" t="n">
        <v>120</v>
      </c>
      <c r="I1402" s="27" t="n">
        <v>0</v>
      </c>
      <c r="J1402" s="35" t="s">
        <v>1435</v>
      </c>
      <c r="K1402" s="36" t="n">
        <v>150000</v>
      </c>
      <c r="L1402" s="36" t="n">
        <v>396000</v>
      </c>
      <c r="M1402" s="37" t="n">
        <v>16500</v>
      </c>
      <c r="N1402" s="30" t="n">
        <v>66000</v>
      </c>
      <c r="O1402" s="30" t="n">
        <v>396000</v>
      </c>
      <c r="P1402" s="36" t="n">
        <v>0</v>
      </c>
      <c r="Q1402" s="302" t="n">
        <v>46174</v>
      </c>
    </row>
    <row r="1403" customFormat="false" ht="21.6" hidden="true" customHeight="false" outlineLevel="0" collapsed="false">
      <c r="A1403" s="26" t="n">
        <v>3657</v>
      </c>
      <c r="B1403" s="21" t="s">
        <v>610</v>
      </c>
      <c r="C1403" s="21" t="s">
        <v>611</v>
      </c>
      <c r="D1403" s="34"/>
      <c r="E1403" s="25" t="n">
        <v>46077</v>
      </c>
      <c r="F1403" s="25" t="n">
        <v>46189</v>
      </c>
      <c r="G1403" s="26" t="n">
        <v>80</v>
      </c>
      <c r="H1403" s="27" t="n">
        <v>80</v>
      </c>
      <c r="I1403" s="27" t="n">
        <v>0</v>
      </c>
      <c r="J1403" s="35" t="s">
        <v>239</v>
      </c>
      <c r="K1403" s="31" t="n">
        <v>400000</v>
      </c>
      <c r="L1403" s="31" t="n">
        <v>864000</v>
      </c>
      <c r="M1403" s="37" t="n">
        <v>54000</v>
      </c>
      <c r="N1403" s="30" t="n">
        <v>216000</v>
      </c>
      <c r="O1403" s="30" t="n">
        <v>864000</v>
      </c>
      <c r="P1403" s="36" t="n">
        <v>0</v>
      </c>
      <c r="Q1403" s="302" t="n">
        <v>46174</v>
      </c>
    </row>
    <row r="1404" customFormat="false" ht="26.1" hidden="true" customHeight="false" outlineLevel="0" collapsed="false">
      <c r="A1404" s="26" t="n">
        <v>3592</v>
      </c>
      <c r="B1404" s="34" t="s">
        <v>636</v>
      </c>
      <c r="C1404" s="34" t="s">
        <v>637</v>
      </c>
      <c r="D1404" s="34"/>
      <c r="E1404" s="25" t="n">
        <v>46018</v>
      </c>
      <c r="F1404" s="25" t="n">
        <v>46171</v>
      </c>
      <c r="G1404" s="26" t="n">
        <v>110</v>
      </c>
      <c r="H1404" s="27" t="n">
        <v>110</v>
      </c>
      <c r="I1404" s="27" t="n">
        <v>0</v>
      </c>
      <c r="J1404" s="22" t="s">
        <v>362</v>
      </c>
      <c r="K1404" s="36" t="n">
        <v>100000</v>
      </c>
      <c r="L1404" s="36" t="n">
        <v>264000</v>
      </c>
      <c r="M1404" s="37" t="n">
        <v>12000</v>
      </c>
      <c r="N1404" s="30" t="n">
        <v>48000</v>
      </c>
      <c r="O1404" s="30" t="n">
        <v>264000</v>
      </c>
      <c r="P1404" s="36" t="n">
        <v>0</v>
      </c>
      <c r="Q1404" s="302" t="n">
        <v>46174</v>
      </c>
    </row>
    <row r="1405" customFormat="false" ht="21.6" hidden="true" customHeight="false" outlineLevel="0" collapsed="false">
      <c r="A1405" s="20" t="n">
        <v>3637</v>
      </c>
      <c r="B1405" s="21" t="s">
        <v>230</v>
      </c>
      <c r="C1405" s="21" t="s">
        <v>231</v>
      </c>
      <c r="D1405" s="34"/>
      <c r="E1405" s="25" t="n">
        <v>46063</v>
      </c>
      <c r="F1405" s="25" t="n">
        <v>46175</v>
      </c>
      <c r="G1405" s="26" t="n">
        <v>80</v>
      </c>
      <c r="H1405" s="27" t="n">
        <v>80</v>
      </c>
      <c r="I1405" s="27" t="n">
        <v>0</v>
      </c>
      <c r="J1405" s="35" t="s">
        <v>1415</v>
      </c>
      <c r="K1405" s="36" t="n">
        <v>30000</v>
      </c>
      <c r="L1405" s="36" t="n">
        <v>64800</v>
      </c>
      <c r="M1405" s="37" t="n">
        <v>4050</v>
      </c>
      <c r="N1405" s="30" t="n">
        <v>16200</v>
      </c>
      <c r="O1405" s="30" t="n">
        <v>64800</v>
      </c>
      <c r="P1405" s="31" t="n">
        <v>0</v>
      </c>
      <c r="Q1405" s="302" t="n">
        <v>46181</v>
      </c>
    </row>
    <row r="1406" customFormat="false" ht="21.6" hidden="true" customHeight="false" outlineLevel="0" collapsed="false">
      <c r="A1406" s="20" t="n">
        <v>3754</v>
      </c>
      <c r="B1406" s="21" t="s">
        <v>230</v>
      </c>
      <c r="C1406" s="21" t="s">
        <v>231</v>
      </c>
      <c r="D1406" s="34"/>
      <c r="E1406" s="25" t="n">
        <v>46146</v>
      </c>
      <c r="F1406" s="25" t="n">
        <v>46174</v>
      </c>
      <c r="G1406" s="26" t="n">
        <v>20</v>
      </c>
      <c r="H1406" s="27" t="e">
        <f aca="false">#DIV/0!</f>
        <v>#DIV/0!</v>
      </c>
      <c r="I1406" s="27" t="e">
        <f aca="false">#DIV/0!</f>
        <v>#DIV/0!</v>
      </c>
      <c r="J1406" s="35" t="s">
        <v>234</v>
      </c>
      <c r="K1406" s="39" t="n">
        <v>30000</v>
      </c>
      <c r="L1406" s="36" t="n">
        <v>45000</v>
      </c>
      <c r="M1406" s="29"/>
      <c r="N1406" s="30" t="n">
        <v>45000</v>
      </c>
      <c r="O1406" s="30" t="n">
        <v>45000</v>
      </c>
      <c r="P1406" s="36" t="n">
        <v>0</v>
      </c>
      <c r="Q1406" s="302" t="n">
        <v>46181</v>
      </c>
    </row>
    <row r="1407" customFormat="false" ht="21.6" hidden="true" customHeight="false" outlineLevel="0" collapsed="false">
      <c r="A1407" s="20" t="n">
        <v>3765</v>
      </c>
      <c r="B1407" s="21" t="s">
        <v>230</v>
      </c>
      <c r="C1407" s="21" t="s">
        <v>231</v>
      </c>
      <c r="D1407" s="34"/>
      <c r="E1407" s="25" t="n">
        <v>46155</v>
      </c>
      <c r="F1407" s="25" t="n">
        <v>46183</v>
      </c>
      <c r="G1407" s="26" t="n">
        <v>20</v>
      </c>
      <c r="H1407" s="27" t="e">
        <f aca="false">#DIV/0!</f>
        <v>#DIV/0!</v>
      </c>
      <c r="I1407" s="27" t="e">
        <f aca="false">#DIV/0!</f>
        <v>#DIV/0!</v>
      </c>
      <c r="J1407" s="35" t="s">
        <v>1416</v>
      </c>
      <c r="K1407" s="36" t="n">
        <v>100000</v>
      </c>
      <c r="L1407" s="36" t="n">
        <v>150000</v>
      </c>
      <c r="M1407" s="37"/>
      <c r="N1407" s="30" t="n">
        <v>150000</v>
      </c>
      <c r="O1407" s="30" t="n">
        <v>150000</v>
      </c>
      <c r="P1407" s="36" t="n">
        <v>0</v>
      </c>
      <c r="Q1407" s="302" t="n">
        <v>46181</v>
      </c>
    </row>
    <row r="1408" customFormat="false" ht="21.6" hidden="true" customHeight="false" outlineLevel="0" collapsed="false">
      <c r="A1408" s="20" t="n">
        <v>3776</v>
      </c>
      <c r="B1408" s="21" t="s">
        <v>230</v>
      </c>
      <c r="C1408" s="21" t="s">
        <v>231</v>
      </c>
      <c r="D1408" s="34"/>
      <c r="E1408" s="25" t="n">
        <v>46164</v>
      </c>
      <c r="F1408" s="25" t="n">
        <v>46192</v>
      </c>
      <c r="G1408" s="26" t="n">
        <v>20</v>
      </c>
      <c r="H1408" s="27" t="e">
        <f aca="false">#DIV/0!</f>
        <v>#DIV/0!</v>
      </c>
      <c r="I1408" s="27" t="e">
        <f aca="false">#DIV/0!</f>
        <v>#DIV/0!</v>
      </c>
      <c r="J1408" s="35" t="s">
        <v>1416</v>
      </c>
      <c r="K1408" s="36" t="n">
        <v>100000</v>
      </c>
      <c r="L1408" s="36" t="n">
        <v>150000</v>
      </c>
      <c r="M1408" s="37"/>
      <c r="N1408" s="30" t="n">
        <v>150000</v>
      </c>
      <c r="O1408" s="30" t="n">
        <v>150000</v>
      </c>
      <c r="P1408" s="36" t="n">
        <v>0</v>
      </c>
      <c r="Q1408" s="302" t="n">
        <v>46181</v>
      </c>
    </row>
    <row r="1409" customFormat="false" ht="21.6" hidden="true" customHeight="false" outlineLevel="0" collapsed="false">
      <c r="A1409" s="26" t="n">
        <v>3656</v>
      </c>
      <c r="B1409" s="21" t="s">
        <v>285</v>
      </c>
      <c r="C1409" s="21" t="s">
        <v>286</v>
      </c>
      <c r="D1409" s="34"/>
      <c r="E1409" s="25" t="n">
        <v>46076</v>
      </c>
      <c r="F1409" s="25" t="n">
        <v>46188</v>
      </c>
      <c r="G1409" s="26" t="n">
        <v>80</v>
      </c>
      <c r="H1409" s="27" t="n">
        <v>80</v>
      </c>
      <c r="I1409" s="27" t="n">
        <v>0</v>
      </c>
      <c r="J1409" s="35" t="s">
        <v>259</v>
      </c>
      <c r="K1409" s="36" t="n">
        <v>100000</v>
      </c>
      <c r="L1409" s="36" t="n">
        <v>216000</v>
      </c>
      <c r="M1409" s="37" t="n">
        <v>13500</v>
      </c>
      <c r="N1409" s="30" t="n">
        <v>54000</v>
      </c>
      <c r="O1409" s="30" t="n">
        <v>216000</v>
      </c>
      <c r="P1409" s="36" t="n">
        <v>0</v>
      </c>
      <c r="Q1409" s="302" t="n">
        <v>46181</v>
      </c>
    </row>
    <row r="1410" customFormat="false" ht="21.6" hidden="true" customHeight="false" outlineLevel="0" collapsed="false">
      <c r="A1410" s="26" t="n">
        <v>3745</v>
      </c>
      <c r="B1410" s="21" t="s">
        <v>319</v>
      </c>
      <c r="C1410" s="21" t="s">
        <v>320</v>
      </c>
      <c r="D1410" s="44"/>
      <c r="E1410" s="25" t="n">
        <v>46139</v>
      </c>
      <c r="F1410" s="25" t="n">
        <v>46181</v>
      </c>
      <c r="G1410" s="72" t="n">
        <v>30</v>
      </c>
      <c r="H1410" s="27" t="e">
        <f aca="false">#VALUE!</f>
        <v>#VALUE!</v>
      </c>
      <c r="I1410" s="27" t="e">
        <f aca="false">#VALUE!</f>
        <v>#VALUE!</v>
      </c>
      <c r="J1410" s="52" t="s">
        <v>1436</v>
      </c>
      <c r="K1410" s="39" t="n">
        <v>50000</v>
      </c>
      <c r="L1410" s="36" t="n">
        <v>70000</v>
      </c>
      <c r="M1410" s="29" t="s">
        <v>214</v>
      </c>
      <c r="N1410" s="30" t="n">
        <v>35000</v>
      </c>
      <c r="O1410" s="30" t="n">
        <v>70000</v>
      </c>
      <c r="P1410" s="36" t="n">
        <v>0</v>
      </c>
      <c r="Q1410" s="302" t="n">
        <v>46181</v>
      </c>
    </row>
    <row r="1411" customFormat="false" ht="28.35" hidden="true" customHeight="false" outlineLevel="0" collapsed="false">
      <c r="A1411" s="26" t="n">
        <v>3550</v>
      </c>
      <c r="B1411" s="21" t="s">
        <v>430</v>
      </c>
      <c r="C1411" s="21" t="s">
        <v>431</v>
      </c>
      <c r="D1411" s="34"/>
      <c r="E1411" s="25" t="n">
        <v>45920</v>
      </c>
      <c r="F1411" s="25" t="n">
        <v>46143</v>
      </c>
      <c r="G1411" s="26" t="n">
        <v>160</v>
      </c>
      <c r="H1411" s="27" t="n">
        <v>160</v>
      </c>
      <c r="I1411" s="27" t="n">
        <v>0</v>
      </c>
      <c r="J1411" s="65" t="s">
        <v>1437</v>
      </c>
      <c r="K1411" s="45" t="n">
        <v>300000</v>
      </c>
      <c r="L1411" s="31" t="n">
        <v>864000</v>
      </c>
      <c r="M1411" s="37" t="n">
        <v>27000</v>
      </c>
      <c r="N1411" s="30" t="n">
        <v>58000</v>
      </c>
      <c r="O1411" s="30" t="n">
        <v>864000</v>
      </c>
      <c r="P1411" s="36" t="n">
        <v>0</v>
      </c>
      <c r="Q1411" s="302" t="n">
        <v>46181</v>
      </c>
    </row>
    <row r="1412" customFormat="false" ht="28.35" hidden="true" customHeight="false" outlineLevel="0" collapsed="false">
      <c r="A1412" s="26" t="n">
        <v>3409</v>
      </c>
      <c r="B1412" s="21" t="s">
        <v>430</v>
      </c>
      <c r="C1412" s="21" t="s">
        <v>431</v>
      </c>
      <c r="D1412" s="34"/>
      <c r="E1412" s="25" t="n">
        <v>45992</v>
      </c>
      <c r="F1412" s="25" t="n">
        <v>46160</v>
      </c>
      <c r="G1412" s="26" t="n">
        <v>120</v>
      </c>
      <c r="H1412" s="27" t="n">
        <v>120</v>
      </c>
      <c r="I1412" s="27" t="n">
        <v>0</v>
      </c>
      <c r="J1412" s="65" t="s">
        <v>434</v>
      </c>
      <c r="K1412" s="36" t="n">
        <v>150000</v>
      </c>
      <c r="L1412" s="36" t="n">
        <v>396000</v>
      </c>
      <c r="M1412" s="37" t="n">
        <v>16500</v>
      </c>
      <c r="N1412" s="30" t="n">
        <v>66000</v>
      </c>
      <c r="O1412" s="30" t="n">
        <v>396000</v>
      </c>
      <c r="P1412" s="36" t="n">
        <v>0</v>
      </c>
      <c r="Q1412" s="302" t="n">
        <v>46181</v>
      </c>
    </row>
    <row r="1413" customFormat="false" ht="28.35" hidden="true" customHeight="false" outlineLevel="0" collapsed="false">
      <c r="A1413" s="26" t="n">
        <v>3558</v>
      </c>
      <c r="B1413" s="21" t="s">
        <v>483</v>
      </c>
      <c r="C1413" s="21" t="s">
        <v>484</v>
      </c>
      <c r="D1413" s="34"/>
      <c r="E1413" s="25" t="n">
        <v>45854</v>
      </c>
      <c r="F1413" s="25" t="n">
        <v>46078</v>
      </c>
      <c r="G1413" s="26" t="n">
        <v>160</v>
      </c>
      <c r="H1413" s="27" t="n">
        <v>160.533333333333</v>
      </c>
      <c r="I1413" s="27" t="n">
        <v>-0.533333333333331</v>
      </c>
      <c r="J1413" s="35" t="s">
        <v>1438</v>
      </c>
      <c r="K1413" s="36" t="n">
        <v>150000</v>
      </c>
      <c r="L1413" s="36" t="n">
        <v>450000</v>
      </c>
      <c r="M1413" s="29" t="n">
        <v>14062.5</v>
      </c>
      <c r="N1413" s="30" t="n">
        <v>30000</v>
      </c>
      <c r="O1413" s="30" t="n">
        <v>451500</v>
      </c>
      <c r="P1413" s="36" t="n">
        <v>-1500</v>
      </c>
      <c r="Q1413" s="302" t="n">
        <v>46181</v>
      </c>
    </row>
    <row r="1414" customFormat="false" ht="21.6" hidden="true" customHeight="false" outlineLevel="0" collapsed="false">
      <c r="A1414" s="26" t="n">
        <v>3652</v>
      </c>
      <c r="B1414" s="21" t="s">
        <v>593</v>
      </c>
      <c r="C1414" s="21" t="s">
        <v>594</v>
      </c>
      <c r="D1414" s="34"/>
      <c r="E1414" s="25" t="n">
        <v>46076</v>
      </c>
      <c r="F1414" s="25" t="n">
        <v>46057</v>
      </c>
      <c r="G1414" s="26" t="n">
        <v>80</v>
      </c>
      <c r="H1414" s="27" t="n">
        <v>80</v>
      </c>
      <c r="I1414" s="27" t="n">
        <v>0</v>
      </c>
      <c r="J1414" s="35" t="s">
        <v>1001</v>
      </c>
      <c r="K1414" s="57" t="n">
        <v>50000</v>
      </c>
      <c r="L1414" s="36" t="n">
        <v>108000</v>
      </c>
      <c r="M1414" s="37" t="n">
        <v>6750</v>
      </c>
      <c r="N1414" s="30" t="n">
        <v>27000</v>
      </c>
      <c r="O1414" s="30" t="n">
        <v>108000</v>
      </c>
      <c r="P1414" s="36" t="n">
        <v>0</v>
      </c>
      <c r="Q1414" s="302" t="n">
        <v>46181</v>
      </c>
    </row>
    <row r="1415" customFormat="false" ht="14.9" hidden="true" customHeight="false" outlineLevel="0" collapsed="false">
      <c r="A1415" s="26" t="n">
        <v>3654</v>
      </c>
      <c r="B1415" s="21" t="s">
        <v>631</v>
      </c>
      <c r="C1415" s="21" t="s">
        <v>632</v>
      </c>
      <c r="D1415" s="34"/>
      <c r="E1415" s="25" t="n">
        <v>46076</v>
      </c>
      <c r="F1415" s="25" t="n">
        <v>46160</v>
      </c>
      <c r="G1415" s="26" t="n">
        <v>60</v>
      </c>
      <c r="H1415" s="27" t="n">
        <v>60</v>
      </c>
      <c r="I1415" s="27" t="n">
        <v>0</v>
      </c>
      <c r="J1415" s="35" t="s">
        <v>1439</v>
      </c>
      <c r="K1415" s="36" t="n">
        <v>300000</v>
      </c>
      <c r="L1415" s="36" t="n">
        <v>576000</v>
      </c>
      <c r="M1415" s="29" t="n">
        <v>48000</v>
      </c>
      <c r="N1415" s="30" t="n">
        <v>192000</v>
      </c>
      <c r="O1415" s="30" t="n">
        <v>576000</v>
      </c>
      <c r="P1415" s="36" t="n">
        <v>0</v>
      </c>
      <c r="Q1415" s="302" t="n">
        <v>46181</v>
      </c>
    </row>
    <row r="1416" customFormat="false" ht="21.6" hidden="true" customHeight="false" outlineLevel="0" collapsed="false">
      <c r="A1416" s="26" t="n">
        <v>3766</v>
      </c>
      <c r="B1416" s="21" t="s">
        <v>249</v>
      </c>
      <c r="C1416" s="21" t="s">
        <v>250</v>
      </c>
      <c r="D1416" s="34" t="n">
        <v>27252034574</v>
      </c>
      <c r="E1416" s="25" t="n">
        <v>46154</v>
      </c>
      <c r="F1416" s="25" t="n">
        <v>46189</v>
      </c>
      <c r="G1416" s="26" t="n">
        <v>25</v>
      </c>
      <c r="H1416" s="27" t="n">
        <v>25.15625</v>
      </c>
      <c r="I1416" s="27" t="n">
        <v>-0.15625</v>
      </c>
      <c r="J1416" s="22" t="s">
        <v>1440</v>
      </c>
      <c r="K1416" s="36" t="n">
        <v>200000</v>
      </c>
      <c r="L1416" s="36" t="n">
        <v>320000</v>
      </c>
      <c r="M1416" s="29" t="n">
        <v>64000</v>
      </c>
      <c r="N1416" s="30" t="n">
        <v>65000</v>
      </c>
      <c r="O1416" s="30" t="n">
        <v>322000</v>
      </c>
      <c r="P1416" s="36" t="n">
        <v>-2000</v>
      </c>
      <c r="Q1416" s="302" t="n">
        <v>46188</v>
      </c>
    </row>
    <row r="1417" customFormat="false" ht="14.9" hidden="true" customHeight="false" outlineLevel="0" collapsed="false">
      <c r="A1417" s="26" t="n">
        <v>3676</v>
      </c>
      <c r="B1417" s="21" t="s">
        <v>380</v>
      </c>
      <c r="C1417" s="21" t="s">
        <v>292</v>
      </c>
      <c r="D1417" s="34"/>
      <c r="E1417" s="25" t="n">
        <v>46091</v>
      </c>
      <c r="F1417" s="25" t="n">
        <v>46191</v>
      </c>
      <c r="G1417" s="26" t="n">
        <v>72</v>
      </c>
      <c r="H1417" s="27" t="n">
        <v>72</v>
      </c>
      <c r="I1417" s="27" t="n">
        <v>0</v>
      </c>
      <c r="J1417" s="22" t="s">
        <v>381</v>
      </c>
      <c r="K1417" s="31" t="n">
        <v>50000</v>
      </c>
      <c r="L1417" s="31" t="n">
        <v>108000</v>
      </c>
      <c r="M1417" s="29" t="n">
        <v>7500</v>
      </c>
      <c r="N1417" s="30" t="n">
        <v>4800</v>
      </c>
      <c r="O1417" s="30" t="n">
        <v>108000</v>
      </c>
      <c r="P1417" s="36" t="n">
        <v>0</v>
      </c>
      <c r="Q1417" s="302" t="n">
        <v>46188</v>
      </c>
    </row>
    <row r="1418" customFormat="false" ht="14.9" hidden="true" customHeight="false" outlineLevel="0" collapsed="false">
      <c r="A1418" s="26" t="n">
        <v>3679</v>
      </c>
      <c r="B1418" s="21" t="s">
        <v>380</v>
      </c>
      <c r="C1418" s="21" t="s">
        <v>292</v>
      </c>
      <c r="D1418" s="34"/>
      <c r="E1418" s="25" t="n">
        <v>46093</v>
      </c>
      <c r="F1418" s="25" t="n">
        <v>46191</v>
      </c>
      <c r="G1418" s="26" t="n">
        <v>70</v>
      </c>
      <c r="H1418" s="27" t="n">
        <v>70</v>
      </c>
      <c r="I1418" s="27" t="n">
        <v>0</v>
      </c>
      <c r="J1418" s="49" t="s">
        <v>1441</v>
      </c>
      <c r="K1418" s="31" t="n">
        <v>150000</v>
      </c>
      <c r="L1418" s="31" t="n">
        <v>324100</v>
      </c>
      <c r="M1418" s="37" t="n">
        <v>23150</v>
      </c>
      <c r="N1418" s="30" t="n">
        <v>47700</v>
      </c>
      <c r="O1418" s="30" t="n">
        <v>324100</v>
      </c>
      <c r="P1418" s="36" t="n">
        <v>0</v>
      </c>
      <c r="Q1418" s="302" t="n">
        <v>46188</v>
      </c>
    </row>
    <row r="1419" customFormat="false" ht="28.35" hidden="true" customHeight="false" outlineLevel="0" collapsed="false">
      <c r="A1419" s="26" t="n">
        <v>3655</v>
      </c>
      <c r="B1419" s="21" t="s">
        <v>404</v>
      </c>
      <c r="C1419" s="21" t="s">
        <v>405</v>
      </c>
      <c r="D1419" s="34" t="s">
        <v>406</v>
      </c>
      <c r="E1419" s="25" t="n">
        <v>46076</v>
      </c>
      <c r="F1419" s="25" t="n">
        <v>46176</v>
      </c>
      <c r="G1419" s="26" t="n">
        <v>72</v>
      </c>
      <c r="H1419" s="27" t="n">
        <v>72</v>
      </c>
      <c r="I1419" s="27" t="n">
        <v>0</v>
      </c>
      <c r="J1419" s="22" t="s">
        <v>244</v>
      </c>
      <c r="K1419" s="31" t="n">
        <v>200000</v>
      </c>
      <c r="L1419" s="31" t="n">
        <v>432000</v>
      </c>
      <c r="M1419" s="29" t="n">
        <v>30000</v>
      </c>
      <c r="N1419" s="30" t="n">
        <v>12000</v>
      </c>
      <c r="O1419" s="30" t="n">
        <v>432000</v>
      </c>
      <c r="P1419" s="36" t="n">
        <v>0</v>
      </c>
      <c r="Q1419" s="302" t="n">
        <v>46188</v>
      </c>
    </row>
    <row r="1420" customFormat="false" ht="21.6" hidden="true" customHeight="false" outlineLevel="0" collapsed="false">
      <c r="A1420" s="26" t="n">
        <v>3613</v>
      </c>
      <c r="B1420" s="21" t="s">
        <v>450</v>
      </c>
      <c r="C1420" s="21" t="s">
        <v>451</v>
      </c>
      <c r="D1420" s="34"/>
      <c r="E1420" s="25" t="n">
        <v>46044</v>
      </c>
      <c r="F1420" s="25" t="n">
        <v>46146</v>
      </c>
      <c r="G1420" s="26" t="n">
        <v>72</v>
      </c>
      <c r="H1420" s="27" t="n">
        <v>72</v>
      </c>
      <c r="I1420" s="27" t="n">
        <v>0</v>
      </c>
      <c r="J1420" s="22" t="s">
        <v>381</v>
      </c>
      <c r="K1420" s="46" t="n">
        <v>50000</v>
      </c>
      <c r="L1420" s="36" t="n">
        <v>108000</v>
      </c>
      <c r="M1420" s="29" t="n">
        <v>7500</v>
      </c>
      <c r="N1420" s="30" t="n">
        <v>10500</v>
      </c>
      <c r="O1420" s="30" t="n">
        <v>108000</v>
      </c>
      <c r="P1420" s="36" t="n">
        <v>0</v>
      </c>
      <c r="Q1420" s="302" t="n">
        <v>46188</v>
      </c>
    </row>
    <row r="1421" customFormat="false" ht="14.9" hidden="true" customHeight="false" outlineLevel="0" collapsed="false">
      <c r="A1421" s="26" t="n">
        <v>3727</v>
      </c>
      <c r="B1421" s="21" t="s">
        <v>631</v>
      </c>
      <c r="C1421" s="21" t="s">
        <v>632</v>
      </c>
      <c r="D1421" s="34"/>
      <c r="E1421" s="25" t="n">
        <v>46129</v>
      </c>
      <c r="F1421" s="25" t="n">
        <v>46213</v>
      </c>
      <c r="G1421" s="26" t="n">
        <v>60</v>
      </c>
      <c r="H1421" s="27" t="n">
        <v>10</v>
      </c>
      <c r="I1421" s="27" t="n">
        <v>50</v>
      </c>
      <c r="J1421" s="35" t="s">
        <v>1442</v>
      </c>
      <c r="K1421" s="36" t="n">
        <v>300000</v>
      </c>
      <c r="L1421" s="36" t="n">
        <v>420000</v>
      </c>
      <c r="M1421" s="37" t="n">
        <v>210000</v>
      </c>
      <c r="N1421" s="30" t="n">
        <v>12000</v>
      </c>
      <c r="O1421" s="30" t="n">
        <v>420000</v>
      </c>
      <c r="P1421" s="36" t="n">
        <v>0</v>
      </c>
      <c r="Q1421" s="302" t="n">
        <v>46188</v>
      </c>
    </row>
    <row r="1422" customFormat="false" ht="21.6" hidden="true" customHeight="false" outlineLevel="0" collapsed="false">
      <c r="A1422" s="26" t="n">
        <v>3382</v>
      </c>
      <c r="B1422" s="21" t="s">
        <v>744</v>
      </c>
      <c r="C1422" s="21" t="s">
        <v>745</v>
      </c>
      <c r="D1422" s="34"/>
      <c r="E1422" s="25" t="n">
        <v>46007</v>
      </c>
      <c r="F1422" s="25" t="n">
        <v>46107</v>
      </c>
      <c r="G1422" s="26" t="n">
        <v>72</v>
      </c>
      <c r="H1422" s="27" t="n">
        <v>72</v>
      </c>
      <c r="I1422" s="27" t="n">
        <v>0</v>
      </c>
      <c r="J1422" s="22" t="s">
        <v>381</v>
      </c>
      <c r="K1422" s="31" t="n">
        <v>50000</v>
      </c>
      <c r="L1422" s="31" t="n">
        <v>108000</v>
      </c>
      <c r="M1422" s="37" t="n">
        <v>7500</v>
      </c>
      <c r="N1422" s="30" t="n">
        <v>8200</v>
      </c>
      <c r="O1422" s="30" t="n">
        <v>108000</v>
      </c>
      <c r="P1422" s="36" t="n">
        <v>0</v>
      </c>
      <c r="Q1422" s="302" t="n">
        <v>46195</v>
      </c>
    </row>
    <row r="1423" customFormat="false" ht="14.9" hidden="true" customHeight="false" outlineLevel="0" collapsed="false">
      <c r="A1423" s="26" t="n">
        <v>3349</v>
      </c>
      <c r="B1423" s="21" t="s">
        <v>333</v>
      </c>
      <c r="C1423" s="21" t="s">
        <v>334</v>
      </c>
      <c r="D1423" s="34"/>
      <c r="E1423" s="25" t="n">
        <v>45897</v>
      </c>
      <c r="F1423" s="25" t="n">
        <v>46051</v>
      </c>
      <c r="G1423" s="26" t="n">
        <v>110</v>
      </c>
      <c r="H1423" s="27" t="n">
        <v>115</v>
      </c>
      <c r="I1423" s="27" t="n">
        <v>-5</v>
      </c>
      <c r="J1423" s="22" t="s">
        <v>1443</v>
      </c>
      <c r="K1423" s="31" t="n">
        <v>500000</v>
      </c>
      <c r="L1423" s="31" t="n">
        <v>1320000</v>
      </c>
      <c r="M1423" s="29" t="n">
        <v>60000</v>
      </c>
      <c r="N1423" s="30" t="n">
        <v>50000</v>
      </c>
      <c r="O1423" s="30" t="n">
        <v>1380000</v>
      </c>
      <c r="P1423" s="36" t="n">
        <v>-60000</v>
      </c>
      <c r="Q1423" s="302" t="n">
        <v>46195</v>
      </c>
    </row>
    <row r="1424" customFormat="false" ht="14.9" hidden="true" customHeight="false" outlineLevel="0" collapsed="false">
      <c r="A1424" s="26" t="n">
        <v>3265</v>
      </c>
      <c r="B1424" s="21" t="s">
        <v>336</v>
      </c>
      <c r="C1424" s="21" t="s">
        <v>337</v>
      </c>
      <c r="D1424" s="34"/>
      <c r="E1424" s="25" t="n">
        <v>46029</v>
      </c>
      <c r="F1424" s="25" t="n">
        <v>46141</v>
      </c>
      <c r="G1424" s="26" t="n">
        <v>80</v>
      </c>
      <c r="H1424" s="27" t="n">
        <v>80</v>
      </c>
      <c r="I1424" s="27" t="n">
        <v>0</v>
      </c>
      <c r="J1424" s="35" t="s">
        <v>954</v>
      </c>
      <c r="K1424" s="36" t="n">
        <v>20000</v>
      </c>
      <c r="L1424" s="36" t="n">
        <v>43200</v>
      </c>
      <c r="M1424" s="29" t="n">
        <v>2700</v>
      </c>
      <c r="N1424" s="30" t="n">
        <v>10800</v>
      </c>
      <c r="O1424" s="30" t="n">
        <v>43200</v>
      </c>
      <c r="P1424" s="36" t="n">
        <v>0</v>
      </c>
      <c r="Q1424" s="302" t="n">
        <v>46195</v>
      </c>
    </row>
    <row r="1425" customFormat="false" ht="14.9" hidden="true" customHeight="false" outlineLevel="0" collapsed="false">
      <c r="A1425" s="26" t="n">
        <v>3619</v>
      </c>
      <c r="B1425" s="21" t="s">
        <v>336</v>
      </c>
      <c r="C1425" s="21" t="s">
        <v>337</v>
      </c>
      <c r="D1425" s="34"/>
      <c r="E1425" s="25" t="n">
        <v>46048</v>
      </c>
      <c r="F1425" s="25" t="n">
        <v>46160</v>
      </c>
      <c r="G1425" s="26" t="n">
        <v>80</v>
      </c>
      <c r="H1425" s="27" t="n">
        <v>80</v>
      </c>
      <c r="I1425" s="27" t="n">
        <v>0</v>
      </c>
      <c r="J1425" s="35" t="s">
        <v>1444</v>
      </c>
      <c r="K1425" s="36" t="n">
        <v>30000</v>
      </c>
      <c r="L1425" s="36" t="n">
        <v>64800</v>
      </c>
      <c r="M1425" s="29" t="n">
        <v>4050</v>
      </c>
      <c r="N1425" s="30" t="n">
        <v>16200</v>
      </c>
      <c r="O1425" s="30" t="n">
        <v>64800</v>
      </c>
      <c r="P1425" s="36" t="n">
        <v>0</v>
      </c>
      <c r="Q1425" s="302" t="n">
        <v>46195</v>
      </c>
    </row>
    <row r="1426" customFormat="false" ht="14.9" hidden="true" customHeight="false" outlineLevel="0" collapsed="false">
      <c r="A1426" s="26" t="n">
        <v>3643</v>
      </c>
      <c r="B1426" s="21" t="s">
        <v>336</v>
      </c>
      <c r="C1426" s="21" t="s">
        <v>337</v>
      </c>
      <c r="D1426" s="34"/>
      <c r="E1426" s="25" t="n">
        <v>46069</v>
      </c>
      <c r="F1426" s="25" t="n">
        <v>46181</v>
      </c>
      <c r="G1426" s="26" t="n">
        <v>80</v>
      </c>
      <c r="H1426" s="27" t="n">
        <v>80</v>
      </c>
      <c r="I1426" s="27" t="n">
        <v>0</v>
      </c>
      <c r="J1426" s="35" t="s">
        <v>1445</v>
      </c>
      <c r="K1426" s="36" t="n">
        <v>40000</v>
      </c>
      <c r="L1426" s="36" t="n">
        <v>86400</v>
      </c>
      <c r="M1426" s="29" t="n">
        <v>5400</v>
      </c>
      <c r="N1426" s="30" t="n">
        <v>21600</v>
      </c>
      <c r="O1426" s="30" t="n">
        <v>86400</v>
      </c>
      <c r="P1426" s="36" t="n">
        <v>0</v>
      </c>
      <c r="Q1426" s="302" t="n">
        <v>46195</v>
      </c>
    </row>
    <row r="1427" customFormat="false" ht="14.9" hidden="true" customHeight="false" outlineLevel="0" collapsed="false">
      <c r="A1427" s="26" t="n">
        <v>3660</v>
      </c>
      <c r="B1427" s="21" t="s">
        <v>336</v>
      </c>
      <c r="C1427" s="21" t="s">
        <v>337</v>
      </c>
      <c r="D1427" s="34"/>
      <c r="E1427" s="25" t="n">
        <v>46079</v>
      </c>
      <c r="F1427" s="25" t="n">
        <v>46191</v>
      </c>
      <c r="G1427" s="26" t="n">
        <v>80</v>
      </c>
      <c r="H1427" s="27" t="n">
        <v>80</v>
      </c>
      <c r="I1427" s="27" t="n">
        <v>0</v>
      </c>
      <c r="J1427" s="35" t="s">
        <v>338</v>
      </c>
      <c r="K1427" s="36" t="n">
        <v>50000</v>
      </c>
      <c r="L1427" s="36" t="n">
        <v>108000</v>
      </c>
      <c r="M1427" s="37" t="n">
        <v>6750</v>
      </c>
      <c r="N1427" s="30" t="n">
        <v>27000</v>
      </c>
      <c r="O1427" s="30" t="n">
        <v>108000</v>
      </c>
      <c r="P1427" s="36" t="n">
        <v>0</v>
      </c>
      <c r="Q1427" s="302" t="n">
        <v>46195</v>
      </c>
    </row>
    <row r="1428" customFormat="false" ht="19.4" hidden="true" customHeight="false" outlineLevel="0" collapsed="false">
      <c r="A1428" s="26" t="n">
        <v>3407</v>
      </c>
      <c r="B1428" s="21" t="s">
        <v>416</v>
      </c>
      <c r="C1428" s="21" t="s">
        <v>417</v>
      </c>
      <c r="D1428" s="34" t="n">
        <v>13589728</v>
      </c>
      <c r="E1428" s="25" t="n">
        <v>45880</v>
      </c>
      <c r="F1428" s="25" t="n">
        <v>46160</v>
      </c>
      <c r="G1428" s="26" t="n">
        <v>200</v>
      </c>
      <c r="H1428" s="27" t="n">
        <v>200</v>
      </c>
      <c r="I1428" s="27" t="n">
        <v>0</v>
      </c>
      <c r="J1428" s="35" t="s">
        <v>1446</v>
      </c>
      <c r="K1428" s="46" t="n">
        <v>800000</v>
      </c>
      <c r="L1428" s="36" t="n">
        <v>2496000</v>
      </c>
      <c r="M1428" s="29" t="n">
        <v>62400</v>
      </c>
      <c r="N1428" s="30" t="n">
        <v>252000</v>
      </c>
      <c r="O1428" s="30" t="n">
        <v>2496000</v>
      </c>
      <c r="P1428" s="36" t="n">
        <v>0</v>
      </c>
      <c r="Q1428" s="302" t="n">
        <v>46195</v>
      </c>
    </row>
    <row r="1429" customFormat="false" ht="19.4" hidden="true" customHeight="false" outlineLevel="0" collapsed="false">
      <c r="A1429" s="26" t="n">
        <v>3773</v>
      </c>
      <c r="B1429" s="21" t="s">
        <v>1106</v>
      </c>
      <c r="C1429" s="21" t="s">
        <v>489</v>
      </c>
      <c r="D1429" s="34"/>
      <c r="E1429" s="25" t="n">
        <v>46163</v>
      </c>
      <c r="F1429" s="25" t="n">
        <v>46191</v>
      </c>
      <c r="G1429" s="26" t="n">
        <v>20</v>
      </c>
      <c r="H1429" s="27" t="e">
        <f aca="false">#DIV/0!</f>
        <v>#DIV/0!</v>
      </c>
      <c r="I1429" s="27" t="e">
        <f aca="false">#DIV/0!</f>
        <v>#DIV/0!</v>
      </c>
      <c r="J1429" s="35" t="s">
        <v>490</v>
      </c>
      <c r="K1429" s="31" t="n">
        <v>50000</v>
      </c>
      <c r="L1429" s="31" t="n">
        <v>75000</v>
      </c>
      <c r="M1429" s="29"/>
      <c r="N1429" s="30" t="n">
        <v>75000</v>
      </c>
      <c r="O1429" s="30" t="n">
        <v>75000</v>
      </c>
      <c r="P1429" s="36" t="n">
        <v>0</v>
      </c>
      <c r="Q1429" s="302" t="n">
        <v>46195</v>
      </c>
    </row>
    <row r="1430" customFormat="false" ht="19.4" hidden="true" customHeight="false" outlineLevel="0" collapsed="false">
      <c r="A1430" s="26" t="n">
        <v>3774</v>
      </c>
      <c r="B1430" s="21" t="s">
        <v>488</v>
      </c>
      <c r="C1430" s="21" t="s">
        <v>489</v>
      </c>
      <c r="D1430" s="34"/>
      <c r="E1430" s="25" t="n">
        <v>46163</v>
      </c>
      <c r="F1430" s="25" t="n">
        <v>46191</v>
      </c>
      <c r="G1430" s="26" t="n">
        <v>20</v>
      </c>
      <c r="H1430" s="27" t="e">
        <f aca="false">#DIV/0!</f>
        <v>#DIV/0!</v>
      </c>
      <c r="I1430" s="27" t="e">
        <f aca="false">#DIV/0!</f>
        <v>#DIV/0!</v>
      </c>
      <c r="J1430" s="35" t="s">
        <v>490</v>
      </c>
      <c r="K1430" s="36" t="n">
        <v>50000</v>
      </c>
      <c r="L1430" s="36" t="n">
        <v>75000</v>
      </c>
      <c r="M1430" s="29"/>
      <c r="N1430" s="30" t="n">
        <v>75000</v>
      </c>
      <c r="O1430" s="30" t="n">
        <v>75000</v>
      </c>
      <c r="P1430" s="36" t="n">
        <v>0</v>
      </c>
      <c r="Q1430" s="302" t="n">
        <v>46195</v>
      </c>
    </row>
    <row r="1431" customFormat="false" ht="14.9" hidden="false" customHeight="false" outlineLevel="0" collapsed="false">
      <c r="A1431" s="26" t="n">
        <v>3454</v>
      </c>
      <c r="B1431" s="21" t="s">
        <v>1447</v>
      </c>
      <c r="C1431" s="21" t="s">
        <v>569</v>
      </c>
      <c r="D1431" s="34"/>
      <c r="E1431" s="25" t="n">
        <v>45789</v>
      </c>
      <c r="F1431" s="25" t="n">
        <v>45943</v>
      </c>
      <c r="G1431" s="26" t="n">
        <v>110</v>
      </c>
      <c r="H1431" s="27" t="n">
        <v>110</v>
      </c>
      <c r="I1431" s="27" t="n">
        <v>0</v>
      </c>
      <c r="J1431" s="22" t="s">
        <v>1270</v>
      </c>
      <c r="K1431" s="57" t="n">
        <v>150000</v>
      </c>
      <c r="L1431" s="36" t="n">
        <v>396000</v>
      </c>
      <c r="M1431" s="37" t="n">
        <v>18000</v>
      </c>
      <c r="N1431" s="30" t="n">
        <v>36000</v>
      </c>
      <c r="O1431" s="30" t="n">
        <v>396000</v>
      </c>
      <c r="P1431" s="36" t="n">
        <v>0</v>
      </c>
      <c r="Q1431" s="302" t="n">
        <v>46195</v>
      </c>
    </row>
    <row r="1432" customFormat="false" ht="14.9" hidden="true" customHeight="false" outlineLevel="0" collapsed="false">
      <c r="A1432" s="26" t="n">
        <v>3784</v>
      </c>
      <c r="B1432" s="21" t="s">
        <v>578</v>
      </c>
      <c r="C1432" s="21" t="s">
        <v>579</v>
      </c>
      <c r="D1432" s="34"/>
      <c r="E1432" s="25" t="n">
        <v>46170</v>
      </c>
      <c r="F1432" s="25" t="n">
        <v>46064</v>
      </c>
      <c r="G1432" s="26" t="n">
        <v>18</v>
      </c>
      <c r="H1432" s="27" t="e">
        <f aca="false">#DIV/0!</f>
        <v>#DIV/0!</v>
      </c>
      <c r="I1432" s="27" t="e">
        <f aca="false">#DIV/0!</f>
        <v>#DIV/0!</v>
      </c>
      <c r="J1432" s="22" t="s">
        <v>580</v>
      </c>
      <c r="K1432" s="31" t="n">
        <v>250000</v>
      </c>
      <c r="L1432" s="31" t="n">
        <v>350000</v>
      </c>
      <c r="M1432" s="29"/>
      <c r="N1432" s="30" t="n">
        <v>350000</v>
      </c>
      <c r="O1432" s="30" t="n">
        <v>350000</v>
      </c>
      <c r="P1432" s="36" t="n">
        <v>0</v>
      </c>
      <c r="Q1432" s="302" t="n">
        <v>46195</v>
      </c>
    </row>
  </sheetData>
  <autoFilter ref="A1:XDA1432">
    <filterColumn colId="1">
      <filters>
        <filter val="ROMERO ROXANA EDITH"/>
        <filter val="ROMERO ROXANA EDITH(alejandro)"/>
        <filter val="ROMERO ROXANA EDITH-nuera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312" activePane="bottomLeft" state="frozen"/>
      <selection pane="topLeft" activeCell="A1" activeCellId="0" sqref="A1"/>
      <selection pane="bottomLeft" activeCell="C324" activeCellId="0" sqref="C324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2" min="2" style="0" width="15.33"/>
    <col collapsed="false" customWidth="true" hidden="false" outlineLevel="0" max="3" min="3" style="0" width="14.44"/>
    <col collapsed="false" customWidth="true" hidden="false" outlineLevel="0" max="4" min="4" style="0" width="9.11"/>
    <col collapsed="false" customWidth="true" hidden="false" outlineLevel="0" max="5" min="5" style="0" width="14.44"/>
    <col collapsed="false" customWidth="true" hidden="false" outlineLevel="0" max="6" min="6" style="0" width="15.33"/>
    <col collapsed="false" customWidth="true" hidden="false" outlineLevel="0" max="7" min="7" style="0" width="14.11"/>
    <col collapsed="false" customWidth="true" hidden="false" outlineLevel="0" max="9" min="9" style="0" width="15"/>
  </cols>
  <sheetData>
    <row r="1" customFormat="false" ht="14.25" hidden="false" customHeight="false" outlineLevel="0" collapsed="false">
      <c r="A1" s="403" t="s">
        <v>1448</v>
      </c>
      <c r="B1" s="403" t="s">
        <v>1449</v>
      </c>
      <c r="C1" s="403" t="s">
        <v>1450</v>
      </c>
      <c r="D1" s="404" t="s">
        <v>652</v>
      </c>
      <c r="E1" s="403" t="s">
        <v>1451</v>
      </c>
      <c r="F1" s="403" t="s">
        <v>1452</v>
      </c>
      <c r="G1" s="403" t="s">
        <v>1453</v>
      </c>
      <c r="H1" s="403" t="s">
        <v>1454</v>
      </c>
      <c r="I1" s="403" t="s">
        <v>1455</v>
      </c>
      <c r="J1" s="403"/>
      <c r="K1" s="403"/>
      <c r="L1" s="403"/>
    </row>
    <row r="2" customFormat="false" ht="14.25" hidden="false" customHeight="false" outlineLevel="0" collapsed="false">
      <c r="A2" s="405" t="s">
        <v>1456</v>
      </c>
      <c r="B2" s="0" t="n">
        <v>159</v>
      </c>
      <c r="C2" s="0" t="n">
        <v>38710</v>
      </c>
    </row>
    <row r="3" customFormat="false" ht="14.25" hidden="false" customHeight="false" outlineLevel="0" collapsed="false">
      <c r="A3" s="405" t="s">
        <v>1457</v>
      </c>
      <c r="B3" s="0" t="n">
        <v>162</v>
      </c>
      <c r="C3" s="0" t="n">
        <v>49385</v>
      </c>
    </row>
    <row r="4" customFormat="false" ht="14.25" hidden="false" customHeight="false" outlineLevel="0" collapsed="false">
      <c r="A4" s="405" t="s">
        <v>1458</v>
      </c>
      <c r="B4" s="0" t="n">
        <v>156</v>
      </c>
      <c r="C4" s="0" t="n">
        <v>38520</v>
      </c>
    </row>
    <row r="5" customFormat="false" ht="14.25" hidden="false" customHeight="false" outlineLevel="0" collapsed="false">
      <c r="A5" s="405" t="s">
        <v>1459</v>
      </c>
      <c r="B5" s="0" t="n">
        <v>156</v>
      </c>
      <c r="C5" s="0" t="n">
        <v>30100</v>
      </c>
    </row>
    <row r="6" customFormat="false" ht="14.25" hidden="false" customHeight="false" outlineLevel="0" collapsed="false">
      <c r="A6" s="405" t="s">
        <v>1460</v>
      </c>
      <c r="B6" s="0" t="n">
        <v>156</v>
      </c>
      <c r="C6" s="0" t="n">
        <v>51315</v>
      </c>
    </row>
    <row r="7" customFormat="false" ht="14.25" hidden="false" customHeight="false" outlineLevel="0" collapsed="false">
      <c r="A7" s="405" t="s">
        <v>1461</v>
      </c>
      <c r="B7" s="0" t="n">
        <v>145</v>
      </c>
      <c r="C7" s="0" t="n">
        <v>61520</v>
      </c>
    </row>
    <row r="8" customFormat="false" ht="14.25" hidden="false" customHeight="false" outlineLevel="0" collapsed="false">
      <c r="A8" s="405" t="s">
        <v>1462</v>
      </c>
      <c r="B8" s="0" t="n">
        <v>147</v>
      </c>
      <c r="C8" s="0" t="n">
        <v>58260</v>
      </c>
      <c r="D8" s="0" t="n">
        <v>47.53</v>
      </c>
    </row>
    <row r="9" customFormat="false" ht="14.25" hidden="false" customHeight="false" outlineLevel="0" collapsed="false">
      <c r="A9" s="405" t="s">
        <v>1463</v>
      </c>
      <c r="B9" s="0" t="n">
        <v>141</v>
      </c>
      <c r="C9" s="0" t="n">
        <v>47680</v>
      </c>
      <c r="D9" s="0" t="n">
        <v>38.5</v>
      </c>
    </row>
    <row r="10" customFormat="false" ht="14.25" hidden="false" customHeight="false" outlineLevel="0" collapsed="false">
      <c r="A10" s="405" t="s">
        <v>1464</v>
      </c>
      <c r="B10" s="0" t="n">
        <v>139</v>
      </c>
      <c r="C10" s="0" t="n">
        <v>52320</v>
      </c>
      <c r="D10" s="0" t="n">
        <v>42.07</v>
      </c>
    </row>
    <row r="11" customFormat="false" ht="14.25" hidden="false" customHeight="false" outlineLevel="0" collapsed="false">
      <c r="A11" s="405" t="s">
        <v>1465</v>
      </c>
      <c r="B11" s="0" t="n">
        <v>140</v>
      </c>
      <c r="C11" s="0" t="n">
        <v>62290</v>
      </c>
      <c r="D11" s="0" t="n">
        <v>51.47</v>
      </c>
    </row>
    <row r="12" customFormat="false" ht="14.25" hidden="false" customHeight="false" outlineLevel="0" collapsed="false">
      <c r="A12" s="405" t="s">
        <v>1466</v>
      </c>
      <c r="B12" s="0" t="n">
        <v>137</v>
      </c>
      <c r="C12" s="0" t="n">
        <v>58200</v>
      </c>
      <c r="D12" s="0" t="n">
        <v>48.63</v>
      </c>
    </row>
    <row r="13" customFormat="false" ht="14.25" hidden="false" customHeight="false" outlineLevel="0" collapsed="false">
      <c r="A13" s="405" t="s">
        <v>1467</v>
      </c>
      <c r="B13" s="0" t="n">
        <v>140</v>
      </c>
      <c r="C13" s="0" t="n">
        <v>63200</v>
      </c>
      <c r="D13" s="0" t="n">
        <v>52</v>
      </c>
    </row>
    <row r="14" customFormat="false" ht="14.25" hidden="false" customHeight="false" outlineLevel="0" collapsed="false">
      <c r="A14" s="405" t="s">
        <v>1468</v>
      </c>
      <c r="B14" s="0" t="n">
        <v>137</v>
      </c>
      <c r="C14" s="0" t="n">
        <v>80920</v>
      </c>
      <c r="D14" s="0" t="n">
        <v>67.68</v>
      </c>
    </row>
    <row r="15" customFormat="false" ht="14.25" hidden="false" customHeight="false" outlineLevel="0" collapsed="false">
      <c r="A15" s="405" t="s">
        <v>1469</v>
      </c>
      <c r="B15" s="0" t="n">
        <v>138</v>
      </c>
      <c r="C15" s="0" t="n">
        <v>63365</v>
      </c>
      <c r="D15" s="0" t="n">
        <v>52.33</v>
      </c>
    </row>
    <row r="16" customFormat="false" ht="14.25" hidden="false" customHeight="false" outlineLevel="0" collapsed="false">
      <c r="A16" s="405" t="s">
        <v>1470</v>
      </c>
      <c r="B16" s="0" t="n">
        <v>137</v>
      </c>
      <c r="C16" s="0" t="n">
        <v>87380</v>
      </c>
      <c r="D16" s="0" t="n">
        <v>71.8</v>
      </c>
    </row>
    <row r="17" customFormat="false" ht="14.25" hidden="false" customHeight="false" outlineLevel="0" collapsed="false">
      <c r="A17" s="405" t="s">
        <v>1471</v>
      </c>
      <c r="B17" s="0" t="n">
        <v>141</v>
      </c>
      <c r="C17" s="0" t="n">
        <v>86620</v>
      </c>
      <c r="D17" s="0" t="n">
        <v>69.93</v>
      </c>
    </row>
    <row r="18" customFormat="false" ht="14.25" hidden="false" customHeight="false" outlineLevel="0" collapsed="false">
      <c r="A18" s="405" t="s">
        <v>1472</v>
      </c>
      <c r="B18" s="0" t="n">
        <v>137</v>
      </c>
      <c r="C18" s="0" t="n">
        <v>44670</v>
      </c>
      <c r="D18" s="0" t="n">
        <v>37.14</v>
      </c>
    </row>
    <row r="19" customFormat="false" ht="14.25" hidden="false" customHeight="false" outlineLevel="0" collapsed="false">
      <c r="A19" s="405" t="s">
        <v>1473</v>
      </c>
      <c r="B19" s="0" t="n">
        <v>137</v>
      </c>
      <c r="C19" s="0" t="n">
        <v>74950</v>
      </c>
      <c r="D19" s="0" t="n">
        <v>58.89</v>
      </c>
    </row>
    <row r="20" customFormat="false" ht="14.25" hidden="false" customHeight="false" outlineLevel="0" collapsed="false">
      <c r="A20" s="405" t="s">
        <v>1474</v>
      </c>
      <c r="B20" s="0" t="n">
        <v>136</v>
      </c>
      <c r="C20" s="0" t="n">
        <v>92190</v>
      </c>
      <c r="D20" s="0" t="n">
        <v>74.19</v>
      </c>
    </row>
    <row r="21" customFormat="false" ht="14.25" hidden="false" customHeight="false" outlineLevel="0" collapsed="false">
      <c r="A21" s="405" t="s">
        <v>1475</v>
      </c>
      <c r="B21" s="0" t="n">
        <v>136</v>
      </c>
      <c r="C21" s="0" t="n">
        <v>90850</v>
      </c>
      <c r="D21" s="0" t="n">
        <v>72.22</v>
      </c>
    </row>
    <row r="22" customFormat="false" ht="14.25" hidden="false" customHeight="false" outlineLevel="0" collapsed="false">
      <c r="A22" s="405" t="s">
        <v>1476</v>
      </c>
      <c r="B22" s="0" t="n">
        <v>129</v>
      </c>
      <c r="C22" s="0" t="n">
        <v>64965</v>
      </c>
      <c r="D22" s="0" t="n">
        <v>53.3</v>
      </c>
    </row>
    <row r="23" customFormat="false" ht="14.25" hidden="false" customHeight="false" outlineLevel="0" collapsed="false">
      <c r="A23" s="405" t="s">
        <v>1477</v>
      </c>
      <c r="B23" s="0" t="n">
        <v>134</v>
      </c>
      <c r="C23" s="0" t="n">
        <v>52860</v>
      </c>
      <c r="D23" s="0" t="n">
        <v>42.26</v>
      </c>
    </row>
    <row r="24" customFormat="false" ht="14.25" hidden="false" customHeight="false" outlineLevel="0" collapsed="false">
      <c r="A24" s="405" t="s">
        <v>1478</v>
      </c>
      <c r="B24" s="0" t="n">
        <v>136</v>
      </c>
      <c r="C24" s="0" t="n">
        <v>106170</v>
      </c>
      <c r="D24" s="0" t="n">
        <v>83.25</v>
      </c>
    </row>
    <row r="25" customFormat="false" ht="14.25" hidden="false" customHeight="false" outlineLevel="0" collapsed="false">
      <c r="A25" s="405" t="s">
        <v>1479</v>
      </c>
      <c r="B25" s="0" t="n">
        <v>138</v>
      </c>
      <c r="C25" s="0" t="n">
        <v>87790</v>
      </c>
      <c r="D25" s="0" t="n">
        <v>67.84</v>
      </c>
    </row>
    <row r="26" customFormat="false" ht="14.25" hidden="false" customHeight="false" outlineLevel="0" collapsed="false">
      <c r="A26" s="405" t="s">
        <v>1480</v>
      </c>
      <c r="B26" s="0" t="n">
        <v>136</v>
      </c>
      <c r="C26" s="0" t="n">
        <v>53375</v>
      </c>
      <c r="D26" s="0" t="n">
        <v>41.52</v>
      </c>
    </row>
    <row r="27" customFormat="false" ht="14.25" hidden="false" customHeight="false" outlineLevel="0" collapsed="false">
      <c r="A27" s="405" t="s">
        <v>1481</v>
      </c>
      <c r="B27" s="0" t="n">
        <v>131</v>
      </c>
      <c r="C27" s="0" t="n">
        <v>62780</v>
      </c>
      <c r="D27" s="0" t="n">
        <v>50.48</v>
      </c>
    </row>
    <row r="28" customFormat="false" ht="14.25" hidden="false" customHeight="false" outlineLevel="0" collapsed="false">
      <c r="A28" s="405" t="s">
        <v>1482</v>
      </c>
      <c r="B28" s="0" t="n">
        <v>135</v>
      </c>
      <c r="C28" s="0" t="n">
        <v>79345</v>
      </c>
      <c r="D28" s="0" t="n">
        <v>60.38</v>
      </c>
    </row>
    <row r="29" customFormat="false" ht="14.25" hidden="false" customHeight="false" outlineLevel="0" collapsed="false">
      <c r="A29" s="405" t="s">
        <v>1483</v>
      </c>
      <c r="B29" s="0" t="n">
        <v>133</v>
      </c>
      <c r="C29" s="0" t="n">
        <v>86380</v>
      </c>
      <c r="D29" s="0" t="n">
        <v>66.54</v>
      </c>
      <c r="E29" s="0" t="n">
        <v>57.352</v>
      </c>
    </row>
    <row r="30" customFormat="false" ht="14.25" hidden="false" customHeight="false" outlineLevel="0" collapsed="false">
      <c r="A30" s="405" t="s">
        <v>1484</v>
      </c>
      <c r="B30" s="0" t="n">
        <v>133</v>
      </c>
      <c r="C30" s="0" t="n">
        <v>107180</v>
      </c>
      <c r="D30" s="0" t="n">
        <v>82.72</v>
      </c>
      <c r="E30" s="0" t="n">
        <v>60.328</v>
      </c>
    </row>
    <row r="31" customFormat="false" ht="14.25" hidden="false" customHeight="false" outlineLevel="0" collapsed="false">
      <c r="A31" s="405" t="s">
        <v>1485</v>
      </c>
      <c r="B31" s="0" t="n">
        <v>135</v>
      </c>
      <c r="C31" s="0" t="n">
        <v>72910</v>
      </c>
      <c r="D31" s="0" t="n">
        <v>55.2</v>
      </c>
      <c r="E31" s="0" t="n">
        <v>63.64</v>
      </c>
    </row>
    <row r="32" customFormat="false" ht="14.25" hidden="false" customHeight="false" outlineLevel="0" collapsed="false">
      <c r="A32" s="405" t="s">
        <v>1486</v>
      </c>
      <c r="B32" s="0" t="n">
        <v>137</v>
      </c>
      <c r="C32" s="0" t="n">
        <v>108660</v>
      </c>
      <c r="D32" s="0" t="n">
        <v>79.46</v>
      </c>
      <c r="E32" s="0" t="n">
        <v>68.86</v>
      </c>
    </row>
    <row r="33" customFormat="false" ht="14.25" hidden="false" customHeight="false" outlineLevel="0" collapsed="false">
      <c r="A33" s="405" t="s">
        <v>1487</v>
      </c>
      <c r="B33" s="0" t="n">
        <v>134</v>
      </c>
      <c r="C33" s="0" t="n">
        <v>88420</v>
      </c>
      <c r="D33" s="0" t="n">
        <v>63.44</v>
      </c>
      <c r="E33" s="0" t="n">
        <v>69.472</v>
      </c>
    </row>
    <row r="34" customFormat="false" ht="14.25" hidden="false" customHeight="false" outlineLevel="0" collapsed="false">
      <c r="A34" s="405" t="s">
        <v>1488</v>
      </c>
      <c r="B34" s="0" t="n">
        <v>135</v>
      </c>
      <c r="C34" s="0" t="n">
        <v>93690</v>
      </c>
      <c r="D34" s="0" t="n">
        <v>67.15</v>
      </c>
      <c r="E34" s="0" t="n">
        <v>69.594</v>
      </c>
    </row>
    <row r="35" customFormat="false" ht="14.25" hidden="false" customHeight="false" outlineLevel="0" collapsed="false">
      <c r="A35" s="405" t="s">
        <v>1489</v>
      </c>
      <c r="B35" s="0" t="n">
        <v>141</v>
      </c>
      <c r="C35" s="0" t="n">
        <v>115420</v>
      </c>
      <c r="D35" s="0" t="n">
        <v>79.82</v>
      </c>
      <c r="E35" s="0" t="n">
        <v>69.014</v>
      </c>
    </row>
    <row r="36" customFormat="false" ht="14.25" hidden="false" customHeight="false" outlineLevel="0" collapsed="false">
      <c r="A36" s="405" t="s">
        <v>1490</v>
      </c>
      <c r="B36" s="0" t="n">
        <v>137</v>
      </c>
      <c r="C36" s="0" t="n">
        <v>52490</v>
      </c>
      <c r="D36" s="0" t="n">
        <v>36.14</v>
      </c>
      <c r="E36" s="0" t="n">
        <v>65.02</v>
      </c>
    </row>
    <row r="37" customFormat="false" ht="14.25" hidden="false" customHeight="false" outlineLevel="0" collapsed="false">
      <c r="A37" s="406" t="s">
        <v>1491</v>
      </c>
      <c r="B37" s="0" t="n">
        <v>136</v>
      </c>
      <c r="C37" s="0" t="n">
        <v>104410</v>
      </c>
      <c r="D37" s="0" t="n">
        <v>71.98</v>
      </c>
      <c r="E37" s="0" t="n">
        <v>63.706</v>
      </c>
    </row>
    <row r="38" customFormat="false" ht="14.25" hidden="false" customHeight="false" outlineLevel="0" collapsed="false">
      <c r="A38" s="406" t="s">
        <v>1492</v>
      </c>
      <c r="B38" s="0" t="n">
        <v>141</v>
      </c>
      <c r="C38" s="0" t="n">
        <v>128490</v>
      </c>
      <c r="D38" s="0" t="n">
        <v>83.18</v>
      </c>
      <c r="E38" s="0" t="n">
        <v>67.654</v>
      </c>
    </row>
    <row r="39" customFormat="false" ht="14.25" hidden="false" customHeight="false" outlineLevel="0" collapsed="false">
      <c r="A39" s="406" t="s">
        <v>1493</v>
      </c>
      <c r="B39" s="0" t="n">
        <v>142</v>
      </c>
      <c r="C39" s="0" t="n">
        <v>97990</v>
      </c>
      <c r="D39" s="0" t="n">
        <v>62.67</v>
      </c>
      <c r="E39" s="0" t="n">
        <v>66.758</v>
      </c>
    </row>
    <row r="40" customFormat="false" ht="14.25" hidden="false" customHeight="false" outlineLevel="0" collapsed="false">
      <c r="A40" s="406" t="s">
        <v>1494</v>
      </c>
      <c r="B40" s="0" t="n">
        <v>141</v>
      </c>
      <c r="C40" s="0" t="n">
        <v>83850</v>
      </c>
      <c r="D40" s="0" t="n">
        <v>54.13</v>
      </c>
      <c r="E40" s="0" t="n">
        <v>61.62</v>
      </c>
    </row>
    <row r="41" customFormat="false" ht="14.25" hidden="false" customHeight="false" outlineLevel="0" collapsed="false">
      <c r="A41" s="406" t="s">
        <v>1495</v>
      </c>
      <c r="B41" s="0" t="n">
        <v>141</v>
      </c>
      <c r="C41" s="0" t="n">
        <v>83480</v>
      </c>
      <c r="D41" s="0" t="n">
        <v>53.23</v>
      </c>
      <c r="E41" s="0" t="n">
        <v>65.038</v>
      </c>
    </row>
    <row r="42" customFormat="false" ht="14.25" hidden="false" customHeight="false" outlineLevel="0" collapsed="false">
      <c r="A42" s="406" t="s">
        <v>1496</v>
      </c>
      <c r="B42" s="0" t="n">
        <v>144</v>
      </c>
      <c r="C42" s="0" t="n">
        <v>106670</v>
      </c>
      <c r="D42" s="0" t="n">
        <v>66.73</v>
      </c>
      <c r="E42" s="0" t="n">
        <v>63.988</v>
      </c>
    </row>
    <row r="43" customFormat="false" ht="14.25" hidden="false" customHeight="false" outlineLevel="0" collapsed="false">
      <c r="A43" s="406" t="s">
        <v>1497</v>
      </c>
      <c r="B43" s="0" t="n">
        <v>145</v>
      </c>
      <c r="C43" s="0" t="n">
        <v>97680</v>
      </c>
      <c r="D43" s="0" t="n">
        <v>60.65</v>
      </c>
      <c r="E43" s="0" t="n">
        <v>59.482</v>
      </c>
    </row>
    <row r="44" customFormat="false" ht="14.25" hidden="false" customHeight="false" outlineLevel="0" collapsed="false">
      <c r="A44" s="406" t="s">
        <v>1498</v>
      </c>
      <c r="B44" s="0" t="n">
        <v>145</v>
      </c>
      <c r="C44" s="0" t="n">
        <v>76680</v>
      </c>
      <c r="D44" s="0" t="n">
        <v>46.66</v>
      </c>
      <c r="E44" s="0" t="n">
        <v>56.28</v>
      </c>
    </row>
    <row r="45" customFormat="false" ht="14.25" hidden="false" customHeight="false" outlineLevel="0" collapsed="false">
      <c r="A45" s="406" t="s">
        <v>1499</v>
      </c>
      <c r="B45" s="0" t="n">
        <v>146</v>
      </c>
      <c r="C45" s="0" t="n">
        <v>109170</v>
      </c>
      <c r="D45" s="0" t="n">
        <v>64.87</v>
      </c>
      <c r="E45" s="0" t="n">
        <v>58.428</v>
      </c>
    </row>
    <row r="46" customFormat="false" ht="14.25" hidden="false" customHeight="false" outlineLevel="0" collapsed="false">
      <c r="A46" s="406" t="s">
        <v>1500</v>
      </c>
      <c r="B46" s="0" t="n">
        <v>147</v>
      </c>
      <c r="C46" s="0" t="n">
        <v>113260</v>
      </c>
      <c r="D46" s="0" t="n">
        <v>65.7</v>
      </c>
      <c r="E46" s="0" t="n">
        <v>60.922</v>
      </c>
    </row>
    <row r="47" customFormat="false" ht="14.25" hidden="false" customHeight="false" outlineLevel="0" collapsed="false">
      <c r="A47" s="406" t="s">
        <v>1501</v>
      </c>
      <c r="B47" s="0" t="n">
        <v>147</v>
      </c>
      <c r="C47" s="0" t="n">
        <v>117010</v>
      </c>
      <c r="D47" s="0" t="n">
        <v>67.7</v>
      </c>
      <c r="E47" s="0" t="n">
        <v>61.116</v>
      </c>
    </row>
    <row r="48" customFormat="false" ht="14.25" hidden="false" customHeight="false" outlineLevel="0" collapsed="false">
      <c r="A48" s="406" t="s">
        <v>1502</v>
      </c>
      <c r="B48" s="0" t="n">
        <v>147</v>
      </c>
      <c r="C48" s="0" t="n">
        <v>78830</v>
      </c>
      <c r="D48" s="0" t="n">
        <v>46.16</v>
      </c>
      <c r="E48" s="0" t="n">
        <v>59.2456</v>
      </c>
    </row>
    <row r="49" customFormat="false" ht="14.25" hidden="false" customHeight="false" outlineLevel="0" collapsed="false">
      <c r="A49" s="406" t="s">
        <v>1503</v>
      </c>
      <c r="B49" s="0" t="n">
        <v>148</v>
      </c>
      <c r="C49" s="0" t="n">
        <v>69850</v>
      </c>
      <c r="D49" s="0" t="n">
        <v>39.65</v>
      </c>
      <c r="E49" s="0" t="n">
        <v>56.816</v>
      </c>
    </row>
    <row r="50" customFormat="false" ht="14.25" hidden="false" customHeight="false" outlineLevel="0" collapsed="false">
      <c r="A50" s="406" t="s">
        <v>1504</v>
      </c>
      <c r="B50" s="0" t="n">
        <v>152</v>
      </c>
      <c r="C50" s="0" t="n">
        <v>129950</v>
      </c>
      <c r="D50" s="0" t="n">
        <v>72.66</v>
      </c>
      <c r="E50" s="407" t="n">
        <v>59.456</v>
      </c>
    </row>
    <row r="51" customFormat="false" ht="14.25" hidden="false" customHeight="false" outlineLevel="0" collapsed="false">
      <c r="A51" s="406" t="s">
        <v>1505</v>
      </c>
      <c r="B51" s="0" t="n">
        <v>154</v>
      </c>
      <c r="C51" s="0" t="n">
        <v>133590</v>
      </c>
      <c r="D51" s="0" t="n">
        <v>73.87</v>
      </c>
      <c r="E51" s="0" t="n">
        <v>60.008</v>
      </c>
    </row>
    <row r="52" customFormat="false" ht="14.25" hidden="false" customHeight="false" outlineLevel="0" collapsed="false">
      <c r="A52" s="406" t="s">
        <v>1506</v>
      </c>
      <c r="B52" s="0" t="n">
        <v>158</v>
      </c>
      <c r="C52" s="0" t="n">
        <v>137890</v>
      </c>
      <c r="D52" s="0" t="n">
        <v>74.25</v>
      </c>
      <c r="E52" s="0" t="n">
        <v>61.318</v>
      </c>
    </row>
    <row r="53" customFormat="false" ht="14.25" hidden="false" customHeight="false" outlineLevel="0" collapsed="false">
      <c r="A53" s="406" t="s">
        <v>1507</v>
      </c>
      <c r="B53" s="0" t="n">
        <v>159</v>
      </c>
      <c r="C53" s="0" t="n">
        <v>109140</v>
      </c>
      <c r="D53" s="0" t="n">
        <v>58.39</v>
      </c>
      <c r="E53" s="0" t="n">
        <v>63.764</v>
      </c>
    </row>
    <row r="54" customFormat="false" ht="14.25" hidden="false" customHeight="false" outlineLevel="0" collapsed="false">
      <c r="A54" s="406" t="s">
        <v>1508</v>
      </c>
      <c r="B54" s="0" t="n">
        <v>161</v>
      </c>
      <c r="C54" s="193" t="n">
        <v>142920</v>
      </c>
      <c r="D54" s="0" t="n">
        <v>76.84</v>
      </c>
      <c r="E54" s="0" t="n">
        <v>71.202</v>
      </c>
    </row>
    <row r="55" customFormat="false" ht="14.25" hidden="false" customHeight="false" outlineLevel="0" collapsed="false">
      <c r="A55" s="406" t="s">
        <v>1509</v>
      </c>
      <c r="B55" s="0" t="n">
        <v>162</v>
      </c>
      <c r="C55" s="0" t="n">
        <v>116140</v>
      </c>
      <c r="D55" s="0" t="n">
        <v>60.61</v>
      </c>
      <c r="E55" s="0" t="n">
        <v>68.792</v>
      </c>
    </row>
    <row r="56" customFormat="false" ht="14.25" hidden="false" customHeight="false" outlineLevel="0" collapsed="false">
      <c r="A56" s="406" t="s">
        <v>1510</v>
      </c>
      <c r="B56" s="0" t="n">
        <v>163</v>
      </c>
      <c r="C56" s="0" t="n">
        <v>131040</v>
      </c>
      <c r="D56" s="0" t="n">
        <v>68.04</v>
      </c>
      <c r="E56" s="0" t="n">
        <v>67.626</v>
      </c>
    </row>
    <row r="57" customFormat="false" ht="14.25" hidden="false" customHeight="false" outlineLevel="0" collapsed="false">
      <c r="A57" s="406" t="s">
        <v>1511</v>
      </c>
      <c r="B57" s="0" t="n">
        <v>159</v>
      </c>
      <c r="C57" s="0" t="n">
        <v>43769</v>
      </c>
      <c r="D57" s="0" t="n">
        <v>22.9</v>
      </c>
      <c r="E57" s="0" t="n">
        <v>57.356</v>
      </c>
      <c r="F57" s="0" t="s">
        <v>1512</v>
      </c>
    </row>
    <row r="58" customFormat="false" ht="14.25" hidden="false" customHeight="false" outlineLevel="0" collapsed="false">
      <c r="A58" s="406" t="s">
        <v>1513</v>
      </c>
      <c r="B58" s="0" t="n">
        <v>159</v>
      </c>
      <c r="C58" s="0" t="n">
        <v>108370</v>
      </c>
      <c r="D58" s="0" t="n">
        <v>56.82</v>
      </c>
      <c r="E58" s="0" t="n">
        <v>57.042</v>
      </c>
      <c r="F58" s="0" t="s">
        <v>1514</v>
      </c>
    </row>
    <row r="59" customFormat="false" ht="14.25" hidden="false" customHeight="false" outlineLevel="0" collapsed="false">
      <c r="A59" s="406" t="s">
        <v>1515</v>
      </c>
      <c r="B59" s="0" t="n">
        <v>158</v>
      </c>
      <c r="C59" s="0" t="n">
        <v>162630</v>
      </c>
      <c r="D59" s="0" t="n">
        <v>84.68</v>
      </c>
      <c r="E59" s="0" t="n">
        <v>58.61</v>
      </c>
    </row>
    <row r="60" customFormat="false" ht="14.25" hidden="false" customHeight="false" outlineLevel="0" collapsed="false">
      <c r="A60" s="406" t="s">
        <v>1516</v>
      </c>
      <c r="B60" s="0" t="n">
        <v>160</v>
      </c>
      <c r="C60" s="0" t="n">
        <v>107518</v>
      </c>
      <c r="D60" s="0" t="n">
        <v>55.52</v>
      </c>
      <c r="E60" s="0" t="n">
        <v>57.592</v>
      </c>
    </row>
    <row r="61" customFormat="false" ht="14.25" hidden="false" customHeight="false" outlineLevel="0" collapsed="false">
      <c r="A61" s="406" t="s">
        <v>1517</v>
      </c>
      <c r="B61" s="0" t="n">
        <v>156</v>
      </c>
      <c r="C61" s="0" t="n">
        <v>120700</v>
      </c>
      <c r="D61" s="0" t="n">
        <v>62.39</v>
      </c>
      <c r="E61" s="0" t="n">
        <v>56.462</v>
      </c>
    </row>
    <row r="62" customFormat="false" ht="14.25" hidden="false" customHeight="false" outlineLevel="0" collapsed="false">
      <c r="A62" s="406" t="s">
        <v>1518</v>
      </c>
      <c r="B62" s="0" t="n">
        <v>154</v>
      </c>
      <c r="C62" s="0" t="n">
        <v>93790</v>
      </c>
      <c r="D62" s="0" t="n">
        <v>47.93</v>
      </c>
      <c r="E62" s="0" t="n">
        <v>61.468</v>
      </c>
    </row>
    <row r="63" customFormat="false" ht="14.25" hidden="false" customHeight="false" outlineLevel="0" collapsed="false">
      <c r="A63" s="406" t="s">
        <v>1519</v>
      </c>
      <c r="B63" s="0" t="n">
        <v>157</v>
      </c>
      <c r="C63" s="0" t="n">
        <v>140610</v>
      </c>
      <c r="D63" s="0" t="n">
        <v>70.86</v>
      </c>
      <c r="E63" s="0" t="n">
        <f aca="false">AVERAGE(D59:D63)</f>
        <v>64.276</v>
      </c>
    </row>
    <row r="64" customFormat="false" ht="14.25" hidden="false" customHeight="false" outlineLevel="0" collapsed="false">
      <c r="A64" s="406" t="s">
        <v>1520</v>
      </c>
      <c r="B64" s="0" t="n">
        <v>158</v>
      </c>
      <c r="C64" s="0" t="n">
        <v>151090</v>
      </c>
      <c r="D64" s="0" t="n">
        <v>75.24</v>
      </c>
      <c r="E64" s="0" t="n">
        <v>62.388</v>
      </c>
    </row>
    <row r="65" customFormat="false" ht="14.25" hidden="false" customHeight="false" outlineLevel="0" collapsed="false">
      <c r="A65" s="406" t="s">
        <v>1521</v>
      </c>
      <c r="B65" s="0" t="n">
        <v>160</v>
      </c>
      <c r="C65" s="0" t="n">
        <v>154510</v>
      </c>
      <c r="D65" s="0" t="n">
        <v>73.09</v>
      </c>
      <c r="E65" s="0" t="n">
        <v>65.902</v>
      </c>
    </row>
    <row r="66" customFormat="false" ht="14.25" hidden="false" customHeight="false" outlineLevel="0" collapsed="false">
      <c r="A66" s="406" t="s">
        <v>1522</v>
      </c>
      <c r="B66" s="0" t="n">
        <v>152</v>
      </c>
      <c r="C66" s="0" t="n">
        <v>89314</v>
      </c>
      <c r="D66" s="0" t="n">
        <v>44.36</v>
      </c>
      <c r="E66" s="0" t="n">
        <v>62.296</v>
      </c>
    </row>
    <row r="67" customFormat="false" ht="14.25" hidden="false" customHeight="false" outlineLevel="0" collapsed="false">
      <c r="A67" s="406" t="s">
        <v>1523</v>
      </c>
      <c r="B67" s="0" t="n">
        <v>153</v>
      </c>
      <c r="C67" s="0" t="n">
        <v>149475</v>
      </c>
      <c r="D67" s="0" t="n">
        <v>73.49</v>
      </c>
      <c r="E67" s="0" t="n">
        <f aca="false">AVERAGE(D63:D67)</f>
        <v>67.408</v>
      </c>
    </row>
    <row r="68" customFormat="false" ht="14.25" hidden="false" customHeight="false" outlineLevel="0" collapsed="false">
      <c r="A68" s="406" t="s">
        <v>1524</v>
      </c>
      <c r="B68" s="0" t="n">
        <v>151</v>
      </c>
      <c r="C68" s="0" t="n">
        <v>159240</v>
      </c>
      <c r="D68" s="0" t="n">
        <v>76.64</v>
      </c>
      <c r="E68" s="0" t="n">
        <v>68.564</v>
      </c>
    </row>
    <row r="69" customFormat="false" ht="14.25" hidden="false" customHeight="false" outlineLevel="0" collapsed="false">
      <c r="A69" s="406" t="s">
        <v>1525</v>
      </c>
      <c r="B69" s="0" t="n">
        <v>149</v>
      </c>
      <c r="C69" s="0" t="n">
        <v>117250</v>
      </c>
      <c r="D69" s="0" t="n">
        <v>57.46</v>
      </c>
      <c r="E69" s="0" t="n">
        <v>65.008</v>
      </c>
    </row>
    <row r="70" customFormat="false" ht="14.25" hidden="false" customHeight="false" outlineLevel="0" collapsed="false">
      <c r="A70" s="406" t="s">
        <v>1526</v>
      </c>
      <c r="B70" s="0" t="n">
        <v>150</v>
      </c>
      <c r="C70" s="0" t="n">
        <v>112735</v>
      </c>
      <c r="D70" s="0" t="n">
        <v>53.78</v>
      </c>
      <c r="E70" s="0" t="n">
        <v>61.146</v>
      </c>
    </row>
    <row r="71" customFormat="false" ht="14.25" hidden="false" customHeight="false" outlineLevel="0" collapsed="false">
      <c r="A71" s="406" t="s">
        <v>1527</v>
      </c>
      <c r="B71" s="0" t="n">
        <v>146</v>
      </c>
      <c r="C71" s="0" t="n">
        <v>113910</v>
      </c>
      <c r="D71" s="0" t="n">
        <v>56.2</v>
      </c>
      <c r="E71" s="0" t="n">
        <v>63.514</v>
      </c>
    </row>
    <row r="72" customFormat="false" ht="14.25" hidden="false" customHeight="false" outlineLevel="0" collapsed="false">
      <c r="A72" s="406" t="s">
        <v>1528</v>
      </c>
      <c r="B72" s="0" t="n">
        <v>152</v>
      </c>
      <c r="C72" s="0" t="n">
        <v>175515</v>
      </c>
      <c r="D72" s="0" t="n">
        <v>80.84</v>
      </c>
      <c r="E72" s="0" t="n">
        <v>64.984</v>
      </c>
    </row>
    <row r="73" customFormat="false" ht="14.25" hidden="false" customHeight="false" outlineLevel="0" collapsed="false">
      <c r="A73" s="406" t="s">
        <v>1529</v>
      </c>
      <c r="B73" s="0" t="n">
        <v>151</v>
      </c>
      <c r="C73" s="0" t="n">
        <v>146455</v>
      </c>
      <c r="D73" s="0" t="n">
        <v>66.99</v>
      </c>
      <c r="E73" s="0" t="n">
        <v>63.054</v>
      </c>
    </row>
    <row r="74" customFormat="false" ht="14.25" hidden="false" customHeight="false" outlineLevel="0" collapsed="false">
      <c r="A74" s="406" t="s">
        <v>1530</v>
      </c>
      <c r="B74" s="0" t="n">
        <v>146</v>
      </c>
      <c r="C74" s="0" t="n">
        <v>97400</v>
      </c>
      <c r="D74" s="0" t="n">
        <v>45.59</v>
      </c>
      <c r="E74" s="0" t="n">
        <v>60.68</v>
      </c>
    </row>
    <row r="75" customFormat="false" ht="14.25" hidden="false" customHeight="false" outlineLevel="0" collapsed="false">
      <c r="A75" s="406" t="s">
        <v>1531</v>
      </c>
      <c r="B75" s="0" t="n">
        <v>151</v>
      </c>
      <c r="C75" s="0" t="n">
        <v>104995</v>
      </c>
      <c r="D75" s="0" t="n">
        <v>48.97</v>
      </c>
      <c r="E75" s="408" t="n">
        <v>59.688</v>
      </c>
    </row>
    <row r="76" customFormat="false" ht="14.25" hidden="false" customHeight="false" outlineLevel="0" collapsed="false">
      <c r="A76" s="406" t="s">
        <v>1532</v>
      </c>
      <c r="B76" s="0" t="n">
        <v>148</v>
      </c>
      <c r="C76" s="0" t="n">
        <v>185010</v>
      </c>
      <c r="D76" s="0" t="n">
        <v>85.32</v>
      </c>
      <c r="E76" s="0" t="n">
        <v>65.542</v>
      </c>
    </row>
    <row r="77" customFormat="false" ht="14.25" hidden="false" customHeight="false" outlineLevel="0" collapsed="false">
      <c r="A77" s="406" t="s">
        <v>1533</v>
      </c>
      <c r="B77" s="0" t="n">
        <v>150</v>
      </c>
      <c r="C77" s="0" t="n">
        <v>110010</v>
      </c>
      <c r="D77" s="0" t="n">
        <v>49.56</v>
      </c>
      <c r="E77" s="0" t="n">
        <v>59.286</v>
      </c>
    </row>
    <row r="78" customFormat="false" ht="14.25" hidden="false" customHeight="false" outlineLevel="0" collapsed="false">
      <c r="A78" s="406" t="s">
        <v>1534</v>
      </c>
      <c r="B78" s="0" t="n">
        <v>150</v>
      </c>
      <c r="C78" s="0" t="n">
        <v>135820</v>
      </c>
      <c r="D78" s="0" t="n">
        <v>61.62</v>
      </c>
      <c r="E78" s="0" t="n">
        <v>61.3675</v>
      </c>
    </row>
    <row r="79" customFormat="false" ht="14.25" hidden="false" customHeight="false" outlineLevel="0" collapsed="false">
      <c r="A79" s="406" t="s">
        <v>1535</v>
      </c>
      <c r="B79" s="0" t="n">
        <v>147</v>
      </c>
      <c r="C79" s="0" t="n">
        <v>131840</v>
      </c>
      <c r="D79" s="0" t="n">
        <v>61.89</v>
      </c>
      <c r="E79" s="0" t="n">
        <v>61.472</v>
      </c>
    </row>
    <row r="80" customFormat="false" ht="14.25" hidden="false" customHeight="false" outlineLevel="0" collapsed="false">
      <c r="A80" s="406" t="s">
        <v>1536</v>
      </c>
      <c r="B80" s="0" t="n">
        <v>152</v>
      </c>
      <c r="C80" s="0" t="n">
        <v>195350</v>
      </c>
      <c r="D80" s="0" t="n">
        <v>83.75</v>
      </c>
      <c r="E80" s="0" t="n">
        <v>68.428</v>
      </c>
    </row>
    <row r="81" customFormat="false" ht="14.25" hidden="false" customHeight="false" outlineLevel="0" collapsed="false">
      <c r="A81" s="406" t="s">
        <v>1537</v>
      </c>
      <c r="B81" s="0" t="n">
        <v>147</v>
      </c>
      <c r="C81" s="0" t="n">
        <v>187128</v>
      </c>
      <c r="D81" s="0" t="n">
        <v>84.42</v>
      </c>
      <c r="E81" s="0" t="n">
        <v>68.248</v>
      </c>
    </row>
    <row r="82" customFormat="false" ht="14.25" hidden="false" customHeight="false" outlineLevel="0" collapsed="false">
      <c r="A82" s="406" t="s">
        <v>1538</v>
      </c>
      <c r="B82" s="0" t="n">
        <v>148</v>
      </c>
      <c r="C82" s="0" t="n">
        <v>151970</v>
      </c>
      <c r="D82" s="0" t="n">
        <v>65.9</v>
      </c>
      <c r="E82" s="0" t="n">
        <v>71.516</v>
      </c>
    </row>
    <row r="83" customFormat="false" ht="14.25" hidden="false" customHeight="false" outlineLevel="0" collapsed="false">
      <c r="A83" s="406" t="s">
        <v>1539</v>
      </c>
      <c r="B83" s="0" t="n">
        <v>146</v>
      </c>
      <c r="C83" s="0" t="n">
        <v>172220</v>
      </c>
      <c r="D83" s="0" t="n">
        <v>72.27</v>
      </c>
      <c r="E83" s="0" t="n">
        <v>73.646</v>
      </c>
    </row>
    <row r="84" customFormat="false" ht="14.25" hidden="false" customHeight="false" outlineLevel="0" collapsed="false">
      <c r="A84" s="406" t="s">
        <v>1540</v>
      </c>
      <c r="B84" s="0" t="n">
        <v>148</v>
      </c>
      <c r="C84" s="0" t="n">
        <v>143755</v>
      </c>
      <c r="D84" s="0" t="n">
        <v>62.18</v>
      </c>
      <c r="E84" s="0" t="n">
        <v>73.74</v>
      </c>
    </row>
    <row r="85" customFormat="false" ht="14.25" hidden="false" customHeight="false" outlineLevel="0" collapsed="false">
      <c r="A85" s="409" t="s">
        <v>1541</v>
      </c>
      <c r="B85" s="0" t="n">
        <v>152</v>
      </c>
      <c r="C85" s="0" t="n">
        <v>257550</v>
      </c>
      <c r="D85" s="0" t="n">
        <v>109.35</v>
      </c>
      <c r="E85" s="0" t="n">
        <v>78.824</v>
      </c>
    </row>
    <row r="86" customFormat="false" ht="14.25" hidden="false" customHeight="false" outlineLevel="0" collapsed="false">
      <c r="A86" s="406" t="s">
        <v>1542</v>
      </c>
      <c r="B86" s="0" t="n">
        <v>153</v>
      </c>
      <c r="C86" s="0" t="n">
        <v>208020</v>
      </c>
      <c r="D86" s="0" t="n">
        <v>86.68</v>
      </c>
      <c r="E86" s="0" t="n">
        <v>79.276</v>
      </c>
    </row>
    <row r="87" customFormat="false" ht="14.25" hidden="false" customHeight="false" outlineLevel="0" collapsed="false">
      <c r="A87" s="406" t="s">
        <v>1543</v>
      </c>
      <c r="B87" s="0" t="n">
        <v>159</v>
      </c>
      <c r="C87" s="0" t="n">
        <v>113710</v>
      </c>
      <c r="D87" s="0" t="n">
        <v>44.35</v>
      </c>
      <c r="E87" s="0" t="n">
        <v>74.966</v>
      </c>
    </row>
    <row r="88" customFormat="false" ht="14.25" hidden="false" customHeight="false" outlineLevel="0" collapsed="false">
      <c r="A88" s="406" t="s">
        <v>1544</v>
      </c>
      <c r="B88" s="0" t="n">
        <v>154</v>
      </c>
      <c r="C88" s="0" t="n">
        <v>139780</v>
      </c>
      <c r="D88" s="0" t="n">
        <v>56.49</v>
      </c>
      <c r="E88" s="0" t="n">
        <v>71.81</v>
      </c>
    </row>
    <row r="89" customFormat="false" ht="14.25" hidden="false" customHeight="false" outlineLevel="0" collapsed="false">
      <c r="A89" s="410" t="s">
        <v>1545</v>
      </c>
      <c r="B89" s="0" t="n">
        <v>155</v>
      </c>
      <c r="C89" s="0" t="n">
        <v>246783</v>
      </c>
      <c r="D89" s="0" t="n">
        <v>93.31</v>
      </c>
      <c r="E89" s="0" t="n">
        <v>78.036</v>
      </c>
    </row>
    <row r="90" customFormat="false" ht="14.25" hidden="false" customHeight="false" outlineLevel="0" collapsed="false">
      <c r="A90" s="410" t="s">
        <v>1546</v>
      </c>
      <c r="B90" s="0" t="n">
        <v>160</v>
      </c>
      <c r="C90" s="0" t="n">
        <v>210800</v>
      </c>
      <c r="D90" s="0" t="n">
        <v>81.85</v>
      </c>
      <c r="E90" s="408" t="n">
        <v>70.207</v>
      </c>
    </row>
    <row r="91" customFormat="false" ht="14.25" hidden="false" customHeight="false" outlineLevel="0" collapsed="false">
      <c r="A91" s="410" t="s">
        <v>1547</v>
      </c>
      <c r="B91" s="0" t="n">
        <v>157</v>
      </c>
      <c r="C91" s="0" t="n">
        <v>148030</v>
      </c>
      <c r="D91" s="0" t="n">
        <v>58.41</v>
      </c>
      <c r="E91" s="0" t="n">
        <v>66.882</v>
      </c>
    </row>
    <row r="92" customFormat="false" ht="14.25" hidden="false" customHeight="false" outlineLevel="0" collapsed="false">
      <c r="A92" s="410" t="s">
        <v>1548</v>
      </c>
      <c r="B92" s="0" t="n">
        <v>158</v>
      </c>
      <c r="C92" s="0" t="n">
        <v>112280</v>
      </c>
      <c r="D92" s="0" t="n">
        <v>43.71</v>
      </c>
      <c r="E92" s="0" t="n">
        <v>66.754</v>
      </c>
    </row>
    <row r="93" customFormat="false" ht="14.25" hidden="false" customHeight="false" outlineLevel="0" collapsed="false">
      <c r="A93" s="410" t="s">
        <v>1549</v>
      </c>
      <c r="B93" s="0" t="n">
        <v>161</v>
      </c>
      <c r="C93" s="0" t="n">
        <v>194160</v>
      </c>
      <c r="D93" s="0" t="n">
        <v>75.59</v>
      </c>
      <c r="E93" s="0" t="n">
        <v>70.574</v>
      </c>
    </row>
    <row r="94" customFormat="false" ht="14.25" hidden="false" customHeight="false" outlineLevel="0" collapsed="false">
      <c r="A94" s="410" t="s">
        <v>1550</v>
      </c>
      <c r="B94" s="0" t="n">
        <v>165</v>
      </c>
      <c r="C94" s="0" t="n">
        <v>300880</v>
      </c>
      <c r="D94" s="0" t="n">
        <v>114.96</v>
      </c>
      <c r="E94" s="0" t="n">
        <v>74.904</v>
      </c>
    </row>
    <row r="95" customFormat="false" ht="14.25" hidden="false" customHeight="false" outlineLevel="0" collapsed="false">
      <c r="A95" s="410" t="s">
        <v>1551</v>
      </c>
      <c r="B95" s="0" t="n">
        <v>165</v>
      </c>
      <c r="C95" s="0" t="n">
        <v>176010</v>
      </c>
      <c r="D95" s="0" t="n">
        <v>66.37</v>
      </c>
      <c r="E95" s="0" t="n">
        <v>71.808</v>
      </c>
    </row>
    <row r="96" customFormat="false" ht="14.25" hidden="false" customHeight="false" outlineLevel="0" collapsed="false">
      <c r="A96" s="410" t="s">
        <v>1552</v>
      </c>
      <c r="B96" s="0" t="n">
        <v>157</v>
      </c>
      <c r="C96" s="0" t="n">
        <v>132940</v>
      </c>
      <c r="D96" s="0" t="n">
        <v>51.31</v>
      </c>
      <c r="E96" s="408" t="n">
        <v>70.388</v>
      </c>
    </row>
    <row r="97" customFormat="false" ht="14.25" hidden="false" customHeight="false" outlineLevel="0" collapsed="false">
      <c r="A97" s="411" t="s">
        <v>1553</v>
      </c>
      <c r="B97" s="0" t="n">
        <v>168</v>
      </c>
      <c r="C97" s="0" t="n">
        <v>130990</v>
      </c>
      <c r="D97" s="0" t="n">
        <v>46.5</v>
      </c>
      <c r="E97" s="0" t="n">
        <v>70.946</v>
      </c>
    </row>
    <row r="98" customFormat="false" ht="14.25" hidden="false" customHeight="false" outlineLevel="0" collapsed="false">
      <c r="A98" s="410" t="s">
        <v>1554</v>
      </c>
      <c r="B98" s="0" t="n">
        <v>162</v>
      </c>
      <c r="C98" s="0" t="n">
        <v>370648</v>
      </c>
      <c r="D98" s="0" t="n">
        <v>129.07</v>
      </c>
      <c r="E98" s="0" t="n">
        <v>81.642</v>
      </c>
    </row>
    <row r="99" customFormat="false" ht="14.25" hidden="false" customHeight="false" outlineLevel="0" collapsed="false">
      <c r="A99" s="410" t="s">
        <v>1555</v>
      </c>
      <c r="B99" s="0" t="n">
        <v>160</v>
      </c>
      <c r="C99" s="0" t="n">
        <v>244730</v>
      </c>
      <c r="D99" s="0" t="n">
        <v>87.73</v>
      </c>
      <c r="E99" s="0" t="n">
        <v>76.196</v>
      </c>
    </row>
    <row r="100" customFormat="false" ht="14.25" hidden="false" customHeight="false" outlineLevel="0" collapsed="false">
      <c r="A100" s="410" t="s">
        <v>1556</v>
      </c>
      <c r="B100" s="0" t="n">
        <v>158</v>
      </c>
      <c r="C100" s="0" t="n">
        <v>138390</v>
      </c>
      <c r="D100" s="0" t="n">
        <v>48.97</v>
      </c>
      <c r="E100" s="0" t="n">
        <v>72.716</v>
      </c>
      <c r="F100" s="0" t="n">
        <v>61</v>
      </c>
      <c r="G100" s="0" t="s">
        <v>214</v>
      </c>
    </row>
    <row r="101" customFormat="false" ht="14.25" hidden="false" customHeight="false" outlineLevel="0" collapsed="false">
      <c r="A101" s="410" t="s">
        <v>1557</v>
      </c>
      <c r="B101" s="0" t="n">
        <v>164</v>
      </c>
      <c r="C101" s="0" t="n">
        <v>205480</v>
      </c>
      <c r="D101" s="0" t="n">
        <v>72.11</v>
      </c>
      <c r="E101" s="0" t="n">
        <v>76.876</v>
      </c>
      <c r="F101" s="0" t="n">
        <v>62</v>
      </c>
    </row>
    <row r="102" customFormat="false" ht="14.25" hidden="false" customHeight="false" outlineLevel="0" collapsed="false">
      <c r="A102" s="410" t="s">
        <v>1558</v>
      </c>
      <c r="B102" s="0" t="n">
        <v>164</v>
      </c>
      <c r="C102" s="0" t="n">
        <v>316830</v>
      </c>
      <c r="D102" s="0" t="n">
        <v>110.44</v>
      </c>
      <c r="E102" s="0" t="n">
        <v>89.664</v>
      </c>
      <c r="F102" s="0" t="n">
        <v>86</v>
      </c>
    </row>
    <row r="103" customFormat="false" ht="14.25" hidden="false" customHeight="false" outlineLevel="0" collapsed="false">
      <c r="A103" s="410" t="s">
        <v>1559</v>
      </c>
      <c r="B103" s="0" t="n">
        <v>162</v>
      </c>
      <c r="C103" s="0" t="n">
        <v>182290</v>
      </c>
      <c r="D103" s="0" t="n">
        <v>62.29</v>
      </c>
      <c r="E103" s="0" t="n">
        <v>76.308</v>
      </c>
      <c r="F103" s="0" t="n">
        <v>67</v>
      </c>
    </row>
    <row r="104" customFormat="false" ht="14.25" hidden="false" customHeight="false" outlineLevel="0" collapsed="false">
      <c r="A104" s="410" t="s">
        <v>1560</v>
      </c>
      <c r="B104" s="0" t="n">
        <v>164</v>
      </c>
      <c r="C104" s="0" t="n">
        <v>233470</v>
      </c>
      <c r="D104" s="0" t="n">
        <v>79.21</v>
      </c>
      <c r="E104" s="0" t="n">
        <v>74.604</v>
      </c>
      <c r="F104" s="0" t="n">
        <v>73</v>
      </c>
    </row>
    <row r="105" customFormat="false" ht="14.25" hidden="false" customHeight="false" outlineLevel="0" collapsed="false">
      <c r="A105" s="410" t="s">
        <v>1561</v>
      </c>
      <c r="B105" s="0" t="n">
        <v>164</v>
      </c>
      <c r="C105" s="0" t="n">
        <v>169400</v>
      </c>
      <c r="D105" s="0" t="n">
        <v>55.39</v>
      </c>
      <c r="E105" s="0" t="n">
        <v>75.888</v>
      </c>
      <c r="F105" s="0" t="n">
        <v>60</v>
      </c>
    </row>
    <row r="106" customFormat="false" ht="14.25" hidden="false" customHeight="false" outlineLevel="0" collapsed="false">
      <c r="A106" s="410" t="s">
        <v>1562</v>
      </c>
      <c r="B106" s="0" t="n">
        <v>168</v>
      </c>
      <c r="C106" s="0" t="n">
        <v>319080</v>
      </c>
      <c r="D106" s="0" t="n">
        <v>104.5</v>
      </c>
      <c r="E106" s="0" t="n">
        <v>82.366</v>
      </c>
      <c r="F106" s="0" t="n">
        <v>88</v>
      </c>
    </row>
    <row r="107" customFormat="false" ht="14.25" hidden="false" customHeight="false" outlineLevel="0" collapsed="false">
      <c r="A107" s="410" t="s">
        <v>1563</v>
      </c>
      <c r="B107" s="0" t="n">
        <v>168</v>
      </c>
      <c r="C107" s="0" t="n">
        <v>385120</v>
      </c>
      <c r="D107" s="0" t="n">
        <v>123.01</v>
      </c>
      <c r="E107" s="0" t="n">
        <v>84.88</v>
      </c>
      <c r="F107" s="0" t="n">
        <v>93</v>
      </c>
    </row>
    <row r="108" customFormat="false" ht="14.25" hidden="false" customHeight="false" outlineLevel="0" collapsed="false">
      <c r="A108" s="410" t="s">
        <v>1564</v>
      </c>
      <c r="B108" s="0" t="n">
        <v>169</v>
      </c>
      <c r="C108" s="0" t="n">
        <v>210770</v>
      </c>
      <c r="D108" s="0" t="n">
        <v>65.7</v>
      </c>
      <c r="E108" s="0" t="n">
        <v>85.562</v>
      </c>
      <c r="F108" s="0" t="n">
        <v>73</v>
      </c>
    </row>
    <row r="109" customFormat="false" ht="14.25" hidden="false" customHeight="false" outlineLevel="0" collapsed="false">
      <c r="A109" s="410" t="s">
        <v>1565</v>
      </c>
      <c r="B109" s="0" t="n">
        <v>169</v>
      </c>
      <c r="C109" s="0" t="n">
        <v>163420</v>
      </c>
      <c r="D109" s="0" t="n">
        <v>50.98</v>
      </c>
      <c r="E109" s="0" t="n">
        <v>79.916</v>
      </c>
      <c r="F109" s="0" t="n">
        <v>69</v>
      </c>
    </row>
    <row r="110" customFormat="false" ht="14.25" hidden="false" customHeight="false" outlineLevel="0" collapsed="false">
      <c r="A110" s="410" t="s">
        <v>1566</v>
      </c>
      <c r="B110" s="0" t="n">
        <v>169</v>
      </c>
      <c r="C110" s="0" t="n">
        <v>270790</v>
      </c>
      <c r="D110" s="0" t="n">
        <v>84.18</v>
      </c>
      <c r="E110" s="0" t="n">
        <v>85.674</v>
      </c>
      <c r="F110" s="0" t="n">
        <v>84</v>
      </c>
    </row>
    <row r="111" customFormat="false" ht="14.25" hidden="false" customHeight="false" outlineLevel="0" collapsed="false">
      <c r="A111" s="410" t="s">
        <v>1567</v>
      </c>
      <c r="B111" s="0" t="n">
        <v>175</v>
      </c>
      <c r="C111" s="0" t="n">
        <v>392910</v>
      </c>
      <c r="D111" s="0" t="n">
        <v>115.8</v>
      </c>
      <c r="E111" s="0" t="n">
        <v>87.934</v>
      </c>
      <c r="F111" s="0" t="n">
        <v>89</v>
      </c>
    </row>
    <row r="112" customFormat="false" ht="14.25" hidden="false" customHeight="false" outlineLevel="0" collapsed="false">
      <c r="A112" s="410" t="s">
        <v>1568</v>
      </c>
      <c r="B112" s="0" t="n">
        <v>179</v>
      </c>
      <c r="C112" s="0" t="n">
        <v>199510</v>
      </c>
      <c r="D112" s="0" t="n">
        <v>57.69</v>
      </c>
      <c r="E112" s="0" t="n">
        <v>74.87</v>
      </c>
      <c r="F112" s="0" t="n">
        <v>77</v>
      </c>
    </row>
    <row r="113" customFormat="false" ht="14.25" hidden="false" customHeight="false" outlineLevel="0" collapsed="false">
      <c r="A113" s="410" t="s">
        <v>1569</v>
      </c>
      <c r="B113" s="0" t="n">
        <v>174</v>
      </c>
      <c r="C113" s="0" t="n">
        <v>311495</v>
      </c>
      <c r="D113" s="0" t="n">
        <v>88.34</v>
      </c>
      <c r="E113" s="0" t="n">
        <v>79.398</v>
      </c>
      <c r="F113" s="0" t="n">
        <v>90</v>
      </c>
    </row>
    <row r="114" customFormat="false" ht="14.25" hidden="false" customHeight="false" outlineLevel="0" collapsed="false">
      <c r="A114" s="410" t="s">
        <v>1570</v>
      </c>
      <c r="B114" s="0" t="n">
        <v>177</v>
      </c>
      <c r="C114" s="0" t="n">
        <v>260920</v>
      </c>
      <c r="D114" s="0" t="n">
        <v>72.61</v>
      </c>
      <c r="E114" s="0" t="n">
        <v>83.724</v>
      </c>
      <c r="F114" s="0" t="n">
        <v>83</v>
      </c>
    </row>
    <row r="115" customFormat="false" ht="14.25" hidden="false" customHeight="false" outlineLevel="0" collapsed="false">
      <c r="A115" s="410" t="s">
        <v>1571</v>
      </c>
      <c r="B115" s="0" t="n">
        <v>176</v>
      </c>
      <c r="C115" s="0" t="n">
        <v>422635</v>
      </c>
      <c r="D115" s="0" t="n">
        <v>114</v>
      </c>
      <c r="E115" s="0" t="n">
        <f aca="false">AVERAGE(D111:D115)</f>
        <v>89.688</v>
      </c>
      <c r="F115" s="0" t="n">
        <v>98</v>
      </c>
    </row>
    <row r="116" customFormat="false" ht="14.25" hidden="false" customHeight="false" outlineLevel="0" collapsed="false">
      <c r="A116" s="410" t="s">
        <v>1572</v>
      </c>
      <c r="B116" s="0" t="n">
        <v>176</v>
      </c>
      <c r="C116" s="0" t="n">
        <v>277870</v>
      </c>
      <c r="D116" s="0" t="n">
        <v>75.48</v>
      </c>
      <c r="E116" s="0" t="n">
        <v>81.624</v>
      </c>
      <c r="F116" s="0" t="n">
        <v>87</v>
      </c>
    </row>
    <row r="117" customFormat="false" ht="14.25" hidden="false" customHeight="false" outlineLevel="0" collapsed="false">
      <c r="A117" s="410" t="s">
        <v>1573</v>
      </c>
      <c r="B117" s="0" t="n">
        <v>175</v>
      </c>
      <c r="C117" s="0" t="n">
        <v>291150</v>
      </c>
      <c r="D117" s="0" t="n">
        <v>77.43</v>
      </c>
      <c r="E117" s="0" t="n">
        <v>85.572</v>
      </c>
      <c r="F117" s="0" t="n">
        <v>86</v>
      </c>
    </row>
    <row r="118" customFormat="false" ht="14.25" hidden="false" customHeight="false" outlineLevel="0" collapsed="false">
      <c r="A118" s="410" t="s">
        <v>1574</v>
      </c>
      <c r="B118" s="0" t="n">
        <v>176</v>
      </c>
      <c r="C118" s="0" t="n">
        <v>213460</v>
      </c>
      <c r="D118" s="0" t="n">
        <v>56.28</v>
      </c>
      <c r="E118" s="0" t="n">
        <v>79.16</v>
      </c>
      <c r="F118" s="0" t="n">
        <v>70</v>
      </c>
    </row>
    <row r="119" customFormat="false" ht="14.25" hidden="false" customHeight="false" outlineLevel="0" collapsed="false">
      <c r="A119" s="410" t="s">
        <v>1575</v>
      </c>
      <c r="B119" s="0" t="n">
        <v>179</v>
      </c>
      <c r="C119" s="0" t="n">
        <v>393660</v>
      </c>
      <c r="D119" s="0" t="n">
        <v>99.99</v>
      </c>
      <c r="E119" s="0" t="n">
        <v>84.636</v>
      </c>
      <c r="F119" s="0" t="n">
        <v>100</v>
      </c>
    </row>
    <row r="120" customFormat="false" ht="14.25" hidden="false" customHeight="false" outlineLevel="0" collapsed="false">
      <c r="A120" s="410" t="s">
        <v>1576</v>
      </c>
      <c r="B120" s="0" t="n">
        <v>179</v>
      </c>
      <c r="C120" s="0" t="n">
        <v>371550</v>
      </c>
      <c r="D120" s="0" t="n">
        <v>94.62</v>
      </c>
      <c r="E120" s="0" t="n">
        <v>80.76</v>
      </c>
      <c r="F120" s="0" t="n">
        <v>92</v>
      </c>
    </row>
    <row r="121" customFormat="false" ht="14.25" hidden="false" customHeight="false" outlineLevel="0" collapsed="false">
      <c r="A121" s="410" t="s">
        <v>1577</v>
      </c>
      <c r="B121" s="0" t="n">
        <v>180</v>
      </c>
      <c r="C121" s="0" t="n">
        <v>344154</v>
      </c>
      <c r="D121" s="0" t="n">
        <v>84.67</v>
      </c>
      <c r="E121" s="0" t="n">
        <v>82.598</v>
      </c>
      <c r="F121" s="0" t="n">
        <v>76</v>
      </c>
    </row>
    <row r="122" customFormat="false" ht="14.25" hidden="false" customHeight="false" outlineLevel="0" collapsed="false">
      <c r="A122" s="410" t="s">
        <v>1578</v>
      </c>
      <c r="B122" s="0" t="n">
        <v>180</v>
      </c>
      <c r="C122" s="0" t="n">
        <v>201820</v>
      </c>
      <c r="D122" s="0" t="n">
        <v>48.6</v>
      </c>
      <c r="E122" s="0" t="n">
        <v>76.832</v>
      </c>
      <c r="F122" s="0" t="n">
        <v>69</v>
      </c>
    </row>
    <row r="123" customFormat="false" ht="14.25" hidden="false" customHeight="false" outlineLevel="0" collapsed="false">
      <c r="A123" s="410" t="s">
        <v>1579</v>
      </c>
      <c r="B123" s="0" t="n">
        <v>180</v>
      </c>
      <c r="C123" s="0" t="n">
        <v>322640</v>
      </c>
      <c r="D123" s="0" t="n">
        <v>78.15</v>
      </c>
      <c r="E123" s="0" t="n">
        <v>81.206</v>
      </c>
      <c r="F123" s="0" t="n">
        <v>72</v>
      </c>
    </row>
    <row r="124" customFormat="false" ht="14.25" hidden="false" customHeight="false" outlineLevel="0" collapsed="false">
      <c r="A124" s="410" t="s">
        <v>1580</v>
      </c>
      <c r="B124" s="0" t="n">
        <v>183</v>
      </c>
      <c r="C124" s="0" t="n">
        <v>376160</v>
      </c>
      <c r="D124" s="0" t="n">
        <v>88.99</v>
      </c>
      <c r="E124" s="0" t="n">
        <v>79.006</v>
      </c>
      <c r="F124" s="0" t="n">
        <v>96</v>
      </c>
    </row>
    <row r="125" customFormat="false" ht="14.25" hidden="false" customHeight="false" outlineLevel="0" collapsed="false">
      <c r="A125" s="410" t="s">
        <v>1581</v>
      </c>
      <c r="B125" s="0" t="n">
        <v>180</v>
      </c>
      <c r="C125" s="0" t="n">
        <v>353750</v>
      </c>
      <c r="D125" s="0" t="n">
        <v>85.74</v>
      </c>
      <c r="E125" s="0" t="n">
        <v>77.23</v>
      </c>
      <c r="F125" s="0" t="n">
        <v>85</v>
      </c>
      <c r="H125" s="0" t="s">
        <v>214</v>
      </c>
      <c r="I125" s="403" t="s">
        <v>214</v>
      </c>
    </row>
    <row r="126" customFormat="false" ht="14.25" hidden="false" customHeight="false" outlineLevel="0" collapsed="false">
      <c r="A126" s="410" t="s">
        <v>1582</v>
      </c>
      <c r="B126" s="0" t="n">
        <v>184</v>
      </c>
      <c r="C126" s="0" t="n">
        <v>326480</v>
      </c>
      <c r="D126" s="0" t="n">
        <v>75.814</v>
      </c>
      <c r="E126" s="0" t="n">
        <v>75.458</v>
      </c>
      <c r="F126" s="0" t="n">
        <v>87</v>
      </c>
      <c r="H126" s="0" t="s">
        <v>214</v>
      </c>
    </row>
    <row r="127" customFormat="false" ht="14.25" hidden="false" customHeight="false" outlineLevel="0" collapsed="false">
      <c r="A127" s="410" t="s">
        <v>1583</v>
      </c>
      <c r="B127" s="0" t="n">
        <v>187</v>
      </c>
      <c r="C127" s="0" t="n">
        <v>317380</v>
      </c>
      <c r="D127" s="0" t="n">
        <v>73.06</v>
      </c>
      <c r="E127" s="0" t="n">
        <v>80.3508</v>
      </c>
      <c r="F127" s="0" t="n">
        <v>75</v>
      </c>
    </row>
    <row r="128" customFormat="false" ht="14.25" hidden="false" customHeight="false" outlineLevel="0" collapsed="false">
      <c r="A128" s="410" t="s">
        <v>1584</v>
      </c>
      <c r="B128" s="0" t="n">
        <v>187</v>
      </c>
      <c r="C128" s="0" t="n">
        <v>373720</v>
      </c>
      <c r="D128" s="0" t="n">
        <v>85.92</v>
      </c>
      <c r="E128" s="0" t="n">
        <v>81.9048</v>
      </c>
      <c r="F128" s="0" t="n">
        <v>93</v>
      </c>
    </row>
    <row r="129" customFormat="false" ht="14.25" hidden="false" customHeight="false" outlineLevel="0" collapsed="false">
      <c r="A129" s="410" t="s">
        <v>1585</v>
      </c>
      <c r="B129" s="0" t="n">
        <v>184</v>
      </c>
      <c r="C129" s="0" t="n">
        <v>458840</v>
      </c>
      <c r="D129" s="0" t="n">
        <v>105.2</v>
      </c>
      <c r="E129" s="0" t="n">
        <v>85.1468</v>
      </c>
      <c r="F129" s="0" t="n">
        <v>94</v>
      </c>
      <c r="G129" s="0" t="s">
        <v>214</v>
      </c>
    </row>
    <row r="130" customFormat="false" ht="14.25" hidden="false" customHeight="false" outlineLevel="0" collapsed="false">
      <c r="A130" s="410" t="s">
        <v>1586</v>
      </c>
      <c r="B130" s="0" t="n">
        <v>183</v>
      </c>
      <c r="C130" s="0" t="n">
        <v>324310</v>
      </c>
      <c r="D130" s="0" t="n">
        <v>72.46</v>
      </c>
      <c r="E130" s="0" t="n">
        <f aca="false">AVERAGE(D126:D130)</f>
        <v>82.4908</v>
      </c>
      <c r="F130" s="0" t="n">
        <v>88</v>
      </c>
    </row>
    <row r="131" customFormat="false" ht="14.25" hidden="false" customHeight="false" outlineLevel="0" collapsed="false">
      <c r="A131" s="410" t="s">
        <v>1587</v>
      </c>
      <c r="B131" s="0" t="n">
        <v>186</v>
      </c>
      <c r="C131" s="0" t="n">
        <v>282190</v>
      </c>
      <c r="D131" s="0" t="n">
        <v>62.12</v>
      </c>
      <c r="E131" s="0" t="n">
        <f aca="false">AVERAGE(D127:D131)</f>
        <v>79.752</v>
      </c>
      <c r="F131" s="0" t="n">
        <v>73</v>
      </c>
    </row>
    <row r="132" customFormat="false" ht="14.25" hidden="false" customHeight="false" outlineLevel="0" collapsed="false">
      <c r="A132" s="410" t="s">
        <v>13</v>
      </c>
      <c r="B132" s="0" t="n">
        <v>189</v>
      </c>
      <c r="C132" s="0" t="n">
        <v>425950</v>
      </c>
      <c r="D132" s="0" t="n">
        <v>92.38</v>
      </c>
      <c r="E132" s="0" t="n">
        <v>85.92</v>
      </c>
      <c r="F132" s="0" t="n">
        <v>91</v>
      </c>
    </row>
    <row r="133" customFormat="false" ht="14.25" hidden="false" customHeight="false" outlineLevel="0" collapsed="false">
      <c r="A133" s="410" t="s">
        <v>14</v>
      </c>
      <c r="B133" s="0" t="n">
        <v>189</v>
      </c>
      <c r="C133" s="0" t="n">
        <v>545710</v>
      </c>
      <c r="D133" s="0" t="n">
        <v>117</v>
      </c>
      <c r="E133" s="0" t="n">
        <v>89.832</v>
      </c>
      <c r="F133" s="0" t="n">
        <v>115</v>
      </c>
    </row>
    <row r="134" customFormat="false" ht="14.25" hidden="false" customHeight="false" outlineLevel="0" collapsed="false">
      <c r="A134" s="410" t="s">
        <v>15</v>
      </c>
      <c r="B134" s="0" t="n">
        <v>193</v>
      </c>
      <c r="C134" s="0" t="n">
        <v>320440</v>
      </c>
      <c r="D134" s="0" t="n">
        <v>65.56</v>
      </c>
      <c r="E134" s="0" t="n">
        <v>81.904</v>
      </c>
      <c r="F134" s="0" t="n">
        <v>83</v>
      </c>
    </row>
    <row r="135" customFormat="false" ht="14.25" hidden="false" customHeight="false" outlineLevel="0" collapsed="false">
      <c r="A135" s="410" t="s">
        <v>16</v>
      </c>
      <c r="B135" s="0" t="n">
        <v>194</v>
      </c>
      <c r="C135" s="0" t="n">
        <v>267300</v>
      </c>
      <c r="D135" s="0" t="n">
        <v>53.53</v>
      </c>
      <c r="E135" s="0" t="n">
        <v>78.118</v>
      </c>
      <c r="F135" s="0" t="n">
        <v>70</v>
      </c>
    </row>
    <row r="136" customFormat="false" ht="14.25" hidden="false" customHeight="false" outlineLevel="0" collapsed="false">
      <c r="A136" s="410" t="s">
        <v>17</v>
      </c>
      <c r="B136" s="0" t="n">
        <v>201</v>
      </c>
      <c r="C136" s="0" t="n">
        <v>437990</v>
      </c>
      <c r="D136" s="0" t="n">
        <v>85.77</v>
      </c>
      <c r="E136" s="0" t="n">
        <v>82.848</v>
      </c>
      <c r="F136" s="0" t="n">
        <v>72</v>
      </c>
    </row>
    <row r="137" customFormat="false" ht="14.25" hidden="false" customHeight="false" outlineLevel="0" collapsed="false">
      <c r="A137" s="410" t="s">
        <v>18</v>
      </c>
      <c r="B137" s="0" t="n">
        <v>193</v>
      </c>
      <c r="C137" s="0" t="n">
        <v>555160</v>
      </c>
      <c r="D137" s="0" t="n">
        <v>114.59</v>
      </c>
      <c r="E137" s="0" t="n">
        <v>87.29</v>
      </c>
      <c r="F137" s="0" t="n">
        <v>105</v>
      </c>
    </row>
    <row r="138" customFormat="false" ht="14.25" hidden="false" customHeight="false" outlineLevel="0" collapsed="false">
      <c r="A138" s="410" t="s">
        <v>19</v>
      </c>
      <c r="B138" s="0" t="n">
        <v>193</v>
      </c>
      <c r="C138" s="0" t="n">
        <v>381170</v>
      </c>
      <c r="D138" s="0" t="n">
        <v>77.348</v>
      </c>
      <c r="E138" s="0" t="n">
        <v>79.3596</v>
      </c>
      <c r="F138" s="0" t="n">
        <v>93</v>
      </c>
    </row>
    <row r="139" customFormat="false" ht="14.25" hidden="false" customHeight="false" outlineLevel="0" collapsed="false">
      <c r="A139" s="410" t="s">
        <v>20</v>
      </c>
      <c r="B139" s="0" t="n">
        <v>195</v>
      </c>
      <c r="C139" s="0" t="n">
        <v>348150</v>
      </c>
      <c r="D139" s="408" t="n">
        <v>72.1975</v>
      </c>
      <c r="E139" s="0" t="n">
        <v>80.6871</v>
      </c>
      <c r="F139" s="0" t="n">
        <v>81</v>
      </c>
    </row>
    <row r="140" customFormat="false" ht="14.25" hidden="false" customHeight="false" outlineLevel="0" collapsed="false">
      <c r="A140" s="410" t="s">
        <v>21</v>
      </c>
      <c r="B140" s="0" t="n">
        <v>191</v>
      </c>
      <c r="C140" s="0" t="n">
        <v>273210</v>
      </c>
      <c r="D140" s="0" t="n">
        <v>55.43</v>
      </c>
      <c r="E140" s="0" t="n">
        <v>81.0671</v>
      </c>
      <c r="F140" s="0" t="n">
        <v>56</v>
      </c>
    </row>
    <row r="141" customFormat="false" ht="14.25" hidden="false" customHeight="false" outlineLevel="0" collapsed="false">
      <c r="A141" s="412" t="s">
        <v>22</v>
      </c>
      <c r="B141" s="0" t="n">
        <v>194</v>
      </c>
      <c r="C141" s="0" t="n">
        <v>501185</v>
      </c>
      <c r="D141" s="0" t="n">
        <v>99.9</v>
      </c>
      <c r="E141" s="0" t="n">
        <v>83.8931</v>
      </c>
      <c r="F141" s="0" t="n">
        <v>101</v>
      </c>
    </row>
    <row r="142" customFormat="false" ht="14.25" hidden="false" customHeight="false" outlineLevel="0" collapsed="false">
      <c r="A142" s="412" t="s">
        <v>1588</v>
      </c>
      <c r="B142" s="0" t="n">
        <v>191</v>
      </c>
      <c r="C142" s="0" t="n">
        <v>451740</v>
      </c>
      <c r="D142" s="0" t="n">
        <v>86.47</v>
      </c>
      <c r="E142" s="0" t="n">
        <v>78.2691</v>
      </c>
      <c r="F142" s="0" t="n">
        <v>86</v>
      </c>
    </row>
    <row r="143" customFormat="false" ht="14.25" hidden="false" customHeight="false" outlineLevel="0" collapsed="false">
      <c r="A143" s="412" t="s">
        <v>24</v>
      </c>
      <c r="B143" s="0" t="n">
        <v>190</v>
      </c>
      <c r="C143" s="0" t="n">
        <v>383280</v>
      </c>
      <c r="D143" s="0" t="n">
        <v>72.82</v>
      </c>
      <c r="E143" s="0" t="n">
        <v>77</v>
      </c>
      <c r="F143" s="0" t="n">
        <v>86</v>
      </c>
    </row>
    <row r="144" customFormat="false" ht="14.25" hidden="false" customHeight="false" outlineLevel="0" collapsed="false">
      <c r="A144" s="412" t="s">
        <v>25</v>
      </c>
      <c r="B144" s="0" t="n">
        <v>192</v>
      </c>
      <c r="C144" s="0" t="n">
        <v>246145</v>
      </c>
      <c r="D144" s="0" t="n">
        <v>45.37</v>
      </c>
      <c r="E144" s="0" t="n">
        <v>71.998</v>
      </c>
      <c r="F144" s="0" t="n">
        <v>57</v>
      </c>
    </row>
    <row r="145" customFormat="false" ht="14.25" hidden="false" customHeight="false" outlineLevel="0" collapsed="false">
      <c r="A145" s="412" t="s">
        <v>26</v>
      </c>
      <c r="B145" s="0" t="n">
        <v>195</v>
      </c>
      <c r="C145" s="0" t="n">
        <v>221170</v>
      </c>
      <c r="D145" s="0" t="n">
        <v>41.67</v>
      </c>
      <c r="E145" s="0" t="n">
        <v>69.246</v>
      </c>
      <c r="F145" s="0" t="n">
        <v>45</v>
      </c>
      <c r="G145" s="0" t="s">
        <v>1589</v>
      </c>
    </row>
    <row r="146" customFormat="false" ht="14.25" hidden="false" customHeight="false" outlineLevel="0" collapsed="false">
      <c r="A146" s="412" t="s">
        <v>1590</v>
      </c>
      <c r="B146" s="0" t="n">
        <v>194</v>
      </c>
      <c r="C146" s="0" t="n">
        <v>310360</v>
      </c>
      <c r="D146" s="0" t="n">
        <v>57.21</v>
      </c>
      <c r="E146" s="0" t="n">
        <v>60.708</v>
      </c>
      <c r="F146" s="0" t="n">
        <v>47</v>
      </c>
    </row>
    <row r="147" customFormat="false" ht="14.25" hidden="false" customHeight="false" outlineLevel="0" collapsed="false">
      <c r="A147" s="412" t="s">
        <v>28</v>
      </c>
      <c r="B147" s="0" t="n">
        <v>193</v>
      </c>
      <c r="C147" s="0" t="n">
        <v>526940</v>
      </c>
      <c r="D147" s="0" t="n">
        <v>95.88</v>
      </c>
      <c r="E147" s="0" t="n">
        <v>62.59</v>
      </c>
      <c r="F147" s="0" t="n">
        <v>96</v>
      </c>
    </row>
    <row r="148" customFormat="false" ht="14.25" hidden="false" customHeight="false" outlineLevel="0" collapsed="false">
      <c r="A148" s="412" t="s">
        <v>29</v>
      </c>
      <c r="B148" s="0" t="n">
        <v>201</v>
      </c>
      <c r="C148" s="0" t="n">
        <v>261080</v>
      </c>
      <c r="D148" s="0" t="n">
        <v>46.03</v>
      </c>
      <c r="E148" s="0" t="n">
        <v>57.232</v>
      </c>
      <c r="F148" s="0" t="n">
        <v>69</v>
      </c>
    </row>
    <row r="149" customFormat="false" ht="14.25" hidden="false" customHeight="false" outlineLevel="0" collapsed="false">
      <c r="A149" s="412" t="s">
        <v>30</v>
      </c>
      <c r="B149" s="0" t="n">
        <v>200</v>
      </c>
      <c r="C149" s="0" t="n">
        <v>425380</v>
      </c>
      <c r="D149" s="0" t="n">
        <v>73.76</v>
      </c>
      <c r="E149" s="0" t="n">
        <v>62.91</v>
      </c>
      <c r="F149" s="0" t="n">
        <v>77</v>
      </c>
    </row>
    <row r="150" customFormat="false" ht="14.25" hidden="false" customHeight="false" outlineLevel="0" collapsed="false">
      <c r="A150" s="412" t="s">
        <v>31</v>
      </c>
      <c r="B150" s="0" t="n">
        <v>201</v>
      </c>
      <c r="C150" s="0" t="n">
        <v>527880</v>
      </c>
      <c r="D150" s="0" t="n">
        <v>90.24</v>
      </c>
      <c r="E150" s="0" t="n">
        <v>72.624</v>
      </c>
      <c r="F150" s="0" t="n">
        <v>89</v>
      </c>
    </row>
    <row r="151" customFormat="false" ht="14.25" hidden="false" customHeight="false" outlineLevel="0" collapsed="false">
      <c r="A151" s="412" t="s">
        <v>32</v>
      </c>
      <c r="B151" s="0" t="n">
        <v>196</v>
      </c>
      <c r="C151" s="0" t="n">
        <v>501830</v>
      </c>
      <c r="D151" s="0" t="n">
        <v>88.49</v>
      </c>
      <c r="E151" s="0" t="n">
        <v>78.88</v>
      </c>
      <c r="F151" s="0" t="n">
        <v>86</v>
      </c>
    </row>
    <row r="152" customFormat="false" ht="14.25" hidden="false" customHeight="false" outlineLevel="0" collapsed="false">
      <c r="A152" s="412" t="s">
        <v>33</v>
      </c>
      <c r="B152" s="0" t="n">
        <v>200</v>
      </c>
      <c r="C152" s="0" t="n">
        <v>254800</v>
      </c>
      <c r="D152" s="0" t="n">
        <v>44.08</v>
      </c>
      <c r="E152" s="0" t="n">
        <v>68.52</v>
      </c>
      <c r="F152" s="0" t="n">
        <v>63</v>
      </c>
    </row>
    <row r="153" customFormat="false" ht="14.25" hidden="false" customHeight="false" outlineLevel="0" collapsed="false">
      <c r="A153" s="412" t="s">
        <v>34</v>
      </c>
      <c r="B153" s="0" t="n">
        <v>205</v>
      </c>
      <c r="C153" s="0" t="n">
        <v>290210</v>
      </c>
      <c r="D153" s="0" t="n">
        <v>48.69</v>
      </c>
      <c r="E153" s="0" t="n">
        <v>69.052</v>
      </c>
      <c r="F153" s="0" t="n">
        <v>67</v>
      </c>
    </row>
    <row r="154" customFormat="false" ht="14.25" hidden="false" customHeight="false" outlineLevel="0" collapsed="false">
      <c r="A154" s="412" t="s">
        <v>35</v>
      </c>
      <c r="B154" s="0" t="n">
        <v>200</v>
      </c>
      <c r="C154" s="0" t="n">
        <v>335770</v>
      </c>
      <c r="D154" s="0" t="n">
        <v>57.67</v>
      </c>
      <c r="E154" s="0" t="n">
        <v>65.834</v>
      </c>
      <c r="F154" s="0" t="n">
        <v>82</v>
      </c>
    </row>
    <row r="155" customFormat="false" ht="14.25" hidden="false" customHeight="false" outlineLevel="0" collapsed="false">
      <c r="A155" s="412" t="s">
        <v>36</v>
      </c>
      <c r="B155" s="0" t="n">
        <v>202</v>
      </c>
      <c r="C155" s="0" t="n">
        <v>646770</v>
      </c>
      <c r="D155" s="0" t="n">
        <v>105.73</v>
      </c>
      <c r="E155" s="0" t="n">
        <f aca="false">AVERAGE(D151:D155)</f>
        <v>68.932</v>
      </c>
      <c r="F155" s="0" t="n">
        <v>99</v>
      </c>
      <c r="G155" s="0" t="s">
        <v>214</v>
      </c>
    </row>
    <row r="156" customFormat="false" ht="14.25" hidden="false" customHeight="false" outlineLevel="0" collapsed="false">
      <c r="A156" s="412" t="s">
        <v>37</v>
      </c>
      <c r="B156" s="0" t="n">
        <v>202</v>
      </c>
      <c r="C156" s="0" t="n">
        <v>343530</v>
      </c>
      <c r="D156" s="0" t="n">
        <v>54.9</v>
      </c>
      <c r="E156" s="0" t="n">
        <f aca="false">AVERAGE(D152:D156)</f>
        <v>62.214</v>
      </c>
      <c r="F156" s="0" t="n">
        <v>72</v>
      </c>
    </row>
    <row r="157" customFormat="false" ht="14.25" hidden="false" customHeight="false" outlineLevel="0" collapsed="false">
      <c r="A157" s="412" t="s">
        <v>38</v>
      </c>
      <c r="B157" s="0" t="n">
        <v>201</v>
      </c>
      <c r="C157" s="0" t="n">
        <v>356890</v>
      </c>
      <c r="D157" s="0" t="n">
        <v>55.93</v>
      </c>
      <c r="E157" s="0" t="n">
        <f aca="false">AVERAGE(D153:D157)</f>
        <v>64.584</v>
      </c>
      <c r="F157" s="0" t="n">
        <v>64</v>
      </c>
    </row>
    <row r="158" customFormat="false" ht="14.25" hidden="false" customHeight="false" outlineLevel="0" collapsed="false">
      <c r="A158" s="412" t="s">
        <v>39</v>
      </c>
      <c r="B158" s="0" t="n">
        <v>197</v>
      </c>
      <c r="C158" s="0" t="n">
        <v>450350</v>
      </c>
      <c r="D158" s="0" t="n">
        <v>73.6515</v>
      </c>
      <c r="E158" s="0" t="n">
        <f aca="false">AVERAGE(D154:D158)</f>
        <v>69.5763</v>
      </c>
      <c r="F158" s="0" t="n">
        <v>67</v>
      </c>
    </row>
    <row r="159" customFormat="false" ht="14.25" hidden="false" customHeight="false" outlineLevel="0" collapsed="false">
      <c r="A159" s="412" t="s">
        <v>40</v>
      </c>
      <c r="B159" s="0" t="n">
        <v>202</v>
      </c>
      <c r="C159" s="0" t="n">
        <v>514920</v>
      </c>
      <c r="D159" s="0" t="n">
        <v>78.66</v>
      </c>
      <c r="E159" s="0" t="n">
        <f aca="false">AVERAGE(D155:D159)</f>
        <v>73.7743</v>
      </c>
      <c r="F159" s="0" t="n">
        <v>87</v>
      </c>
    </row>
    <row r="160" customFormat="false" ht="14.25" hidden="false" customHeight="false" outlineLevel="0" collapsed="false">
      <c r="A160" s="412" t="s">
        <v>1591</v>
      </c>
      <c r="B160" s="0" t="n">
        <v>198</v>
      </c>
      <c r="C160" s="0" t="n">
        <v>450150</v>
      </c>
      <c r="D160" s="0" t="n">
        <v>68.17</v>
      </c>
      <c r="E160" s="0" t="n">
        <f aca="false">AVERAGE(D156:D160)</f>
        <v>66.2623</v>
      </c>
      <c r="F160" s="0" t="n">
        <v>70</v>
      </c>
    </row>
    <row r="161" customFormat="false" ht="14.25" hidden="false" customHeight="false" outlineLevel="0" collapsed="false">
      <c r="A161" s="412" t="s">
        <v>42</v>
      </c>
      <c r="B161" s="0" t="n">
        <v>200</v>
      </c>
      <c r="C161" s="0" t="n">
        <v>238860</v>
      </c>
      <c r="D161" s="0" t="n">
        <v>35.52</v>
      </c>
      <c r="E161" s="0" t="n">
        <f aca="false">AVERAGE(D157:D161)</f>
        <v>62.3863</v>
      </c>
      <c r="F161" s="0" t="n">
        <v>48</v>
      </c>
    </row>
    <row r="162" customFormat="false" ht="14.25" hidden="false" customHeight="false" outlineLevel="0" collapsed="false">
      <c r="A162" s="412" t="s">
        <v>43</v>
      </c>
      <c r="B162" s="0" t="n">
        <v>203</v>
      </c>
      <c r="C162" s="0" t="n">
        <v>473650</v>
      </c>
      <c r="D162" s="0" t="n">
        <v>70.34</v>
      </c>
      <c r="E162" s="0" t="n">
        <f aca="false">AVERAGE(D158:D162)</f>
        <v>65.2683</v>
      </c>
      <c r="F162" s="0" t="n">
        <v>74</v>
      </c>
    </row>
    <row r="163" customFormat="false" ht="14.25" hidden="false" customHeight="false" outlineLevel="0" collapsed="false">
      <c r="A163" s="412" t="s">
        <v>1592</v>
      </c>
      <c r="B163" s="0" t="n">
        <v>204</v>
      </c>
      <c r="C163" s="0" t="n">
        <v>729367</v>
      </c>
      <c r="D163" s="0" t="n">
        <v>105.74</v>
      </c>
      <c r="E163" s="0" t="n">
        <f aca="false">AVERAGE(D159:D163)</f>
        <v>71.686</v>
      </c>
      <c r="F163" s="0" t="n">
        <v>99</v>
      </c>
    </row>
    <row r="164" customFormat="false" ht="14.25" hidden="false" customHeight="false" outlineLevel="0" collapsed="false">
      <c r="A164" s="412" t="s">
        <v>45</v>
      </c>
      <c r="B164" s="0" t="n">
        <v>202</v>
      </c>
      <c r="C164" s="0" t="n">
        <v>440310</v>
      </c>
      <c r="D164" s="0" t="n">
        <v>63.1</v>
      </c>
      <c r="E164" s="0" t="n">
        <f aca="false">AVERAGE(D160:D164)</f>
        <v>68.574</v>
      </c>
      <c r="F164" s="0" t="n">
        <v>78</v>
      </c>
    </row>
    <row r="165" customFormat="false" ht="14.25" hidden="false" customHeight="false" outlineLevel="0" collapsed="false">
      <c r="A165" s="412" t="s">
        <v>46</v>
      </c>
      <c r="B165" s="0" t="n">
        <v>200</v>
      </c>
      <c r="C165" s="0" t="n">
        <v>445260</v>
      </c>
      <c r="D165" s="0" t="n">
        <v>64.009</v>
      </c>
      <c r="E165" s="0" t="n">
        <f aca="false">AVERAGE(D161:D165)</f>
        <v>67.7418</v>
      </c>
      <c r="F165" s="0" t="n">
        <v>67</v>
      </c>
    </row>
    <row r="166" customFormat="false" ht="14.25" hidden="false" customHeight="false" outlineLevel="0" collapsed="false">
      <c r="A166" s="412" t="s">
        <v>47</v>
      </c>
      <c r="B166" s="0" t="n">
        <v>197</v>
      </c>
      <c r="C166" s="0" t="n">
        <v>393510</v>
      </c>
      <c r="D166" s="0" t="n">
        <v>55.81</v>
      </c>
      <c r="E166" s="0" t="n">
        <f aca="false">AVERAGE(D162:D166)</f>
        <v>71.7998</v>
      </c>
      <c r="F166" s="0" t="n">
        <v>72</v>
      </c>
    </row>
    <row r="167" customFormat="false" ht="14.25" hidden="false" customHeight="false" outlineLevel="0" collapsed="false">
      <c r="A167" s="412" t="s">
        <v>48</v>
      </c>
      <c r="B167" s="0" t="n">
        <v>200</v>
      </c>
      <c r="C167" s="0" t="n">
        <v>489837</v>
      </c>
      <c r="D167" s="0" t="n">
        <v>67.91</v>
      </c>
      <c r="E167" s="0" t="n">
        <f aca="false">AVERAGE(D163:D167)</f>
        <v>71.3138</v>
      </c>
      <c r="F167" s="0" t="n">
        <v>69</v>
      </c>
      <c r="G167" s="413" t="s">
        <v>1593</v>
      </c>
      <c r="H167" s="413"/>
      <c r="I167" s="413"/>
      <c r="J167" s="413"/>
      <c r="K167" s="413"/>
      <c r="L167" s="413"/>
    </row>
    <row r="168" customFormat="false" ht="14.25" hidden="false" customHeight="false" outlineLevel="0" collapsed="false">
      <c r="A168" s="412" t="s">
        <v>49</v>
      </c>
      <c r="B168" s="0" t="n">
        <v>199</v>
      </c>
      <c r="C168" s="0" t="n">
        <v>790393</v>
      </c>
      <c r="D168" s="0" t="n">
        <v>107.45</v>
      </c>
      <c r="E168" s="0" t="n">
        <f aca="false">AVERAGE(D164:D168)</f>
        <v>71.6558</v>
      </c>
      <c r="F168" s="0" t="n">
        <v>102</v>
      </c>
    </row>
    <row r="169" customFormat="false" ht="14.25" hidden="false" customHeight="false" outlineLevel="0" collapsed="false">
      <c r="A169" s="412" t="s">
        <v>50</v>
      </c>
      <c r="B169" s="0" t="n">
        <v>197</v>
      </c>
      <c r="C169" s="0" t="n">
        <v>505860</v>
      </c>
      <c r="D169" s="0" t="n">
        <v>68.9</v>
      </c>
      <c r="E169" s="0" t="n">
        <f aca="false">AVERAGE(D165:D169)</f>
        <v>72.8158</v>
      </c>
      <c r="F169" s="0" t="n">
        <v>82</v>
      </c>
    </row>
    <row r="170" customFormat="false" ht="14.25" hidden="false" customHeight="false" outlineLevel="0" collapsed="false">
      <c r="A170" s="412" t="s">
        <v>51</v>
      </c>
      <c r="B170" s="0" t="n">
        <v>195</v>
      </c>
      <c r="C170" s="0" t="n">
        <v>332905</v>
      </c>
      <c r="D170" s="0" t="n">
        <v>46.55</v>
      </c>
      <c r="E170" s="0" t="n">
        <f aca="false">AVERAGE(D166:D170)</f>
        <v>69.324</v>
      </c>
      <c r="F170" s="0" t="n">
        <v>64</v>
      </c>
    </row>
    <row r="171" customFormat="false" ht="14.25" hidden="false" customHeight="false" outlineLevel="0" collapsed="false">
      <c r="A171" s="412" t="s">
        <v>52</v>
      </c>
      <c r="B171" s="0" t="n">
        <v>198</v>
      </c>
      <c r="C171" s="0" t="n">
        <v>723260</v>
      </c>
      <c r="D171" s="0" t="n">
        <v>99.555</v>
      </c>
      <c r="E171" s="0" t="n">
        <f aca="false">AVERAGE(D167:D171)</f>
        <v>78.073</v>
      </c>
      <c r="F171" s="0" t="n">
        <v>96</v>
      </c>
    </row>
    <row r="172" customFormat="false" ht="14.25" hidden="false" customHeight="false" outlineLevel="0" collapsed="false">
      <c r="A172" s="412" t="s">
        <v>53</v>
      </c>
      <c r="B172" s="0" t="n">
        <v>197</v>
      </c>
      <c r="C172" s="0" t="n">
        <v>815156</v>
      </c>
      <c r="D172" s="0" t="n">
        <v>108.91</v>
      </c>
      <c r="E172" s="0" t="n">
        <f aca="false">AVERAGE(D168:D172)</f>
        <v>86.273</v>
      </c>
      <c r="F172" s="0" t="n">
        <v>95</v>
      </c>
    </row>
    <row r="173" customFormat="false" ht="14.25" hidden="false" customHeight="false" outlineLevel="0" collapsed="false">
      <c r="A173" s="412" t="s">
        <v>54</v>
      </c>
      <c r="B173" s="0" t="n">
        <v>196</v>
      </c>
      <c r="C173" s="0" t="n">
        <v>801660</v>
      </c>
      <c r="D173" s="0" t="n">
        <v>103.19</v>
      </c>
      <c r="E173" s="0" t="n">
        <f aca="false">AVERAGE(D169:D173)</f>
        <v>85.421</v>
      </c>
      <c r="F173" s="0" t="n">
        <v>81</v>
      </c>
    </row>
    <row r="174" customFormat="false" ht="14.25" hidden="false" customHeight="false" outlineLevel="0" collapsed="false">
      <c r="A174" s="412" t="s">
        <v>55</v>
      </c>
      <c r="B174" s="0" t="n">
        <v>202</v>
      </c>
      <c r="C174" s="0" t="n">
        <v>457995</v>
      </c>
      <c r="D174" s="0" t="n">
        <v>56.93</v>
      </c>
      <c r="E174" s="0" t="n">
        <f aca="false">AVERAGE(D170:D174)</f>
        <v>83.027</v>
      </c>
      <c r="F174" s="0" t="n">
        <v>69</v>
      </c>
    </row>
    <row r="175" customFormat="false" ht="14.25" hidden="false" customHeight="false" outlineLevel="0" collapsed="false">
      <c r="A175" s="412" t="s">
        <v>56</v>
      </c>
      <c r="B175" s="0" t="n">
        <v>201</v>
      </c>
      <c r="C175" s="0" t="n">
        <v>448750</v>
      </c>
      <c r="D175" s="0" t="n">
        <v>54.03</v>
      </c>
      <c r="E175" s="0" t="n">
        <f aca="false">AVERAGE(D171:D175)</f>
        <v>84.523</v>
      </c>
      <c r="F175" s="0" t="n">
        <v>75</v>
      </c>
    </row>
    <row r="176" customFormat="false" ht="14.25" hidden="false" customHeight="false" outlineLevel="0" collapsed="false">
      <c r="A176" s="412" t="s">
        <v>57</v>
      </c>
      <c r="B176" s="0" t="n">
        <v>200</v>
      </c>
      <c r="C176" s="0" t="n">
        <v>893345</v>
      </c>
      <c r="D176" s="0" t="n">
        <v>108.19</v>
      </c>
      <c r="E176" s="0" t="n">
        <f aca="false">AVERAGE(D172:D176)</f>
        <v>86.25</v>
      </c>
      <c r="F176" s="0" t="n">
        <v>95</v>
      </c>
    </row>
    <row r="177" customFormat="false" ht="14.25" hidden="false" customHeight="false" outlineLevel="0" collapsed="false">
      <c r="A177" s="412" t="s">
        <v>58</v>
      </c>
      <c r="B177" s="0" t="n">
        <v>200</v>
      </c>
      <c r="C177" s="0" t="n">
        <v>712720</v>
      </c>
      <c r="D177" s="0" t="n">
        <v>82.75</v>
      </c>
      <c r="E177" s="0" t="n">
        <f aca="false">AVERAGE(D173:D177)</f>
        <v>81.018</v>
      </c>
      <c r="F177" s="0" t="n">
        <v>83</v>
      </c>
    </row>
    <row r="178" customFormat="false" ht="14.25" hidden="false" customHeight="false" outlineLevel="0" collapsed="false">
      <c r="A178" s="412" t="s">
        <v>59</v>
      </c>
      <c r="B178" s="0" t="n">
        <v>194</v>
      </c>
      <c r="C178" s="0" t="n">
        <v>776030</v>
      </c>
      <c r="D178" s="0" t="n">
        <v>91.52</v>
      </c>
      <c r="E178" s="0" t="n">
        <f aca="false">AVERAGE(D174:D178)</f>
        <v>78.684</v>
      </c>
      <c r="F178" s="0" t="n">
        <v>79</v>
      </c>
    </row>
    <row r="179" customFormat="false" ht="14.25" hidden="false" customHeight="false" outlineLevel="0" collapsed="false">
      <c r="A179" s="412" t="s">
        <v>60</v>
      </c>
      <c r="B179" s="0" t="n">
        <v>202</v>
      </c>
      <c r="C179" s="0" t="n">
        <v>526754</v>
      </c>
      <c r="D179" s="0" t="n">
        <v>60.09</v>
      </c>
      <c r="E179" s="0" t="n">
        <f aca="false">AVERAGE(D175:D179)</f>
        <v>79.316</v>
      </c>
      <c r="F179" s="0" t="n">
        <v>80</v>
      </c>
    </row>
    <row r="180" customFormat="false" ht="14.25" hidden="false" customHeight="false" outlineLevel="0" collapsed="false">
      <c r="A180" s="412" t="s">
        <v>61</v>
      </c>
      <c r="B180" s="0" t="n">
        <v>188</v>
      </c>
      <c r="C180" s="0" t="n">
        <v>931235</v>
      </c>
      <c r="D180" s="0" t="n">
        <v>108.84</v>
      </c>
      <c r="E180" s="0" t="n">
        <f aca="false">AVERAGE(D176:D180)</f>
        <v>90.278</v>
      </c>
      <c r="F180" s="0" t="n">
        <v>94</v>
      </c>
    </row>
    <row r="181" customFormat="false" ht="14.25" hidden="false" customHeight="false" outlineLevel="0" collapsed="false">
      <c r="A181" s="412" t="s">
        <v>62</v>
      </c>
      <c r="B181" s="0" t="n">
        <v>188</v>
      </c>
      <c r="C181" s="0" t="n">
        <v>922915</v>
      </c>
      <c r="D181" s="0" t="n">
        <v>106.34</v>
      </c>
      <c r="E181" s="0" t="n">
        <f aca="false">AVERAGE(D177:D181)</f>
        <v>89.908</v>
      </c>
      <c r="F181" s="0" t="n">
        <v>91</v>
      </c>
    </row>
    <row r="182" customFormat="false" ht="14.25" hidden="false" customHeight="false" outlineLevel="0" collapsed="false">
      <c r="A182" s="412" t="s">
        <v>63</v>
      </c>
      <c r="B182" s="0" t="n">
        <v>183</v>
      </c>
      <c r="C182" s="0" t="n">
        <v>653885</v>
      </c>
      <c r="D182" s="0" t="n">
        <v>75.37</v>
      </c>
      <c r="E182" s="0" t="n">
        <f aca="false">AVERAGE(D178:D182)</f>
        <v>88.432</v>
      </c>
      <c r="F182" s="0" t="n">
        <v>68</v>
      </c>
      <c r="G182" s="414" t="n">
        <v>495000</v>
      </c>
      <c r="H182" s="415" t="n">
        <f aca="false">SUM(C182-G182)</f>
        <v>158885</v>
      </c>
    </row>
    <row r="183" customFormat="false" ht="14.25" hidden="false" customHeight="false" outlineLevel="0" collapsed="false">
      <c r="A183" s="412" t="s">
        <v>64</v>
      </c>
      <c r="B183" s="0" t="n">
        <v>189</v>
      </c>
      <c r="C183" s="0" t="n">
        <v>611315</v>
      </c>
      <c r="D183" s="0" t="n">
        <v>63.34</v>
      </c>
      <c r="E183" s="0" t="n">
        <f aca="false">AVERAGE(D179:D183)</f>
        <v>82.796</v>
      </c>
      <c r="F183" s="0" t="n">
        <v>62</v>
      </c>
      <c r="G183" s="414" t="n">
        <v>550000</v>
      </c>
      <c r="H183" s="415" t="n">
        <f aca="false">SUM(C183-G183)</f>
        <v>61315</v>
      </c>
    </row>
    <row r="184" customFormat="false" ht="14.25" hidden="false" customHeight="false" outlineLevel="0" collapsed="false">
      <c r="A184" s="412" t="s">
        <v>65</v>
      </c>
      <c r="B184" s="0" t="n">
        <v>190</v>
      </c>
      <c r="C184" s="0" t="n">
        <v>824285</v>
      </c>
      <c r="D184" s="0" t="n">
        <v>83.04</v>
      </c>
      <c r="E184" s="0" t="n">
        <f aca="false">AVERAGE(D180:D184)</f>
        <v>87.386</v>
      </c>
      <c r="F184" s="0" t="n">
        <v>103</v>
      </c>
      <c r="G184" s="414" t="n">
        <v>435000</v>
      </c>
      <c r="H184" s="415" t="n">
        <f aca="false">SUM(C184-G184)</f>
        <v>389285</v>
      </c>
    </row>
    <row r="185" customFormat="false" ht="14.25" hidden="false" customHeight="false" outlineLevel="0" collapsed="false">
      <c r="A185" s="412" t="s">
        <v>66</v>
      </c>
      <c r="B185" s="0" t="n">
        <v>194</v>
      </c>
      <c r="C185" s="0" t="n">
        <v>1085815</v>
      </c>
      <c r="D185" s="0" t="n">
        <v>109.87</v>
      </c>
      <c r="E185" s="0" t="n">
        <f aca="false">AVERAGE(D181:D185)</f>
        <v>87.592</v>
      </c>
      <c r="F185" s="0" t="n">
        <v>100</v>
      </c>
      <c r="G185" s="414" t="n">
        <v>183000</v>
      </c>
      <c r="H185" s="415" t="n">
        <f aca="false">SUM(C185-G185)</f>
        <v>902815</v>
      </c>
    </row>
    <row r="186" customFormat="false" ht="14.25" hidden="false" customHeight="false" outlineLevel="0" collapsed="false">
      <c r="A186" s="412" t="s">
        <v>67</v>
      </c>
      <c r="B186" s="0" t="n">
        <v>189</v>
      </c>
      <c r="C186" s="0" t="n">
        <v>750200</v>
      </c>
      <c r="D186" s="0" t="n">
        <v>72.13</v>
      </c>
      <c r="E186" s="0" t="n">
        <f aca="false">AVERAGE(D182:D186)</f>
        <v>80.75</v>
      </c>
      <c r="F186" s="0" t="n">
        <v>82</v>
      </c>
      <c r="G186" s="414" t="n">
        <v>570000</v>
      </c>
      <c r="H186" s="415" t="n">
        <f aca="false">SUM(C186-G186)</f>
        <v>180200</v>
      </c>
      <c r="J186" s="0" t="s">
        <v>214</v>
      </c>
    </row>
    <row r="187" customFormat="false" ht="14.25" hidden="false" customHeight="false" outlineLevel="0" collapsed="false">
      <c r="A187" s="412" t="s">
        <v>68</v>
      </c>
      <c r="B187" s="0" t="n">
        <v>195</v>
      </c>
      <c r="C187" s="0" t="n">
        <v>762705</v>
      </c>
      <c r="D187" s="0" t="n">
        <v>68.122</v>
      </c>
      <c r="E187" s="0" t="n">
        <f aca="false">AVERAGE(D183:D187)</f>
        <v>79.3004</v>
      </c>
      <c r="F187" s="0" t="n">
        <v>84</v>
      </c>
      <c r="G187" s="414" t="n">
        <v>680000</v>
      </c>
      <c r="H187" s="415" t="n">
        <f aca="false">SUM(C187-G187)</f>
        <v>82705</v>
      </c>
      <c r="J187" s="0" t="s">
        <v>214</v>
      </c>
    </row>
    <row r="188" customFormat="false" ht="14.25" hidden="false" customHeight="false" outlineLevel="0" collapsed="false">
      <c r="A188" s="412" t="s">
        <v>69</v>
      </c>
      <c r="B188" s="0" t="n">
        <v>198</v>
      </c>
      <c r="C188" s="0" t="n">
        <v>732750</v>
      </c>
      <c r="D188" s="0" t="n">
        <v>64.11</v>
      </c>
      <c r="E188" s="0" t="n">
        <f aca="false">AVERAGE(D184:D188)</f>
        <v>79.4544</v>
      </c>
      <c r="F188" s="0" t="n">
        <v>62</v>
      </c>
      <c r="G188" s="414" t="n">
        <v>536530</v>
      </c>
      <c r="H188" s="415" t="n">
        <f aca="false">SUM(C188-G188)</f>
        <v>196220</v>
      </c>
    </row>
    <row r="189" customFormat="false" ht="14.25" hidden="false" customHeight="false" outlineLevel="0" collapsed="false">
      <c r="A189" s="412" t="s">
        <v>70</v>
      </c>
      <c r="B189" s="0" t="n">
        <v>202</v>
      </c>
      <c r="C189" s="0" t="n">
        <v>1231500</v>
      </c>
      <c r="D189" s="0" t="n">
        <v>103.89</v>
      </c>
      <c r="E189" s="0" t="n">
        <f aca="false">AVERAGE(D185:D189)</f>
        <v>83.6244</v>
      </c>
      <c r="F189" s="0" t="n">
        <v>110</v>
      </c>
      <c r="G189" s="414" t="n">
        <v>600000</v>
      </c>
      <c r="H189" s="415" t="n">
        <f aca="false">SUM(C189-G189)</f>
        <v>631500</v>
      </c>
      <c r="J189" s="0" t="s">
        <v>214</v>
      </c>
    </row>
    <row r="190" customFormat="false" ht="14.25" hidden="false" customHeight="false" outlineLevel="0" collapsed="false">
      <c r="A190" s="412" t="s">
        <v>71</v>
      </c>
      <c r="B190" s="0" t="n">
        <v>187</v>
      </c>
      <c r="C190" s="0" t="n">
        <v>929425</v>
      </c>
      <c r="D190" s="0" t="n">
        <v>79.645</v>
      </c>
      <c r="E190" s="0" t="n">
        <f aca="false">AVERAGE(D186:D190)</f>
        <v>77.5794</v>
      </c>
      <c r="F190" s="0" t="n">
        <v>81</v>
      </c>
      <c r="G190" s="414" t="n">
        <v>635000</v>
      </c>
      <c r="H190" s="415" t="n">
        <f aca="false">SUM(C190-G190)</f>
        <v>294425</v>
      </c>
    </row>
    <row r="191" customFormat="false" ht="14.25" hidden="false" customHeight="false" outlineLevel="0" collapsed="false">
      <c r="A191" s="412" t="s">
        <v>72</v>
      </c>
      <c r="B191" s="0" t="n">
        <v>187</v>
      </c>
      <c r="C191" s="0" t="n">
        <v>840040</v>
      </c>
      <c r="D191" s="0" t="n">
        <v>72.45</v>
      </c>
      <c r="E191" s="0" t="n">
        <f aca="false">AVERAGE(D187:D191)</f>
        <v>77.6434</v>
      </c>
      <c r="F191" s="0" t="n">
        <v>78</v>
      </c>
      <c r="G191" s="414" t="n">
        <v>655000</v>
      </c>
      <c r="H191" s="415" t="n">
        <f aca="false">SUM(C191-G191)</f>
        <v>185040</v>
      </c>
    </row>
    <row r="192" customFormat="false" ht="14.25" hidden="false" customHeight="false" outlineLevel="0" collapsed="false">
      <c r="A192" s="412" t="s">
        <v>73</v>
      </c>
      <c r="B192" s="0" t="n">
        <v>185</v>
      </c>
      <c r="C192" s="0" t="n">
        <v>476945</v>
      </c>
      <c r="D192" s="0" t="n">
        <v>41.12</v>
      </c>
      <c r="E192" s="0" t="n">
        <f aca="false">AVERAGE(D188:D192)</f>
        <v>72.243</v>
      </c>
      <c r="F192" s="0" t="n">
        <v>56</v>
      </c>
      <c r="G192" s="414" t="n">
        <v>340000</v>
      </c>
      <c r="H192" s="415" t="n">
        <f aca="false">SUM(C192-G192)</f>
        <v>136945</v>
      </c>
    </row>
    <row r="193" customFormat="false" ht="14.25" hidden="false" customHeight="false" outlineLevel="0" collapsed="false">
      <c r="A193" s="416" t="s">
        <v>74</v>
      </c>
      <c r="B193" s="0" t="n">
        <v>190</v>
      </c>
      <c r="C193" s="0" t="n">
        <v>1341115</v>
      </c>
      <c r="D193" s="0" t="n">
        <v>112.08</v>
      </c>
      <c r="E193" s="0" t="n">
        <f aca="false">AVERAGE(D189:D193)</f>
        <v>81.837</v>
      </c>
      <c r="F193" s="0" t="n">
        <v>85</v>
      </c>
      <c r="G193" s="414" t="n">
        <v>485000</v>
      </c>
      <c r="H193" s="415" t="n">
        <f aca="false">SUM(C193-G193)</f>
        <v>856115</v>
      </c>
    </row>
    <row r="194" customFormat="false" ht="14.25" hidden="false" customHeight="false" outlineLevel="0" collapsed="false">
      <c r="A194" s="416" t="s">
        <v>75</v>
      </c>
      <c r="B194" s="0" t="n">
        <v>196</v>
      </c>
      <c r="C194" s="0" t="n">
        <v>1153025</v>
      </c>
      <c r="D194" s="0" t="n">
        <v>93.97</v>
      </c>
      <c r="E194" s="0" t="n">
        <f aca="false">AVERAGE(D190:D194)</f>
        <v>79.853</v>
      </c>
      <c r="F194" s="0" t="n">
        <v>85</v>
      </c>
      <c r="G194" s="414" t="n">
        <v>505000</v>
      </c>
      <c r="H194" s="415" t="n">
        <f aca="false">SUM(C194-G194)</f>
        <v>648025</v>
      </c>
    </row>
    <row r="195" customFormat="false" ht="14.25" hidden="false" customHeight="false" outlineLevel="0" collapsed="false">
      <c r="A195" s="416" t="s">
        <v>76</v>
      </c>
      <c r="B195" s="0" t="n">
        <v>198</v>
      </c>
      <c r="C195" s="0" t="n">
        <v>1002030</v>
      </c>
      <c r="D195" s="0" t="n">
        <v>76.72</v>
      </c>
      <c r="E195" s="0" t="n">
        <f aca="false">AVERAGE(D191:D195)</f>
        <v>79.268</v>
      </c>
      <c r="F195" s="0" t="n">
        <v>75</v>
      </c>
      <c r="G195" s="414" t="n">
        <v>805000</v>
      </c>
      <c r="H195" s="415" t="n">
        <f aca="false">SUM(C195-G195)</f>
        <v>197030</v>
      </c>
    </row>
    <row r="196" customFormat="false" ht="14.25" hidden="false" customHeight="false" outlineLevel="0" collapsed="false">
      <c r="A196" s="416" t="s">
        <v>77</v>
      </c>
      <c r="B196" s="0" t="n">
        <v>201</v>
      </c>
      <c r="C196" s="0" t="n">
        <v>1098025</v>
      </c>
      <c r="D196" s="0" t="n">
        <v>81.89</v>
      </c>
      <c r="E196" s="0" t="n">
        <f aca="false">AVERAGE(D192:D196)</f>
        <v>81.156</v>
      </c>
      <c r="F196" s="0" t="n">
        <v>64</v>
      </c>
      <c r="G196" s="414" t="n">
        <v>920000</v>
      </c>
      <c r="H196" s="415" t="n">
        <f aca="false">SUM(C196-G196)</f>
        <v>178025</v>
      </c>
      <c r="I196" s="0" t="s">
        <v>214</v>
      </c>
      <c r="J196" s="0" t="s">
        <v>214</v>
      </c>
    </row>
    <row r="197" customFormat="false" ht="14.25" hidden="false" customHeight="false" outlineLevel="0" collapsed="false">
      <c r="A197" s="416" t="s">
        <v>78</v>
      </c>
      <c r="B197" s="0" t="n">
        <v>200</v>
      </c>
      <c r="C197" s="0" t="n">
        <v>993200</v>
      </c>
      <c r="D197" s="0" t="n">
        <v>72.01</v>
      </c>
      <c r="E197" s="0" t="n">
        <f aca="false">AVERAGE(D193:D197)</f>
        <v>87.334</v>
      </c>
      <c r="F197" s="417" t="n">
        <v>69</v>
      </c>
      <c r="G197" s="414" t="n">
        <v>520000</v>
      </c>
      <c r="H197" s="415" t="n">
        <f aca="false">SUM(C197-G197)</f>
        <v>473200</v>
      </c>
    </row>
    <row r="198" customFormat="false" ht="14.25" hidden="false" customHeight="false" outlineLevel="0" collapsed="false">
      <c r="A198" s="416" t="s">
        <v>79</v>
      </c>
      <c r="B198" s="0" t="n">
        <v>205</v>
      </c>
      <c r="C198" s="418" t="n">
        <f aca="false">[1]pag!$CG$219</f>
        <v>1298310</v>
      </c>
      <c r="D198" s="0" t="n">
        <v>138.04</v>
      </c>
      <c r="E198" s="0" t="n">
        <f aca="false">AVERAGE(D194:D198)</f>
        <v>92.526</v>
      </c>
      <c r="F198" s="418" t="n">
        <f aca="false">[1]pag!$L$225</f>
        <v>27</v>
      </c>
      <c r="G198" s="414" t="n">
        <v>935000</v>
      </c>
      <c r="H198" s="415" t="n">
        <f aca="false">SUM(C198-G198)</f>
        <v>363310</v>
      </c>
    </row>
    <row r="199" customFormat="false" ht="14.25" hidden="false" customHeight="false" outlineLevel="0" collapsed="false">
      <c r="A199" s="416" t="s">
        <v>80</v>
      </c>
      <c r="B199" s="0" t="n">
        <v>201</v>
      </c>
      <c r="C199" s="0" t="n">
        <v>965650</v>
      </c>
      <c r="D199" s="0" t="n">
        <v>62.72</v>
      </c>
      <c r="E199" s="0" t="n">
        <f aca="false">AVERAGE(D195:D199)</f>
        <v>86.276</v>
      </c>
      <c r="F199" s="0" t="n">
        <v>63</v>
      </c>
      <c r="G199" s="414" t="n">
        <v>1145000</v>
      </c>
      <c r="H199" s="415" t="n">
        <f aca="false">SUM(C199-G199)</f>
        <v>-179350</v>
      </c>
    </row>
    <row r="200" customFormat="false" ht="14.25" hidden="false" customHeight="false" outlineLevel="0" collapsed="false">
      <c r="A200" s="416" t="s">
        <v>81</v>
      </c>
      <c r="B200" s="0" t="n">
        <v>203</v>
      </c>
      <c r="C200" s="0" t="n">
        <v>1100906</v>
      </c>
      <c r="D200" s="0" t="n">
        <v>71.2</v>
      </c>
      <c r="E200" s="0" t="n">
        <f aca="false">AVERAGE(D196:D200)</f>
        <v>85.172</v>
      </c>
      <c r="F200" s="0" t="n">
        <v>72</v>
      </c>
      <c r="G200" s="414" t="n">
        <v>555000</v>
      </c>
      <c r="H200" s="415" t="n">
        <f aca="false">SUM(C200-G200)</f>
        <v>545906</v>
      </c>
    </row>
    <row r="201" customFormat="false" ht="14.25" hidden="false" customHeight="false" outlineLevel="0" collapsed="false">
      <c r="A201" s="416" t="s">
        <v>82</v>
      </c>
      <c r="B201" s="0" t="n">
        <v>206</v>
      </c>
      <c r="C201" s="0" t="n">
        <v>920790</v>
      </c>
      <c r="D201" s="0" t="n">
        <v>57.72</v>
      </c>
      <c r="E201" s="0" t="n">
        <f aca="false">AVERAGE(D197:D201)</f>
        <v>80.338</v>
      </c>
      <c r="F201" s="0" t="n">
        <v>55</v>
      </c>
      <c r="G201" s="414" t="n">
        <v>560000</v>
      </c>
      <c r="H201" s="415" t="n">
        <f aca="false">SUM(C201-G201)</f>
        <v>360790</v>
      </c>
    </row>
    <row r="202" customFormat="false" ht="14.25" hidden="false" customHeight="false" outlineLevel="0" collapsed="false">
      <c r="A202" s="416" t="s">
        <v>83</v>
      </c>
      <c r="B202" s="0" t="n">
        <v>207</v>
      </c>
      <c r="C202" s="0" t="n">
        <v>2066280</v>
      </c>
      <c r="D202" s="0" t="n">
        <v>127.43</v>
      </c>
      <c r="E202" s="0" t="n">
        <f aca="false">AVERAGE(D198:D202)</f>
        <v>91.422</v>
      </c>
      <c r="F202" s="0" t="n">
        <v>119</v>
      </c>
      <c r="G202" s="414" t="n">
        <v>550000</v>
      </c>
      <c r="H202" s="415" t="n">
        <f aca="false">SUM(C202-G202)</f>
        <v>1516280</v>
      </c>
    </row>
    <row r="203" customFormat="false" ht="14.25" hidden="false" customHeight="false" outlineLevel="0" collapsed="false">
      <c r="A203" s="416" t="s">
        <v>84</v>
      </c>
      <c r="B203" s="0" t="n">
        <v>199</v>
      </c>
      <c r="C203" s="418" t="n">
        <f aca="false">[1]pag!$CL$219</f>
        <v>1253040</v>
      </c>
      <c r="D203" s="0" t="n">
        <v>89.72</v>
      </c>
      <c r="E203" s="0" t="n">
        <f aca="false">AVERAGE(D199:D203)</f>
        <v>81.758</v>
      </c>
      <c r="F203" s="418" t="n">
        <f aca="false">[1]pag!$L$225</f>
        <v>27</v>
      </c>
      <c r="G203" s="414" t="n">
        <v>620000</v>
      </c>
      <c r="H203" s="415" t="n">
        <f aca="false">SUM(C203-G203)</f>
        <v>633040</v>
      </c>
    </row>
    <row r="204" customFormat="false" ht="14.25" hidden="false" customHeight="false" outlineLevel="0" collapsed="false">
      <c r="A204" s="416" t="s">
        <v>85</v>
      </c>
      <c r="B204" s="0" t="n">
        <v>205</v>
      </c>
      <c r="C204" s="418" t="n">
        <v>1413566</v>
      </c>
      <c r="D204" s="0" t="n">
        <v>80.24</v>
      </c>
      <c r="E204" s="0" t="n">
        <f aca="false">AVERAGE(D200:D204)</f>
        <v>85.262</v>
      </c>
      <c r="F204" s="0" t="n">
        <v>79</v>
      </c>
      <c r="G204" s="414" t="n">
        <v>1295000</v>
      </c>
      <c r="H204" s="415" t="n">
        <f aca="false">SUM(C204-G204)</f>
        <v>118566</v>
      </c>
    </row>
    <row r="205" customFormat="false" ht="14.25" hidden="false" customHeight="false" outlineLevel="0" collapsed="false">
      <c r="A205" s="416" t="s">
        <v>86</v>
      </c>
      <c r="B205" s="0" t="n">
        <v>207</v>
      </c>
      <c r="C205" s="0" t="n">
        <v>974940</v>
      </c>
      <c r="D205" s="0" t="n">
        <v>54.67</v>
      </c>
      <c r="E205" s="0" t="n">
        <f aca="false">AVERAGE(D201:D205)</f>
        <v>81.956</v>
      </c>
      <c r="F205" s="0" t="n">
        <v>55</v>
      </c>
      <c r="G205" s="414" t="n">
        <v>375000</v>
      </c>
      <c r="H205" s="415" t="n">
        <f aca="false">SUM(C205-G205)</f>
        <v>599940</v>
      </c>
    </row>
    <row r="206" customFormat="false" ht="14.25" hidden="false" customHeight="false" outlineLevel="0" collapsed="false">
      <c r="A206" s="416" t="s">
        <v>87</v>
      </c>
      <c r="B206" s="0" t="n">
        <v>211</v>
      </c>
      <c r="C206" s="0" t="n">
        <v>1001170</v>
      </c>
      <c r="D206" s="0" t="n">
        <v>56.61</v>
      </c>
      <c r="E206" s="0" t="n">
        <f aca="false">AVERAGE(D202:D206)</f>
        <v>81.734</v>
      </c>
      <c r="F206" s="0" t="n">
        <v>63</v>
      </c>
      <c r="G206" s="414" t="n">
        <v>321000</v>
      </c>
      <c r="H206" s="415" t="n">
        <f aca="false">SUM(C206-G206)</f>
        <v>680170</v>
      </c>
    </row>
    <row r="207" customFormat="false" ht="14.25" hidden="false" customHeight="false" outlineLevel="0" collapsed="false">
      <c r="A207" s="416" t="s">
        <v>88</v>
      </c>
      <c r="B207" s="0" t="n">
        <v>211</v>
      </c>
      <c r="C207" s="418" t="n">
        <v>2855155</v>
      </c>
      <c r="D207" s="0" t="n">
        <v>148.85</v>
      </c>
      <c r="E207" s="0" t="n">
        <f aca="false">AVERAGE(D203:D207)</f>
        <v>86.018</v>
      </c>
      <c r="F207" s="418" t="n">
        <v>134</v>
      </c>
      <c r="G207" s="419" t="n">
        <v>1266000</v>
      </c>
      <c r="H207" s="415" t="n">
        <f aca="false">SUM(C207-G207)</f>
        <v>1589155</v>
      </c>
    </row>
    <row r="208" customFormat="false" ht="14.25" hidden="false" customHeight="false" outlineLevel="0" collapsed="false">
      <c r="A208" s="416" t="s">
        <v>89</v>
      </c>
      <c r="B208" s="0" t="n">
        <v>206</v>
      </c>
      <c r="C208" s="418" t="n">
        <v>1059405</v>
      </c>
      <c r="D208" s="0" t="n">
        <v>55.8</v>
      </c>
      <c r="E208" s="0" t="n">
        <f aca="false">AVERAGE(D204:D208)</f>
        <v>79.234</v>
      </c>
      <c r="F208" s="0" t="n">
        <v>68</v>
      </c>
      <c r="G208" s="414" t="n">
        <v>1210000</v>
      </c>
      <c r="H208" s="415" t="n">
        <f aca="false">SUM(C208-G208)</f>
        <v>-150595</v>
      </c>
    </row>
    <row r="209" customFormat="false" ht="14.25" hidden="false" customHeight="false" outlineLevel="0" collapsed="false">
      <c r="A209" s="416" t="s">
        <v>90</v>
      </c>
      <c r="B209" s="0" t="n">
        <v>210</v>
      </c>
      <c r="C209" s="418" t="n">
        <v>1400160</v>
      </c>
      <c r="D209" s="0" t="n">
        <v>72.21</v>
      </c>
      <c r="E209" s="0" t="n">
        <f aca="false">AVERAGE(D205:D209)</f>
        <v>77.628</v>
      </c>
      <c r="F209" s="0" t="n">
        <v>76</v>
      </c>
      <c r="G209" s="414" t="n">
        <v>670000</v>
      </c>
      <c r="H209" s="415" t="n">
        <f aca="false">SUM(C209-G209)</f>
        <v>730160</v>
      </c>
    </row>
    <row r="210" customFormat="false" ht="14.25" hidden="false" customHeight="false" outlineLevel="0" collapsed="false">
      <c r="A210" s="416" t="s">
        <v>91</v>
      </c>
      <c r="B210" s="0" t="n">
        <v>211</v>
      </c>
      <c r="C210" s="0" t="n">
        <v>1268690</v>
      </c>
      <c r="D210" s="0" t="n">
        <v>64.28</v>
      </c>
      <c r="E210" s="0" t="n">
        <f aca="false">AVERAGE(D206:D210)</f>
        <v>79.55</v>
      </c>
      <c r="F210" s="0" t="n">
        <v>59</v>
      </c>
      <c r="G210" s="414" t="n">
        <v>560000</v>
      </c>
      <c r="H210" s="415" t="n">
        <f aca="false">SUM(C210-G210)</f>
        <v>708690</v>
      </c>
    </row>
    <row r="211" customFormat="false" ht="14.25" hidden="false" customHeight="false" outlineLevel="0" collapsed="false">
      <c r="A211" s="416" t="s">
        <v>92</v>
      </c>
      <c r="B211" s="0" t="n">
        <v>212</v>
      </c>
      <c r="C211" s="418" t="n">
        <v>2551860</v>
      </c>
      <c r="D211" s="0" t="n">
        <v>120.95</v>
      </c>
      <c r="E211" s="0" t="n">
        <f aca="false">AVERAGE(D207:D211)</f>
        <v>92.418</v>
      </c>
      <c r="F211" s="0" t="n">
        <v>119</v>
      </c>
      <c r="G211" s="414" t="n">
        <v>1670000</v>
      </c>
      <c r="H211" s="415" t="n">
        <f aca="false">SUM(C211-G211)</f>
        <v>881860</v>
      </c>
    </row>
    <row r="212" customFormat="false" ht="14.25" hidden="false" customHeight="false" outlineLevel="0" collapsed="false">
      <c r="A212" s="416" t="s">
        <v>93</v>
      </c>
      <c r="B212" s="0" t="n">
        <v>204</v>
      </c>
      <c r="C212" s="418" t="n">
        <v>1238490</v>
      </c>
      <c r="D212" s="0" t="n">
        <v>58.55</v>
      </c>
      <c r="E212" s="0" t="n">
        <f aca="false">AVERAGE(D208:D212)</f>
        <v>74.358</v>
      </c>
      <c r="F212" s="0" t="n">
        <v>66</v>
      </c>
      <c r="G212" s="414" t="n">
        <v>750000</v>
      </c>
      <c r="H212" s="415" t="n">
        <f aca="false">SUM(C212-G212)</f>
        <v>488490</v>
      </c>
    </row>
    <row r="213" customFormat="false" ht="14.25" hidden="false" customHeight="false" outlineLevel="0" collapsed="false">
      <c r="A213" s="416" t="s">
        <v>94</v>
      </c>
      <c r="B213" s="0" t="n">
        <v>200</v>
      </c>
      <c r="C213" s="418" t="n">
        <v>1516180</v>
      </c>
      <c r="D213" s="0" t="n">
        <v>70</v>
      </c>
      <c r="E213" s="0" t="n">
        <f aca="false">AVERAGE(D209:D213)</f>
        <v>77.198</v>
      </c>
      <c r="F213" s="0" t="n">
        <v>79</v>
      </c>
      <c r="G213" s="414" t="n">
        <v>1101000</v>
      </c>
      <c r="H213" s="415" t="n">
        <f aca="false">SUM(C213-G213)</f>
        <v>415180</v>
      </c>
    </row>
    <row r="214" customFormat="false" ht="14.25" hidden="false" customHeight="false" outlineLevel="0" collapsed="false">
      <c r="A214" s="416" t="s">
        <v>95</v>
      </c>
      <c r="B214" s="0" t="n">
        <v>206</v>
      </c>
      <c r="C214" s="418" t="n">
        <v>1054120</v>
      </c>
      <c r="D214" s="0" t="n">
        <v>48.69</v>
      </c>
      <c r="E214" s="0" t="n">
        <f aca="false">AVERAGE(D210:D214)</f>
        <v>72.494</v>
      </c>
      <c r="F214" s="0" t="n">
        <v>64</v>
      </c>
      <c r="G214" s="414" t="n">
        <v>500000</v>
      </c>
      <c r="H214" s="415" t="n">
        <f aca="false">SUM(C214-G214)</f>
        <v>554120</v>
      </c>
    </row>
    <row r="215" customFormat="false" ht="14.25" hidden="false" customHeight="false" outlineLevel="0" collapsed="false">
      <c r="A215" s="416" t="s">
        <v>96</v>
      </c>
      <c r="B215" s="0" t="n">
        <v>209</v>
      </c>
      <c r="C215" s="418" t="n">
        <v>2031720</v>
      </c>
      <c r="D215" s="0" t="n">
        <v>92.58</v>
      </c>
      <c r="E215" s="0" t="n">
        <f aca="false">AVERAGE(D211:D215)</f>
        <v>78.154</v>
      </c>
      <c r="F215" s="0" t="n">
        <v>103</v>
      </c>
      <c r="G215" s="414" t="n">
        <v>445000</v>
      </c>
      <c r="H215" s="415" t="n">
        <f aca="false">SUM(C215-G215)</f>
        <v>1586720</v>
      </c>
    </row>
    <row r="216" customFormat="false" ht="14.25" hidden="false" customHeight="false" outlineLevel="0" collapsed="false">
      <c r="A216" s="416" t="s">
        <v>97</v>
      </c>
      <c r="B216" s="0" t="n">
        <v>208</v>
      </c>
      <c r="C216" s="418" t="n">
        <v>2010090</v>
      </c>
      <c r="D216" s="0" t="n">
        <v>89.46</v>
      </c>
      <c r="E216" s="0" t="n">
        <f aca="false">AVERAGE(D212:D216)</f>
        <v>71.856</v>
      </c>
      <c r="F216" s="0" t="n">
        <v>87</v>
      </c>
      <c r="G216" s="414" t="n">
        <v>665000</v>
      </c>
      <c r="H216" s="415" t="n">
        <f aca="false">SUM(C216-G216)</f>
        <v>1345090</v>
      </c>
    </row>
    <row r="217" customFormat="false" ht="14.25" hidden="false" customHeight="false" outlineLevel="0" collapsed="false">
      <c r="A217" s="416" t="s">
        <v>98</v>
      </c>
      <c r="B217" s="0" t="n">
        <v>210</v>
      </c>
      <c r="C217" s="418" t="n">
        <v>1511720</v>
      </c>
      <c r="D217" s="0" t="n">
        <v>66.41</v>
      </c>
      <c r="E217" s="0" t="n">
        <f aca="false">AVERAGE(D213:D217)</f>
        <v>73.428</v>
      </c>
      <c r="F217" s="0" t="n">
        <v>66</v>
      </c>
      <c r="G217" s="414" t="n">
        <v>1210000</v>
      </c>
      <c r="H217" s="415" t="n">
        <f aca="false">SUM(C217-G217)</f>
        <v>301720</v>
      </c>
    </row>
    <row r="218" customFormat="false" ht="14.25" hidden="false" customHeight="false" outlineLevel="0" collapsed="false">
      <c r="A218" s="416" t="s">
        <v>99</v>
      </c>
      <c r="B218" s="0" t="n">
        <v>205</v>
      </c>
      <c r="C218" s="418" t="n">
        <v>1631910</v>
      </c>
      <c r="D218" s="0" t="n">
        <v>73.67</v>
      </c>
      <c r="E218" s="0" t="n">
        <f aca="false">AVERAGE(D214:D218)</f>
        <v>74.162</v>
      </c>
      <c r="F218" s="0" t="n">
        <v>70</v>
      </c>
      <c r="G218" s="414" t="n">
        <v>460000</v>
      </c>
      <c r="H218" s="415" t="n">
        <f aca="false">SUM(C218-G218)</f>
        <v>1171910</v>
      </c>
    </row>
    <row r="219" customFormat="false" ht="14.25" hidden="false" customHeight="false" outlineLevel="0" collapsed="false">
      <c r="A219" s="416" t="s">
        <v>100</v>
      </c>
      <c r="B219" s="0" t="n">
        <v>203</v>
      </c>
      <c r="C219" s="418" t="n">
        <v>1764785</v>
      </c>
      <c r="D219" s="0" t="n">
        <v>75.52</v>
      </c>
      <c r="E219" s="420" t="n">
        <f aca="false">AVERAGE(D215:D219)</f>
        <v>79.528</v>
      </c>
      <c r="F219" s="418" t="n">
        <v>88</v>
      </c>
      <c r="G219" s="414" t="n">
        <v>1045000</v>
      </c>
      <c r="H219" s="415" t="n">
        <f aca="false">SUM(C219-G219)</f>
        <v>719785</v>
      </c>
    </row>
    <row r="220" customFormat="false" ht="14.25" hidden="false" customHeight="false" outlineLevel="0" collapsed="false">
      <c r="A220" s="416" t="s">
        <v>101</v>
      </c>
      <c r="B220" s="0" t="n">
        <v>202</v>
      </c>
      <c r="C220" s="418" t="n">
        <v>2142210</v>
      </c>
      <c r="D220" s="0" t="n">
        <v>98.28</v>
      </c>
      <c r="E220" s="420" t="n">
        <f aca="false">AVERAGE(D216:D220)</f>
        <v>80.668</v>
      </c>
      <c r="F220" s="418" t="n">
        <v>83</v>
      </c>
      <c r="G220" s="414" t="n">
        <v>970000</v>
      </c>
      <c r="H220" s="415" t="n">
        <f aca="false">SUM(C220-G220)</f>
        <v>1172210</v>
      </c>
    </row>
    <row r="221" customFormat="false" ht="14.25" hidden="false" customHeight="false" outlineLevel="0" collapsed="false">
      <c r="A221" s="416" t="s">
        <v>102</v>
      </c>
      <c r="B221" s="0" t="n">
        <v>202</v>
      </c>
      <c r="C221" s="418" t="n">
        <v>1788970</v>
      </c>
      <c r="D221" s="0" t="n">
        <v>77.71</v>
      </c>
      <c r="E221" s="420" t="n">
        <f aca="false">AVERAGE(D217:D221)</f>
        <v>78.318</v>
      </c>
      <c r="F221" s="0" t="n">
        <v>72</v>
      </c>
      <c r="G221" s="414" t="n">
        <v>1320000</v>
      </c>
      <c r="H221" s="415" t="n">
        <f aca="false">SUM(C221-G221)</f>
        <v>468970</v>
      </c>
    </row>
    <row r="222" customFormat="false" ht="14.25" hidden="false" customHeight="false" outlineLevel="0" collapsed="false">
      <c r="A222" s="416" t="s">
        <v>103</v>
      </c>
      <c r="B222" s="0" t="n">
        <v>204</v>
      </c>
      <c r="C222" s="418" t="n">
        <v>1055840</v>
      </c>
      <c r="D222" s="0" t="n">
        <v>42.38</v>
      </c>
      <c r="E222" s="420" t="n">
        <f aca="false">AVERAGE(D218:D222)</f>
        <v>73.512</v>
      </c>
      <c r="F222" s="0" t="n">
        <v>56</v>
      </c>
      <c r="G222" s="414" t="n">
        <v>1940000</v>
      </c>
      <c r="H222" s="415" t="n">
        <f aca="false">SUM(C222-G222)</f>
        <v>-884160</v>
      </c>
      <c r="I222" s="0" t="s">
        <v>214</v>
      </c>
    </row>
    <row r="223" customFormat="false" ht="14.25" hidden="false" customHeight="false" outlineLevel="0" collapsed="false">
      <c r="A223" s="416" t="s">
        <v>104</v>
      </c>
      <c r="B223" s="0" t="n">
        <v>211</v>
      </c>
      <c r="C223" s="418" t="n">
        <v>1437833</v>
      </c>
      <c r="D223" s="0" t="n">
        <v>56.27</v>
      </c>
      <c r="E223" s="420" t="n">
        <f aca="false">AVERAGE(D219:D223)</f>
        <v>70.032</v>
      </c>
      <c r="F223" s="0" t="n">
        <v>62</v>
      </c>
      <c r="G223" s="414" t="n">
        <v>1145000</v>
      </c>
      <c r="H223" s="415" t="n">
        <f aca="false">SUM(C223-G223)</f>
        <v>292833</v>
      </c>
      <c r="I223" s="0" t="s">
        <v>214</v>
      </c>
    </row>
    <row r="224" customFormat="false" ht="14.25" hidden="false" customHeight="false" outlineLevel="0" collapsed="false">
      <c r="A224" s="416" t="s">
        <v>105</v>
      </c>
      <c r="B224" s="0" t="n">
        <v>214</v>
      </c>
      <c r="C224" s="418" t="n">
        <v>2620675</v>
      </c>
      <c r="D224" s="0" t="n">
        <v>100.36</v>
      </c>
      <c r="E224" s="420" t="n">
        <f aca="false">AVERAGE(D220:D224)</f>
        <v>75</v>
      </c>
      <c r="F224" s="0" t="n">
        <v>105</v>
      </c>
      <c r="G224" s="414" t="n">
        <v>610000</v>
      </c>
      <c r="H224" s="415" t="n">
        <f aca="false">SUM(C224-G224)</f>
        <v>2010675</v>
      </c>
    </row>
    <row r="225" customFormat="false" ht="14.25" hidden="false" customHeight="false" outlineLevel="0" collapsed="false">
      <c r="A225" s="416" t="s">
        <v>106</v>
      </c>
      <c r="B225" s="0" t="n">
        <v>208</v>
      </c>
      <c r="C225" s="418" t="n">
        <v>2164810</v>
      </c>
      <c r="D225" s="0" t="n">
        <v>81.23</v>
      </c>
      <c r="E225" s="420" t="n">
        <f aca="false">AVERAGE(D221:D225)</f>
        <v>71.59</v>
      </c>
      <c r="F225" s="0" t="n">
        <v>79</v>
      </c>
      <c r="G225" s="414" t="n">
        <v>1145000</v>
      </c>
      <c r="H225" s="415" t="n">
        <f aca="false">SUM(C225-G225)</f>
        <v>1019810</v>
      </c>
      <c r="I225" s="421" t="n">
        <f aca="false">SUM(H221:H225)</f>
        <v>2908128</v>
      </c>
    </row>
    <row r="226" customFormat="false" ht="14.25" hidden="false" customHeight="false" outlineLevel="0" collapsed="false">
      <c r="A226" s="416" t="s">
        <v>107</v>
      </c>
      <c r="B226" s="0" t="n">
        <v>196</v>
      </c>
      <c r="C226" s="418" t="n">
        <v>1926480</v>
      </c>
      <c r="D226" s="0" t="n">
        <v>74.71</v>
      </c>
      <c r="E226" s="420" t="n">
        <f aca="false">AVERAGE(D222:D226)</f>
        <v>70.99</v>
      </c>
      <c r="F226" s="0" t="n">
        <v>56</v>
      </c>
      <c r="G226" s="414" t="n">
        <v>1175000</v>
      </c>
      <c r="H226" s="415" t="n">
        <f aca="false">SUM(C226-G226)</f>
        <v>751480</v>
      </c>
      <c r="I226" s="421" t="n">
        <f aca="false">SUM(H222:H226)</f>
        <v>3190638</v>
      </c>
    </row>
    <row r="227" customFormat="false" ht="14.25" hidden="false" customHeight="false" outlineLevel="0" collapsed="false">
      <c r="A227" s="416" t="s">
        <v>108</v>
      </c>
      <c r="B227" s="0" t="n">
        <v>201</v>
      </c>
      <c r="C227" s="418" t="n">
        <v>1377150</v>
      </c>
      <c r="D227" s="0" t="n">
        <v>52.15</v>
      </c>
      <c r="E227" s="420" t="n">
        <f aca="false">AVERAGE(D223:D227)</f>
        <v>72.944</v>
      </c>
      <c r="F227" s="0" t="n">
        <v>56</v>
      </c>
      <c r="G227" s="414" t="n">
        <v>830000</v>
      </c>
      <c r="H227" s="415" t="n">
        <f aca="false">SUM(C227-G227)</f>
        <v>547150</v>
      </c>
      <c r="I227" s="421" t="n">
        <f aca="false">SUM(H223:H227)</f>
        <v>4621948</v>
      </c>
    </row>
    <row r="228" customFormat="false" ht="14.25" hidden="false" customHeight="false" outlineLevel="0" collapsed="false">
      <c r="A228" s="416" t="s">
        <v>109</v>
      </c>
      <c r="B228" s="0" t="n">
        <v>203</v>
      </c>
      <c r="C228" s="418" t="n">
        <v>2320117</v>
      </c>
      <c r="D228" s="0" t="n">
        <v>86.14</v>
      </c>
      <c r="E228" s="420" t="n">
        <f aca="false">AVERAGE(D224:D228)</f>
        <v>78.918</v>
      </c>
      <c r="F228" s="0" t="n">
        <v>92</v>
      </c>
      <c r="G228" s="414" t="n">
        <v>990000</v>
      </c>
      <c r="H228" s="415" t="n">
        <f aca="false">SUM(C228-G228)</f>
        <v>1330117</v>
      </c>
      <c r="I228" s="421" t="n">
        <f aca="false">SUM(H224:H228)</f>
        <v>5659232</v>
      </c>
    </row>
    <row r="229" customFormat="false" ht="14.25" hidden="false" customHeight="false" outlineLevel="0" collapsed="false">
      <c r="A229" s="416" t="s">
        <v>110</v>
      </c>
      <c r="B229" s="0" t="n">
        <v>207</v>
      </c>
      <c r="C229" s="418" t="n">
        <v>2346870</v>
      </c>
      <c r="D229" s="0" t="n">
        <v>84.03</v>
      </c>
      <c r="E229" s="420" t="n">
        <f aca="false">AVERAGE(D225:D229)</f>
        <v>75.652</v>
      </c>
      <c r="F229" s="0" t="n">
        <v>88</v>
      </c>
      <c r="G229" s="414" t="n">
        <v>1200000</v>
      </c>
      <c r="H229" s="415" t="n">
        <f aca="false">SUM(C229-G229)</f>
        <v>1146870</v>
      </c>
      <c r="I229" s="421" t="n">
        <f aca="false">SUM(H225:H229)</f>
        <v>4795427</v>
      </c>
    </row>
    <row r="230" customFormat="false" ht="14.25" hidden="false" customHeight="false" outlineLevel="0" collapsed="false">
      <c r="A230" s="416" t="s">
        <v>111</v>
      </c>
      <c r="B230" s="0" t="n">
        <v>199</v>
      </c>
      <c r="C230" s="418" t="n">
        <v>2339280</v>
      </c>
      <c r="D230" s="0" t="n">
        <v>83.04</v>
      </c>
      <c r="E230" s="420" t="n">
        <f aca="false">AVERAGE(D226:D230)</f>
        <v>76.014</v>
      </c>
      <c r="F230" s="0" t="n">
        <v>73</v>
      </c>
      <c r="G230" s="414" t="n">
        <v>950000</v>
      </c>
      <c r="H230" s="415" t="n">
        <f aca="false">SUM(C230-G230)</f>
        <v>1389280</v>
      </c>
      <c r="I230" s="421" t="n">
        <f aca="false">SUM(H226:H230)</f>
        <v>5164897</v>
      </c>
    </row>
    <row r="231" customFormat="false" ht="14.25" hidden="false" customHeight="false" outlineLevel="0" collapsed="false">
      <c r="A231" s="416" t="s">
        <v>112</v>
      </c>
      <c r="B231" s="0" t="n">
        <v>210</v>
      </c>
      <c r="C231" s="418" t="n">
        <v>2261330</v>
      </c>
      <c r="D231" s="0" t="n">
        <v>75.31</v>
      </c>
      <c r="E231" s="420" t="n">
        <f aca="false">AVERAGE(D227:D231)</f>
        <v>76.134</v>
      </c>
      <c r="F231" s="0" t="n">
        <v>56</v>
      </c>
      <c r="G231" s="414" t="n">
        <v>2240000</v>
      </c>
      <c r="H231" s="415" t="n">
        <f aca="false">SUM(C231-G231)</f>
        <v>21330</v>
      </c>
      <c r="I231" s="421" t="n">
        <f aca="false">SUM(H227:H231)</f>
        <v>4434747</v>
      </c>
    </row>
    <row r="232" customFormat="false" ht="14.25" hidden="false" customHeight="false" outlineLevel="0" collapsed="false">
      <c r="A232" s="416" t="s">
        <v>113</v>
      </c>
      <c r="B232" s="0" t="n">
        <v>204</v>
      </c>
      <c r="C232" s="418" t="n">
        <v>2882280</v>
      </c>
      <c r="D232" s="0" t="n">
        <v>94.7</v>
      </c>
      <c r="E232" s="420" t="n">
        <f aca="false">AVERAGE(D228:D232)</f>
        <v>84.644</v>
      </c>
      <c r="F232" s="0" t="n">
        <v>92</v>
      </c>
      <c r="G232" s="414" t="n">
        <v>1750000</v>
      </c>
      <c r="H232" s="415" t="n">
        <f aca="false">SUM(C232-G232)</f>
        <v>1132280</v>
      </c>
      <c r="I232" s="421" t="n">
        <f aca="false">SUM(H228:H232)</f>
        <v>5019877</v>
      </c>
    </row>
    <row r="233" customFormat="false" ht="14.25" hidden="false" customHeight="false" outlineLevel="0" collapsed="false">
      <c r="A233" s="416" t="s">
        <v>114</v>
      </c>
      <c r="B233" s="0" t="n">
        <v>198</v>
      </c>
      <c r="C233" s="418" t="n">
        <v>2097387</v>
      </c>
      <c r="D233" s="0" t="n">
        <v>66.92</v>
      </c>
      <c r="E233" s="420" t="n">
        <f aca="false">AVERAGE(D229:D233)</f>
        <v>80.8</v>
      </c>
      <c r="F233" s="0" t="n">
        <v>70</v>
      </c>
      <c r="G233" s="414" t="n">
        <v>3265000</v>
      </c>
      <c r="H233" s="415" t="n">
        <f aca="false">SUM(C233-G233)</f>
        <v>-1167613</v>
      </c>
      <c r="I233" s="421" t="n">
        <f aca="false">SUM(H229:H233)</f>
        <v>2522147</v>
      </c>
    </row>
    <row r="234" customFormat="false" ht="14.25" hidden="false" customHeight="false" outlineLevel="0" collapsed="false">
      <c r="A234" s="416" t="s">
        <v>115</v>
      </c>
      <c r="B234" s="0" t="n">
        <v>204</v>
      </c>
      <c r="C234" s="418" t="n">
        <v>2270650</v>
      </c>
      <c r="D234" s="0" t="n">
        <v>70.85</v>
      </c>
      <c r="E234" s="420" t="n">
        <f aca="false">AVERAGE(D230:D234)</f>
        <v>78.164</v>
      </c>
      <c r="F234" s="0" t="n">
        <v>78</v>
      </c>
      <c r="G234" s="414" t="n">
        <v>1360000</v>
      </c>
      <c r="H234" s="415" t="n">
        <f aca="false">SUM(C234-G234)</f>
        <v>910650</v>
      </c>
      <c r="I234" s="421" t="n">
        <f aca="false">SUM(H230:H234)</f>
        <v>2285927</v>
      </c>
    </row>
    <row r="235" customFormat="false" ht="14.25" hidden="false" customHeight="false" outlineLevel="0" collapsed="false">
      <c r="A235" s="416" t="s">
        <v>116</v>
      </c>
      <c r="B235" s="0" t="n">
        <v>208</v>
      </c>
      <c r="C235" s="418" t="n">
        <v>2169480</v>
      </c>
      <c r="D235" s="0" t="n">
        <v>66.51</v>
      </c>
      <c r="E235" s="420" t="n">
        <f aca="false">AVERAGE(D231:D235)</f>
        <v>74.858</v>
      </c>
      <c r="F235" s="0" t="n">
        <v>67</v>
      </c>
      <c r="G235" s="414" t="n">
        <v>785000</v>
      </c>
      <c r="H235" s="415" t="n">
        <f aca="false">SUM(C235-G235)</f>
        <v>1384480</v>
      </c>
      <c r="I235" s="421" t="n">
        <f aca="false">SUM(H231:H235)</f>
        <v>2281127</v>
      </c>
    </row>
    <row r="236" customFormat="false" ht="14.25" hidden="false" customHeight="false" outlineLevel="0" collapsed="false">
      <c r="A236" s="416" t="s">
        <v>117</v>
      </c>
      <c r="B236" s="0" t="n">
        <v>215</v>
      </c>
      <c r="C236" s="418" t="n">
        <v>1465050</v>
      </c>
      <c r="D236" s="0" t="n">
        <v>44.02</v>
      </c>
      <c r="E236" s="420" t="n">
        <f aca="false">AVERAGE(D232:D236)</f>
        <v>68.6</v>
      </c>
      <c r="F236" s="0" t="n">
        <v>53</v>
      </c>
      <c r="G236" s="414" t="n">
        <v>780000</v>
      </c>
      <c r="H236" s="415" t="n">
        <f aca="false">SUM(C236-G236)</f>
        <v>685050</v>
      </c>
      <c r="I236" s="421" t="n">
        <f aca="false">SUM(H232:H236)</f>
        <v>2944847</v>
      </c>
    </row>
    <row r="237" customFormat="false" ht="14.25" hidden="false" customHeight="false" outlineLevel="0" collapsed="false">
      <c r="A237" s="416" t="s">
        <v>118</v>
      </c>
      <c r="B237" s="0" t="n">
        <v>219</v>
      </c>
      <c r="C237" s="418" t="n">
        <v>5133097</v>
      </c>
      <c r="D237" s="0" t="n">
        <v>151.24</v>
      </c>
      <c r="E237" s="420" t="n">
        <f aca="false">AVERAGE(D233:D237)</f>
        <v>79.908</v>
      </c>
      <c r="F237" s="0" t="n">
        <v>113</v>
      </c>
      <c r="G237" s="414" t="n">
        <v>1941000</v>
      </c>
      <c r="H237" s="415" t="n">
        <f aca="false">SUM(C237-G237)</f>
        <v>3192097</v>
      </c>
      <c r="I237" s="421" t="n">
        <f aca="false">SUM(H233:H237)</f>
        <v>5004664</v>
      </c>
    </row>
    <row r="238" customFormat="false" ht="14.25" hidden="false" customHeight="false" outlineLevel="0" collapsed="false">
      <c r="A238" s="416" t="s">
        <v>119</v>
      </c>
      <c r="B238" s="0" t="n">
        <v>217</v>
      </c>
      <c r="C238" s="418" t="n">
        <v>1829800</v>
      </c>
      <c r="D238" s="0" t="n">
        <v>52.41</v>
      </c>
      <c r="E238" s="420" t="n">
        <f aca="false">AVERAGE(D234:D238)</f>
        <v>77.006</v>
      </c>
      <c r="F238" s="418" t="n">
        <v>66</v>
      </c>
      <c r="G238" s="414" t="n">
        <v>1960000</v>
      </c>
      <c r="H238" s="415" t="n">
        <f aca="false">SUM(C238-G238)</f>
        <v>-130200</v>
      </c>
      <c r="I238" s="421" t="n">
        <f aca="false">SUM(H234:H238)</f>
        <v>6042077</v>
      </c>
    </row>
    <row r="239" customFormat="false" ht="14.25" hidden="false" customHeight="false" outlineLevel="0" collapsed="false">
      <c r="A239" s="416" t="s">
        <v>120</v>
      </c>
      <c r="B239" s="0" t="n">
        <v>217</v>
      </c>
      <c r="C239" s="418" t="n">
        <v>2679625</v>
      </c>
      <c r="D239" s="0" t="n">
        <v>76.1</v>
      </c>
      <c r="E239" s="420" t="n">
        <f aca="false">AVERAGE(D235:D239)</f>
        <v>78.056</v>
      </c>
      <c r="F239" s="0" t="n">
        <v>82</v>
      </c>
      <c r="G239" s="414" t="n">
        <v>1030000</v>
      </c>
      <c r="H239" s="415" t="n">
        <f aca="false">SUM(C239-G239)</f>
        <v>1649625</v>
      </c>
      <c r="I239" s="421" t="n">
        <f aca="false">SUM(H235:H239)</f>
        <v>6781052</v>
      </c>
    </row>
    <row r="240" customFormat="false" ht="14.25" hidden="false" customHeight="false" outlineLevel="0" collapsed="false">
      <c r="A240" s="416" t="s">
        <v>121</v>
      </c>
      <c r="B240" s="0" t="n">
        <v>214</v>
      </c>
      <c r="C240" s="418" t="n">
        <v>1235620</v>
      </c>
      <c r="D240" s="0" t="n">
        <v>35.89</v>
      </c>
      <c r="E240" s="420" t="n">
        <f aca="false">AVERAGE(D236:D240)</f>
        <v>71.932</v>
      </c>
      <c r="F240" s="0" t="n">
        <v>61</v>
      </c>
      <c r="G240" s="414" t="n">
        <v>1330000</v>
      </c>
      <c r="H240" s="415" t="n">
        <f aca="false">SUM(C240-G240)</f>
        <v>-94380</v>
      </c>
      <c r="I240" s="421" t="n">
        <f aca="false">SUM(H236:H240)</f>
        <v>5302192</v>
      </c>
    </row>
    <row r="241" customFormat="false" ht="14.25" hidden="false" customHeight="false" outlineLevel="0" collapsed="false">
      <c r="A241" s="416" t="s">
        <v>122</v>
      </c>
      <c r="B241" s="0" t="n">
        <v>218</v>
      </c>
      <c r="C241" s="418" t="n">
        <v>2881000</v>
      </c>
      <c r="D241" s="0" t="n">
        <v>83.01</v>
      </c>
      <c r="E241" s="420" t="n">
        <f aca="false">AVERAGE(D237:D241)</f>
        <v>79.73</v>
      </c>
      <c r="F241" s="0" t="n">
        <v>87</v>
      </c>
      <c r="G241" s="414" t="n">
        <v>850000</v>
      </c>
      <c r="H241" s="415" t="n">
        <f aca="false">SUM(C241-G241)</f>
        <v>2031000</v>
      </c>
      <c r="I241" s="421" t="n">
        <f aca="false">SUM(H237:H241)</f>
        <v>6648142</v>
      </c>
    </row>
    <row r="242" customFormat="false" ht="14.25" hidden="false" customHeight="false" outlineLevel="0" collapsed="false">
      <c r="A242" s="416" t="s">
        <v>123</v>
      </c>
      <c r="B242" s="0" t="n">
        <v>210</v>
      </c>
      <c r="C242" s="418" t="n">
        <v>4031572</v>
      </c>
      <c r="D242" s="0" t="n">
        <v>115.99</v>
      </c>
      <c r="E242" s="420" t="n">
        <f aca="false">AVERAGE(D238:D242)</f>
        <v>72.68</v>
      </c>
      <c r="F242" s="0" t="n">
        <v>79</v>
      </c>
      <c r="G242" s="414" t="n">
        <v>700000</v>
      </c>
      <c r="H242" s="415" t="n">
        <f aca="false">SUM(C242-G242)</f>
        <v>3331572</v>
      </c>
      <c r="I242" s="421" t="n">
        <f aca="false">SUM(H238:H242)</f>
        <v>6787617</v>
      </c>
    </row>
    <row r="243" customFormat="false" ht="14.25" hidden="false" customHeight="false" outlineLevel="0" collapsed="false">
      <c r="A243" s="416" t="s">
        <v>124</v>
      </c>
      <c r="B243" s="0" t="n">
        <v>211</v>
      </c>
      <c r="C243" s="418" t="n">
        <v>3139212</v>
      </c>
      <c r="D243" s="0" t="n">
        <v>89.38</v>
      </c>
      <c r="E243" s="420" t="n">
        <f aca="false">AVERAGE(D239:D243)</f>
        <v>80.074</v>
      </c>
      <c r="F243" s="0" t="n">
        <v>101</v>
      </c>
      <c r="G243" s="414" t="n">
        <v>1640000</v>
      </c>
      <c r="H243" s="415" t="n">
        <f aca="false">SUM(C243-G243)</f>
        <v>1499212</v>
      </c>
      <c r="I243" s="421" t="n">
        <f aca="false">SUM(H239:H243)</f>
        <v>8417029</v>
      </c>
    </row>
    <row r="244" customFormat="false" ht="14.25" hidden="false" customHeight="false" outlineLevel="0" collapsed="false">
      <c r="A244" s="416" t="s">
        <v>125</v>
      </c>
      <c r="B244" s="0" t="n">
        <v>211</v>
      </c>
      <c r="C244" s="418" t="n">
        <v>1647320</v>
      </c>
      <c r="D244" s="0" t="n">
        <v>45.84</v>
      </c>
      <c r="E244" s="420" t="n">
        <f aca="false">AVERAGE(D240:D244)</f>
        <v>74.022</v>
      </c>
      <c r="F244" s="0" t="n">
        <v>45</v>
      </c>
      <c r="G244" s="414" t="n">
        <v>1690000</v>
      </c>
      <c r="H244" s="415" t="n">
        <f aca="false">SUM(C244-G244)</f>
        <v>-42680</v>
      </c>
      <c r="I244" s="421" t="n">
        <f aca="false">SUM(H240:H244)</f>
        <v>6724724</v>
      </c>
    </row>
    <row r="245" customFormat="false" ht="14.25" hidden="false" customHeight="false" outlineLevel="0" collapsed="false">
      <c r="A245" s="416" t="s">
        <v>126</v>
      </c>
      <c r="B245" s="0" t="n">
        <v>216</v>
      </c>
      <c r="C245" s="418" t="n">
        <v>1753320</v>
      </c>
      <c r="D245" s="0" t="n">
        <v>46.8</v>
      </c>
      <c r="E245" s="420" t="n">
        <f aca="false">AVERAGE(D241:D245)</f>
        <v>76.204</v>
      </c>
      <c r="F245" s="0" t="n">
        <v>60</v>
      </c>
      <c r="G245" s="414" t="n">
        <v>785000</v>
      </c>
      <c r="H245" s="415" t="n">
        <f aca="false">SUM(C245-G245)</f>
        <v>968320</v>
      </c>
      <c r="I245" s="421" t="n">
        <f aca="false">SUM(H241:H245)</f>
        <v>7787424</v>
      </c>
    </row>
    <row r="246" customFormat="false" ht="14.25" hidden="false" customHeight="false" outlineLevel="0" collapsed="false">
      <c r="A246" s="422" t="s">
        <v>127</v>
      </c>
      <c r="B246" s="0" t="n">
        <v>221</v>
      </c>
      <c r="C246" s="418" t="n">
        <v>4543147</v>
      </c>
      <c r="D246" s="0" t="n">
        <v>118.11</v>
      </c>
      <c r="E246" s="420" t="n">
        <f aca="false">AVERAGE(D242:D246)</f>
        <v>83.224</v>
      </c>
      <c r="F246" s="0" t="n">
        <v>101</v>
      </c>
      <c r="G246" s="414" t="n">
        <v>1660000</v>
      </c>
      <c r="H246" s="415" t="n">
        <f aca="false">SUM(C246-G246)</f>
        <v>2883147</v>
      </c>
      <c r="I246" s="421" t="n">
        <f aca="false">SUM(H242:H246)</f>
        <v>8639571</v>
      </c>
    </row>
    <row r="247" customFormat="false" ht="14.25" hidden="false" customHeight="false" outlineLevel="0" collapsed="false">
      <c r="A247" s="422" t="s">
        <v>128</v>
      </c>
      <c r="B247" s="0" t="n">
        <v>217</v>
      </c>
      <c r="C247" s="418" t="n">
        <v>4261342</v>
      </c>
      <c r="D247" s="0" t="n">
        <v>111.28</v>
      </c>
      <c r="E247" s="420" t="n">
        <f aca="false">AVERAGE(D243:D247)</f>
        <v>82.282</v>
      </c>
      <c r="F247" s="0" t="n">
        <v>83</v>
      </c>
      <c r="G247" s="414" t="n">
        <v>1940000</v>
      </c>
      <c r="H247" s="415" t="n">
        <f aca="false">SUM(C247-G247)</f>
        <v>2321342</v>
      </c>
      <c r="I247" s="421" t="n">
        <f aca="false">SUM(H243:H247)</f>
        <v>7629341</v>
      </c>
    </row>
    <row r="248" customFormat="false" ht="14.25" hidden="false" customHeight="false" outlineLevel="0" collapsed="false">
      <c r="A248" s="422" t="s">
        <v>129</v>
      </c>
      <c r="B248" s="0" t="n">
        <v>218</v>
      </c>
      <c r="C248" s="418" t="n">
        <v>2128377</v>
      </c>
      <c r="D248" s="0" t="n">
        <v>51.95</v>
      </c>
      <c r="E248" s="420" t="n">
        <f aca="false">AVERAGE(D244:D248)</f>
        <v>74.796</v>
      </c>
      <c r="F248" s="0" t="n">
        <v>69</v>
      </c>
      <c r="G248" s="414" t="n">
        <v>3300000</v>
      </c>
      <c r="H248" s="415" t="n">
        <f aca="false">SUM(C248-G248)</f>
        <v>-1171623</v>
      </c>
      <c r="I248" s="421" t="n">
        <f aca="false">SUM(H244:H248)</f>
        <v>4958506</v>
      </c>
    </row>
    <row r="249" customFormat="false" ht="14.25" hidden="false" customHeight="false" outlineLevel="0" collapsed="false">
      <c r="A249" s="422" t="s">
        <v>130</v>
      </c>
      <c r="B249" s="0" t="n">
        <v>217</v>
      </c>
      <c r="C249" s="418" t="n">
        <v>1369420</v>
      </c>
      <c r="D249" s="0" t="n">
        <v>33.7</v>
      </c>
      <c r="E249" s="420" t="n">
        <f aca="false">AVERAGE(D245:D249)</f>
        <v>72.368</v>
      </c>
      <c r="F249" s="0" t="n">
        <v>52</v>
      </c>
      <c r="G249" s="414" t="n">
        <v>1480000</v>
      </c>
      <c r="H249" s="415" t="n">
        <f aca="false">SUM(C249-G249)</f>
        <v>-110580</v>
      </c>
      <c r="I249" s="421" t="n">
        <f aca="false">SUM(H245:H249)</f>
        <v>4890606</v>
      </c>
      <c r="J249" s="423" t="s">
        <v>1589</v>
      </c>
    </row>
    <row r="250" customFormat="false" ht="14.25" hidden="false" customHeight="false" outlineLevel="0" collapsed="false">
      <c r="A250" s="422" t="s">
        <v>131</v>
      </c>
      <c r="B250" s="0" t="n">
        <v>219</v>
      </c>
      <c r="C250" s="418" t="n">
        <v>2931697</v>
      </c>
      <c r="D250" s="0" t="n">
        <v>70.76</v>
      </c>
      <c r="E250" s="420" t="n">
        <f aca="false">AVERAGE(D246:D250)</f>
        <v>77.16</v>
      </c>
      <c r="F250" s="0" t="n">
        <v>76</v>
      </c>
      <c r="G250" s="414" t="n">
        <v>1195000</v>
      </c>
      <c r="H250" s="415" t="n">
        <f aca="false">SUM(C250-G250)</f>
        <v>1736697</v>
      </c>
      <c r="I250" s="421" t="n">
        <f aca="false">SUM(H246:H250)</f>
        <v>5658983</v>
      </c>
    </row>
    <row r="251" customFormat="false" ht="14.25" hidden="false" customHeight="false" outlineLevel="0" collapsed="false">
      <c r="A251" s="422" t="s">
        <v>132</v>
      </c>
      <c r="B251" s="0" t="n">
        <v>226</v>
      </c>
      <c r="C251" s="418" t="n">
        <v>3960350</v>
      </c>
      <c r="D251" s="0" t="n">
        <v>94.18</v>
      </c>
      <c r="E251" s="420" t="n">
        <f aca="false">AVERAGE(D247:D251)</f>
        <v>72.374</v>
      </c>
      <c r="F251" s="0" t="n">
        <v>82</v>
      </c>
      <c r="G251" s="414" t="n">
        <v>2025000</v>
      </c>
      <c r="H251" s="415" t="n">
        <f aca="false">SUM(C251-G251)</f>
        <v>1935350</v>
      </c>
      <c r="I251" s="421" t="n">
        <f aca="false">SUM(H247:H251)</f>
        <v>4711186</v>
      </c>
    </row>
    <row r="252" customFormat="false" ht="14.25" hidden="false" customHeight="false" outlineLevel="0" collapsed="false">
      <c r="A252" s="422" t="s">
        <v>133</v>
      </c>
      <c r="B252" s="0" t="n">
        <v>222</v>
      </c>
      <c r="C252" s="418" t="n">
        <v>2383829</v>
      </c>
      <c r="D252" s="0" t="n">
        <v>55.9</v>
      </c>
      <c r="E252" s="420" t="n">
        <f aca="false">AVERAGE(D248:D252)</f>
        <v>61.298</v>
      </c>
      <c r="F252" s="0" t="n">
        <v>62</v>
      </c>
      <c r="G252" s="414" t="n">
        <v>1380000</v>
      </c>
      <c r="H252" s="415" t="n">
        <f aca="false">SUM(C252-G252)</f>
        <v>1003829</v>
      </c>
      <c r="I252" s="421" t="n">
        <f aca="false">SUM(H248:H252)</f>
        <v>3393673</v>
      </c>
    </row>
    <row r="253" customFormat="false" ht="14.25" hidden="false" customHeight="false" outlineLevel="0" collapsed="false">
      <c r="A253" s="422" t="s">
        <v>134</v>
      </c>
      <c r="B253" s="0" t="n">
        <v>226</v>
      </c>
      <c r="C253" s="418" t="n">
        <v>2348280</v>
      </c>
      <c r="D253" s="0" t="n">
        <v>54.19</v>
      </c>
      <c r="E253" s="420" t="n">
        <f aca="false">AVERAGE(D249:D253)</f>
        <v>61.746</v>
      </c>
      <c r="F253" s="0" t="n">
        <v>75</v>
      </c>
      <c r="G253" s="414" t="n">
        <v>840000</v>
      </c>
      <c r="H253" s="415" t="n">
        <f aca="false">SUM(C253-G253)</f>
        <v>1508280</v>
      </c>
      <c r="I253" s="421" t="n">
        <f aca="false">SUM(H249:H253)</f>
        <v>6073576</v>
      </c>
    </row>
    <row r="254" customFormat="false" ht="14.25" hidden="false" customHeight="false" outlineLevel="0" collapsed="false">
      <c r="A254" s="422" t="s">
        <v>135</v>
      </c>
      <c r="B254" s="0" t="n">
        <v>226</v>
      </c>
      <c r="C254" s="418" t="n">
        <v>1593700</v>
      </c>
      <c r="D254" s="0" t="n">
        <v>36.21</v>
      </c>
      <c r="E254" s="420" t="n">
        <f aca="false">AVERAGE(D250:D254)</f>
        <v>62.248</v>
      </c>
      <c r="F254" s="0" t="n">
        <v>66</v>
      </c>
      <c r="G254" s="414" t="n">
        <v>995000</v>
      </c>
      <c r="H254" s="415" t="n">
        <f aca="false">SUM(C254-G254)</f>
        <v>598700</v>
      </c>
      <c r="I254" s="421" t="n">
        <f aca="false">SUM(H250:H254)</f>
        <v>6782856</v>
      </c>
    </row>
    <row r="255" customFormat="false" ht="14.25" hidden="false" customHeight="false" outlineLevel="0" collapsed="false">
      <c r="A255" s="422" t="s">
        <v>136</v>
      </c>
      <c r="B255" s="0" t="n">
        <v>227</v>
      </c>
      <c r="C255" s="418" t="n">
        <v>4435800</v>
      </c>
      <c r="D255" s="0" t="n">
        <v>99.95</v>
      </c>
      <c r="E255" s="420" t="n">
        <f aca="false">AVERAGE(D251:D255)</f>
        <v>68.086</v>
      </c>
      <c r="F255" s="0" t="n">
        <v>89</v>
      </c>
      <c r="G255" s="414" t="n">
        <v>900000</v>
      </c>
      <c r="H255" s="415" t="n">
        <f aca="false">SUM(C255-G255)</f>
        <v>3535800</v>
      </c>
      <c r="I255" s="421" t="n">
        <f aca="false">SUM(H251:H255)</f>
        <v>8581959</v>
      </c>
    </row>
    <row r="256" customFormat="false" ht="14.25" hidden="false" customHeight="false" outlineLevel="0" collapsed="false">
      <c r="A256" s="422" t="s">
        <v>137</v>
      </c>
      <c r="B256" s="0" t="n">
        <v>221</v>
      </c>
      <c r="C256" s="418" t="n">
        <v>3417155</v>
      </c>
      <c r="D256" s="0" t="n">
        <v>75.61</v>
      </c>
      <c r="E256" s="420" t="n">
        <f aca="false">AVERAGE(D252:D256)</f>
        <v>64.372</v>
      </c>
      <c r="F256" s="0" t="n">
        <v>94</v>
      </c>
      <c r="G256" s="414" t="n">
        <v>3050000</v>
      </c>
      <c r="H256" s="415" t="n">
        <f aca="false">SUM(C256-G256)</f>
        <v>367155</v>
      </c>
      <c r="I256" s="421" t="n">
        <f aca="false">SUM(H252:H256)</f>
        <v>7013764</v>
      </c>
    </row>
    <row r="257" customFormat="false" ht="14.25" hidden="false" customHeight="false" outlineLevel="0" collapsed="false">
      <c r="A257" s="422" t="s">
        <v>138</v>
      </c>
      <c r="B257" s="0" t="n">
        <v>216</v>
      </c>
      <c r="C257" s="418" t="n">
        <v>2094980</v>
      </c>
      <c r="D257" s="0" t="n">
        <v>45.87</v>
      </c>
      <c r="E257" s="420" t="n">
        <f aca="false">AVERAGE(D253:D257)</f>
        <v>62.366</v>
      </c>
      <c r="F257" s="0" t="n">
        <v>51</v>
      </c>
      <c r="G257" s="414" t="n">
        <v>2080000</v>
      </c>
      <c r="H257" s="415" t="n">
        <f aca="false">SUM(C257-G257)</f>
        <v>14980</v>
      </c>
      <c r="I257" s="421" t="n">
        <f aca="false">SUM(H253:H257)</f>
        <v>6024915</v>
      </c>
    </row>
    <row r="258" customFormat="false" ht="14.25" hidden="false" customHeight="false" outlineLevel="0" collapsed="false">
      <c r="A258" s="422" t="s">
        <v>139</v>
      </c>
      <c r="B258" s="0" t="n">
        <v>221</v>
      </c>
      <c r="C258" s="418" t="n">
        <v>1885050</v>
      </c>
      <c r="D258" s="0" t="n">
        <v>40.43</v>
      </c>
      <c r="E258" s="420" t="n">
        <f aca="false">AVERAGE(D254:D258)</f>
        <v>59.614</v>
      </c>
      <c r="F258" s="0" t="n">
        <v>56</v>
      </c>
      <c r="G258" s="414" t="n">
        <v>1620000</v>
      </c>
      <c r="H258" s="415" t="n">
        <f aca="false">SUM(C258-G258)</f>
        <v>265050</v>
      </c>
      <c r="I258" s="421" t="n">
        <f aca="false">SUM(H254:H258)</f>
        <v>4781685</v>
      </c>
    </row>
    <row r="259" customFormat="false" ht="14.25" hidden="false" customHeight="false" outlineLevel="0" collapsed="false">
      <c r="A259" s="422" t="s">
        <v>140</v>
      </c>
      <c r="B259" s="0" t="n">
        <v>223</v>
      </c>
      <c r="C259" s="418" t="n">
        <v>4703622</v>
      </c>
      <c r="D259" s="0" t="n">
        <v>101.6</v>
      </c>
      <c r="E259" s="420" t="n">
        <f aca="false">AVERAGE(D255:D259)</f>
        <v>72.692</v>
      </c>
      <c r="F259" s="0" t="n">
        <v>98</v>
      </c>
      <c r="G259" s="414" t="n">
        <v>1510000</v>
      </c>
      <c r="H259" s="415" t="n">
        <f aca="false">SUM(C259-G259)</f>
        <v>3193622</v>
      </c>
      <c r="I259" s="421" t="n">
        <f aca="false">SUM(H255:H259)</f>
        <v>7376607</v>
      </c>
    </row>
    <row r="260" customFormat="false" ht="14.25" hidden="false" customHeight="false" outlineLevel="0" collapsed="false">
      <c r="A260" s="422" t="s">
        <v>141</v>
      </c>
      <c r="B260" s="0" t="n">
        <v>217</v>
      </c>
      <c r="C260" s="418" t="n">
        <v>2726405</v>
      </c>
      <c r="D260" s="0" t="n">
        <v>59.36</v>
      </c>
      <c r="E260" s="420" t="n">
        <f aca="false">AVERAGE(D256:D260)</f>
        <v>64.574</v>
      </c>
      <c r="F260" s="0" t="n">
        <v>57</v>
      </c>
      <c r="G260" s="414" t="n">
        <v>200000</v>
      </c>
      <c r="H260" s="415" t="n">
        <f aca="false">SUM(C260-G260)</f>
        <v>2526405</v>
      </c>
      <c r="I260" s="421" t="n">
        <f aca="false">SUM(H256:H260)</f>
        <v>6367212</v>
      </c>
    </row>
    <row r="261" customFormat="false" ht="14.25" hidden="false" customHeight="false" outlineLevel="0" collapsed="false">
      <c r="A261" s="422" t="s">
        <v>142</v>
      </c>
      <c r="B261" s="0" t="n">
        <v>225</v>
      </c>
      <c r="C261" s="418" t="n">
        <v>2414601</v>
      </c>
      <c r="D261" s="0" t="n">
        <v>51.95</v>
      </c>
      <c r="E261" s="420" t="n">
        <f aca="false">AVERAGE(D257:D261)</f>
        <v>59.842</v>
      </c>
      <c r="F261" s="0" t="n">
        <v>68</v>
      </c>
      <c r="G261" s="414" t="n">
        <v>1870000</v>
      </c>
      <c r="H261" s="415" t="n">
        <f aca="false">SUM(C261-G261)</f>
        <v>544601</v>
      </c>
      <c r="I261" s="421" t="n">
        <f aca="false">SUM(H257:H261)</f>
        <v>6544658</v>
      </c>
    </row>
    <row r="262" customFormat="false" ht="14.25" hidden="false" customHeight="false" outlineLevel="0" collapsed="false">
      <c r="A262" s="422" t="s">
        <v>143</v>
      </c>
      <c r="B262" s="0" t="n">
        <v>228</v>
      </c>
      <c r="C262" s="418" t="n">
        <v>2828300</v>
      </c>
      <c r="D262" s="0" t="n">
        <v>60.36</v>
      </c>
      <c r="E262" s="420" t="n">
        <f aca="false">AVERAGE(D258:D262)</f>
        <v>62.74</v>
      </c>
      <c r="F262" s="0" t="n">
        <v>56</v>
      </c>
      <c r="G262" s="414" t="n">
        <v>1170000</v>
      </c>
      <c r="H262" s="415" t="n">
        <f aca="false">SUM(C262-G262)</f>
        <v>1658300</v>
      </c>
      <c r="I262" s="421" t="n">
        <f aca="false">SUM(H258:H262)</f>
        <v>8187978</v>
      </c>
    </row>
    <row r="263" customFormat="false" ht="14.25" hidden="false" customHeight="false" outlineLevel="0" collapsed="false">
      <c r="A263" s="422" t="s">
        <v>144</v>
      </c>
      <c r="B263" s="0" t="n">
        <v>229</v>
      </c>
      <c r="C263" s="418" t="n">
        <v>3311021</v>
      </c>
      <c r="D263" s="0" t="n">
        <v>76.05</v>
      </c>
      <c r="E263" s="420" t="n">
        <f aca="false">AVERAGE(D259:D263)</f>
        <v>69.864</v>
      </c>
      <c r="F263" s="0" t="n">
        <v>93</v>
      </c>
      <c r="G263" s="414" t="n">
        <v>1200000</v>
      </c>
      <c r="H263" s="415" t="n">
        <v>2111021</v>
      </c>
      <c r="I263" s="421" t="n">
        <f aca="false">SUM(H259:H263)</f>
        <v>10033949</v>
      </c>
    </row>
    <row r="264" customFormat="false" ht="14.25" hidden="false" customHeight="false" outlineLevel="0" collapsed="false">
      <c r="A264" s="422" t="s">
        <v>145</v>
      </c>
      <c r="B264" s="0" t="n">
        <v>234</v>
      </c>
      <c r="C264" s="0" t="n">
        <v>4785500</v>
      </c>
      <c r="D264" s="0" t="n">
        <v>97.14</v>
      </c>
      <c r="E264" s="420" t="n">
        <f aca="false">AVERAGE(D260:D264)</f>
        <v>68.972</v>
      </c>
      <c r="F264" s="114" t="n">
        <v>92</v>
      </c>
      <c r="G264" s="419" t="n">
        <v>2315000</v>
      </c>
      <c r="H264" s="415" t="n">
        <f aca="false">SUM(C264-G264)</f>
        <v>2470500</v>
      </c>
      <c r="I264" s="421" t="n">
        <f aca="false">SUM(H260:H264)</f>
        <v>9310827</v>
      </c>
    </row>
    <row r="265" customFormat="false" ht="14.25" hidden="false" customHeight="false" outlineLevel="0" collapsed="false">
      <c r="A265" s="422" t="s">
        <v>146</v>
      </c>
      <c r="B265" s="0" t="n">
        <v>224</v>
      </c>
      <c r="C265" s="418" t="n">
        <v>2484300</v>
      </c>
      <c r="D265" s="0" t="n">
        <v>50.94</v>
      </c>
      <c r="E265" s="420" t="n">
        <f aca="false">AVERAGE(D261:D265)</f>
        <v>67.288</v>
      </c>
      <c r="F265" s="424" t="n">
        <v>61</v>
      </c>
      <c r="G265" s="425" t="n">
        <v>1710000</v>
      </c>
      <c r="H265" s="415" t="n">
        <f aca="false">SUM(C265-G265)</f>
        <v>774300</v>
      </c>
      <c r="I265" s="421" t="n">
        <f aca="false">SUM(H261:H265)</f>
        <v>7558722</v>
      </c>
    </row>
    <row r="266" customFormat="false" ht="14.25" hidden="false" customHeight="false" outlineLevel="0" collapsed="false">
      <c r="A266" s="422" t="s">
        <v>147</v>
      </c>
      <c r="B266" s="0" t="n">
        <v>231</v>
      </c>
      <c r="C266" s="418" t="n">
        <v>2897330</v>
      </c>
      <c r="D266" s="0" t="n">
        <v>59.03</v>
      </c>
      <c r="E266" s="420" t="n">
        <f aca="false">AVERAGE(D262:D266)</f>
        <v>68.704</v>
      </c>
      <c r="F266" s="424" t="n">
        <v>66</v>
      </c>
      <c r="G266" s="425" t="n">
        <v>1900000</v>
      </c>
      <c r="H266" s="415" t="n">
        <f aca="false">SUM(C266-G266)</f>
        <v>997330</v>
      </c>
      <c r="I266" s="421" t="n">
        <f aca="false">SUM(H262:H266)</f>
        <v>8011451</v>
      </c>
    </row>
    <row r="267" customFormat="false" ht="14.25" hidden="false" customHeight="false" outlineLevel="0" collapsed="false">
      <c r="A267" s="422" t="s">
        <v>148</v>
      </c>
      <c r="B267" s="0" t="n">
        <v>230</v>
      </c>
      <c r="C267" s="418" t="n">
        <v>4181680</v>
      </c>
      <c r="D267" s="0" t="n">
        <v>84.21</v>
      </c>
      <c r="E267" s="420" t="n">
        <f aca="false">AVERAGE(D263:D267)</f>
        <v>73.474</v>
      </c>
      <c r="F267" s="424" t="n">
        <v>80</v>
      </c>
      <c r="G267" s="425" t="n">
        <v>1510000</v>
      </c>
      <c r="H267" s="415" t="n">
        <f aca="false">SUM(C267-G267)</f>
        <v>2671680</v>
      </c>
      <c r="I267" s="421" t="n">
        <f aca="false">SUM(H263:H267)</f>
        <v>9024831</v>
      </c>
    </row>
    <row r="268" customFormat="false" ht="14.25" hidden="false" customHeight="false" outlineLevel="0" collapsed="false">
      <c r="A268" s="422" t="s">
        <v>149</v>
      </c>
      <c r="B268" s="0" t="n">
        <v>233</v>
      </c>
      <c r="C268" s="418" t="n">
        <v>3913080</v>
      </c>
      <c r="D268" s="0" t="n">
        <v>75.16</v>
      </c>
      <c r="E268" s="420" t="n">
        <f aca="false">AVERAGE(D264:D268)</f>
        <v>73.296</v>
      </c>
      <c r="F268" s="424" t="n">
        <v>93</v>
      </c>
      <c r="G268" s="425" t="n">
        <v>2970000</v>
      </c>
      <c r="H268" s="415" t="n">
        <f aca="false">SUM(C268-G268)</f>
        <v>943080</v>
      </c>
      <c r="I268" s="421" t="n">
        <f aca="false">SUM(H264:H268)</f>
        <v>7856890</v>
      </c>
    </row>
    <row r="269" customFormat="false" ht="14.25" hidden="false" customHeight="false" outlineLevel="0" collapsed="false">
      <c r="A269" s="422" t="s">
        <v>1594</v>
      </c>
      <c r="B269" s="0" t="n">
        <v>231</v>
      </c>
      <c r="C269" s="418" t="n">
        <v>2284850</v>
      </c>
      <c r="D269" s="0" t="n">
        <v>43.87</v>
      </c>
      <c r="E269" s="420" t="n">
        <f aca="false">AVERAGE(D265:D269)</f>
        <v>62.642</v>
      </c>
      <c r="F269" s="424" t="n">
        <v>58</v>
      </c>
      <c r="G269" s="425" t="n">
        <v>1690000</v>
      </c>
      <c r="H269" s="415" t="n">
        <f aca="false">SUM(C269-G269)</f>
        <v>594850</v>
      </c>
      <c r="I269" s="421" t="n">
        <f aca="false">SUM(H265:H269)</f>
        <v>5981240</v>
      </c>
    </row>
    <row r="270" customFormat="false" ht="14.25" hidden="false" customHeight="false" outlineLevel="0" collapsed="false">
      <c r="A270" s="422" t="s">
        <v>151</v>
      </c>
      <c r="B270" s="0" t="n">
        <v>241</v>
      </c>
      <c r="C270" s="418" t="n">
        <v>3762350</v>
      </c>
      <c r="D270" s="0" t="n">
        <v>68.18</v>
      </c>
      <c r="E270" s="420" t="n">
        <f aca="false">AVERAGE(D266:D270)</f>
        <v>66.09</v>
      </c>
      <c r="F270" s="424" t="n">
        <v>85</v>
      </c>
      <c r="G270" s="425" t="n">
        <v>3090000</v>
      </c>
      <c r="H270" s="415" t="n">
        <f aca="false">SUM(C270-G270)</f>
        <v>672350</v>
      </c>
      <c r="I270" s="421" t="n">
        <f aca="false">SUM(H266:H270)</f>
        <v>5879290</v>
      </c>
    </row>
    <row r="271" customFormat="false" ht="14.25" hidden="false" customHeight="false" outlineLevel="0" collapsed="false">
      <c r="A271" s="422" t="s">
        <v>152</v>
      </c>
      <c r="B271" s="0" t="n">
        <v>235</v>
      </c>
      <c r="C271" s="418" t="n">
        <v>3940150</v>
      </c>
      <c r="D271" s="0" t="n">
        <v>72.94</v>
      </c>
      <c r="E271" s="420" t="n">
        <f aca="false">AVERAGE(D267:D271)</f>
        <v>68.872</v>
      </c>
      <c r="F271" s="424" t="n">
        <v>80</v>
      </c>
      <c r="G271" s="425" t="n">
        <v>1370000</v>
      </c>
      <c r="H271" s="415" t="n">
        <f aca="false">SUM(C271-G271)</f>
        <v>2570150</v>
      </c>
      <c r="I271" s="421" t="n">
        <f aca="false">SUM(H267:H271)</f>
        <v>7452110</v>
      </c>
    </row>
    <row r="272" customFormat="false" ht="14.25" hidden="false" customHeight="false" outlineLevel="0" collapsed="false">
      <c r="A272" s="422" t="s">
        <v>153</v>
      </c>
      <c r="B272" s="0" t="n">
        <v>235</v>
      </c>
      <c r="C272" s="418" t="n">
        <v>4683250</v>
      </c>
      <c r="D272" s="0" t="n">
        <v>86.17</v>
      </c>
      <c r="E272" s="420" t="n">
        <f aca="false">AVERAGE(D268:D272)</f>
        <v>69.264</v>
      </c>
      <c r="F272" s="424" t="n">
        <v>93</v>
      </c>
      <c r="G272" s="425" t="n">
        <v>1035000</v>
      </c>
      <c r="H272" s="415" t="n">
        <f aca="false">SUM(C272-G272)</f>
        <v>3648250</v>
      </c>
      <c r="I272" s="421" t="n">
        <f aca="false">SUM(H268:H272)</f>
        <v>8428680</v>
      </c>
    </row>
    <row r="273" customFormat="false" ht="14.25" hidden="false" customHeight="false" outlineLevel="0" collapsed="false">
      <c r="A273" s="422" t="s">
        <v>154</v>
      </c>
      <c r="B273" s="0" t="n">
        <v>234</v>
      </c>
      <c r="C273" s="418" t="n">
        <v>3351700</v>
      </c>
      <c r="D273" s="0" t="n">
        <v>63.94</v>
      </c>
      <c r="E273" s="420" t="n">
        <f aca="false">AVERAGE(D269:D273)</f>
        <v>67.02</v>
      </c>
      <c r="F273" s="424" t="n">
        <v>84</v>
      </c>
      <c r="G273" s="425" t="n">
        <v>1870000</v>
      </c>
      <c r="H273" s="415" t="n">
        <f aca="false">SUM(C273-G273)</f>
        <v>1481700</v>
      </c>
      <c r="I273" s="421" t="n">
        <f aca="false">SUM(H269:H273)</f>
        <v>8967300</v>
      </c>
    </row>
    <row r="274" customFormat="false" ht="14.25" hidden="false" customHeight="false" outlineLevel="0" collapsed="false">
      <c r="A274" s="422" t="s">
        <v>155</v>
      </c>
      <c r="B274" s="0" t="n">
        <v>240</v>
      </c>
      <c r="C274" s="418" t="n">
        <v>3126950</v>
      </c>
      <c r="D274" s="0" t="n">
        <v>56.63</v>
      </c>
      <c r="E274" s="420" t="n">
        <f aca="false">AVERAGE(D270:D274)</f>
        <v>69.572</v>
      </c>
      <c r="F274" s="424" t="n">
        <v>71</v>
      </c>
      <c r="G274" s="425" t="n">
        <v>2900000</v>
      </c>
      <c r="H274" s="415" t="n">
        <f aca="false">SUM(C274-G274)</f>
        <v>226950</v>
      </c>
      <c r="I274" s="421" t="n">
        <f aca="false">SUM(H270:H274)</f>
        <v>8599400</v>
      </c>
    </row>
    <row r="275" customFormat="false" ht="14.25" hidden="false" customHeight="false" outlineLevel="0" collapsed="false">
      <c r="A275" s="422" t="s">
        <v>156</v>
      </c>
      <c r="B275" s="0" t="n">
        <v>234</v>
      </c>
      <c r="C275" s="418" t="n">
        <v>2511600</v>
      </c>
      <c r="D275" s="0" t="n">
        <v>46.19</v>
      </c>
      <c r="E275" s="420" t="n">
        <f aca="false">AVERAGE(D271:D275)</f>
        <v>65.174</v>
      </c>
      <c r="F275" s="424" t="n">
        <v>50</v>
      </c>
      <c r="G275" s="425" t="n">
        <v>1525000</v>
      </c>
      <c r="H275" s="415" t="n">
        <f aca="false">SUM(C275-G275)</f>
        <v>986600</v>
      </c>
      <c r="I275" s="421" t="n">
        <f aca="false">SUM(H271:H275)</f>
        <v>8913650</v>
      </c>
    </row>
    <row r="276" customFormat="false" ht="14.25" hidden="false" customHeight="false" outlineLevel="0" collapsed="false">
      <c r="A276" s="422" t="s">
        <v>157</v>
      </c>
      <c r="B276" s="0" t="n">
        <v>239</v>
      </c>
      <c r="C276" s="418" t="n">
        <v>6996050</v>
      </c>
      <c r="D276" s="0" t="n">
        <v>122.32</v>
      </c>
      <c r="E276" s="420" t="n">
        <f aca="false">AVERAGE(D272:D276)</f>
        <v>75.05</v>
      </c>
      <c r="F276" s="424" t="n">
        <v>105</v>
      </c>
      <c r="G276" s="425" t="n">
        <v>3900000</v>
      </c>
      <c r="H276" s="415" t="n">
        <f aca="false">SUM(C276-G276)</f>
        <v>3096050</v>
      </c>
      <c r="I276" s="421" t="n">
        <f aca="false">SUM(H272:H276)</f>
        <v>9439550</v>
      </c>
    </row>
    <row r="277" customFormat="false" ht="14.25" hidden="false" customHeight="false" outlineLevel="0" collapsed="false">
      <c r="A277" s="422" t="s">
        <v>158</v>
      </c>
      <c r="B277" s="0" t="n">
        <v>234</v>
      </c>
      <c r="C277" s="418" t="n">
        <v>2600700</v>
      </c>
      <c r="D277" s="0" t="n">
        <v>47.53</v>
      </c>
      <c r="E277" s="420" t="n">
        <f aca="false">AVERAGE(D273:D277)</f>
        <v>67.322</v>
      </c>
      <c r="F277" s="0" t="n">
        <v>65</v>
      </c>
      <c r="G277" s="425" t="n">
        <v>2640000</v>
      </c>
      <c r="H277" s="415" t="n">
        <f aca="false">SUM(C277-G277)</f>
        <v>-39300</v>
      </c>
      <c r="I277" s="421" t="n">
        <f aca="false">SUM(H273:H277)</f>
        <v>5752000</v>
      </c>
    </row>
    <row r="278" customFormat="false" ht="14.25" hidden="false" customHeight="false" outlineLevel="0" collapsed="false">
      <c r="A278" s="422" t="s">
        <v>159</v>
      </c>
      <c r="B278" s="0" t="n">
        <v>234</v>
      </c>
      <c r="C278" s="418" t="n">
        <v>3675820</v>
      </c>
      <c r="D278" s="0" t="n">
        <v>65.65</v>
      </c>
      <c r="E278" s="420" t="n">
        <f aca="false">AVERAGE(D274:D278)</f>
        <v>67.664</v>
      </c>
      <c r="F278" s="0" t="n">
        <v>78</v>
      </c>
      <c r="G278" s="425" t="n">
        <v>1850000</v>
      </c>
      <c r="H278" s="415" t="n">
        <f aca="false">SUM(C278-G278)</f>
        <v>1825820</v>
      </c>
      <c r="I278" s="421" t="n">
        <f aca="false">SUM(H274:H278)</f>
        <v>6096120</v>
      </c>
    </row>
    <row r="279" customFormat="false" ht="14.25" hidden="false" customHeight="false" outlineLevel="0" collapsed="false">
      <c r="A279" s="422" t="s">
        <v>160</v>
      </c>
      <c r="B279" s="0" t="n">
        <v>231</v>
      </c>
      <c r="C279" s="418" t="n">
        <v>2058930</v>
      </c>
      <c r="D279" s="0" t="n">
        <v>36.83</v>
      </c>
      <c r="E279" s="420" t="n">
        <f aca="false">AVERAGE(D275:D279)</f>
        <v>63.704</v>
      </c>
      <c r="F279" s="0" t="n">
        <v>49</v>
      </c>
      <c r="G279" s="425" t="n">
        <v>1904000</v>
      </c>
      <c r="H279" s="415" t="n">
        <f aca="false">SUM(C279-G279)</f>
        <v>154930</v>
      </c>
      <c r="I279" s="421" t="n">
        <f aca="false">SUM(H275:H279)</f>
        <v>6024100</v>
      </c>
    </row>
    <row r="280" customFormat="false" ht="14.25" hidden="false" customHeight="false" outlineLevel="0" collapsed="false">
      <c r="A280" s="422" t="s">
        <v>161</v>
      </c>
      <c r="B280" s="0" t="n">
        <v>230</v>
      </c>
      <c r="C280" s="418" t="n">
        <v>4681079</v>
      </c>
      <c r="D280" s="0" t="n">
        <v>84.2</v>
      </c>
      <c r="E280" s="420" t="n">
        <f aca="false">AVERAGE(D276:D280)</f>
        <v>71.306</v>
      </c>
      <c r="F280" s="0" t="n">
        <v>75</v>
      </c>
      <c r="G280" s="425" t="n">
        <v>520000</v>
      </c>
      <c r="H280" s="415" t="n">
        <f aca="false">SUM(C280-G280)</f>
        <v>4161079</v>
      </c>
      <c r="I280" s="421" t="n">
        <f aca="false">SUM(H276:H280)</f>
        <v>9198579</v>
      </c>
    </row>
    <row r="281" customFormat="false" ht="14.25" hidden="false" customHeight="false" outlineLevel="0" collapsed="false">
      <c r="A281" s="422" t="s">
        <v>162</v>
      </c>
      <c r="B281" s="0" t="n">
        <v>242</v>
      </c>
      <c r="C281" s="418" t="n">
        <v>4545630</v>
      </c>
      <c r="D281" s="0" t="n">
        <v>76.27</v>
      </c>
      <c r="E281" s="420" t="n">
        <f aca="false">AVERAGE(D277:D281)</f>
        <v>62.096</v>
      </c>
      <c r="F281" s="0" t="n">
        <v>87</v>
      </c>
      <c r="G281" s="425" t="n">
        <v>3595000</v>
      </c>
      <c r="H281" s="415" t="n">
        <f aca="false">SUM(C281-G281)</f>
        <v>950630</v>
      </c>
      <c r="I281" s="421" t="n">
        <f aca="false">SUM(H277:H281)</f>
        <v>7053159</v>
      </c>
    </row>
    <row r="282" customFormat="false" ht="14.25" hidden="false" customHeight="false" outlineLevel="0" collapsed="false">
      <c r="A282" s="422" t="s">
        <v>163</v>
      </c>
      <c r="B282" s="0" t="n">
        <v>230</v>
      </c>
      <c r="C282" s="418" t="n">
        <v>5460568</v>
      </c>
      <c r="D282" s="0" t="n">
        <v>94.01</v>
      </c>
      <c r="E282" s="420" t="n">
        <f aca="false">AVERAGE(D278:D282)</f>
        <v>71.392</v>
      </c>
      <c r="F282" s="0" t="n">
        <v>73</v>
      </c>
      <c r="G282" s="425" t="n">
        <v>1910000</v>
      </c>
      <c r="H282" s="415" t="n">
        <f aca="false">SUM(C282-G282)</f>
        <v>3550568</v>
      </c>
      <c r="I282" s="421" t="n">
        <f aca="false">SUM(H278:H282)</f>
        <v>10643027</v>
      </c>
    </row>
    <row r="283" customFormat="false" ht="14.25" hidden="false" customHeight="false" outlineLevel="0" collapsed="false">
      <c r="A283" s="422" t="s">
        <v>164</v>
      </c>
      <c r="B283" s="0" t="n">
        <v>231</v>
      </c>
      <c r="C283" s="418" t="n">
        <v>2593910</v>
      </c>
      <c r="D283" s="0" t="n">
        <v>41.81</v>
      </c>
      <c r="E283" s="420" t="n">
        <f aca="false">AVERAGE(D279:D283)</f>
        <v>66.624</v>
      </c>
      <c r="F283" s="0" t="n">
        <v>56</v>
      </c>
      <c r="G283" s="425" t="n">
        <v>3200000</v>
      </c>
      <c r="H283" s="415" t="n">
        <f aca="false">SUM(C283-G283)</f>
        <v>-606090</v>
      </c>
      <c r="I283" s="421" t="n">
        <f aca="false">SUM(H279:H283)</f>
        <v>8211117</v>
      </c>
    </row>
    <row r="284" customFormat="false" ht="14.25" hidden="false" customHeight="false" outlineLevel="0" collapsed="false">
      <c r="A284" s="422" t="s">
        <v>165</v>
      </c>
      <c r="B284" s="0" t="n">
        <v>232</v>
      </c>
      <c r="C284" s="0" t="n">
        <v>3289230</v>
      </c>
      <c r="D284" s="0" t="n">
        <v>52.61</v>
      </c>
      <c r="E284" s="420" t="n">
        <f aca="false">AVERAGE(D280:D284)</f>
        <v>69.78</v>
      </c>
      <c r="F284" s="0" t="n">
        <v>54</v>
      </c>
      <c r="G284" s="425" t="n">
        <v>885000</v>
      </c>
      <c r="H284" s="415" t="n">
        <f aca="false">SUM(C284-G284)</f>
        <v>2404230</v>
      </c>
      <c r="I284" s="421" t="n">
        <f aca="false">SUM(H280:H284)</f>
        <v>10460417</v>
      </c>
    </row>
    <row r="285" customFormat="false" ht="14.25" hidden="false" customHeight="false" outlineLevel="0" collapsed="false">
      <c r="A285" s="422" t="s">
        <v>166</v>
      </c>
      <c r="B285" s="0" t="n">
        <v>240</v>
      </c>
      <c r="C285" s="418" t="n">
        <v>5939880</v>
      </c>
      <c r="D285" s="0" t="n">
        <v>92.45</v>
      </c>
      <c r="E285" s="420" t="n">
        <f aca="false">AVERAGE(D281:D285)</f>
        <v>71.43</v>
      </c>
      <c r="F285" s="0" t="n">
        <v>90</v>
      </c>
      <c r="G285" s="425" t="n">
        <v>2430000</v>
      </c>
      <c r="H285" s="415" t="n">
        <f aca="false">SUM(C285-G285)</f>
        <v>3509880</v>
      </c>
      <c r="I285" s="421" t="n">
        <f aca="false">SUM(H281:H285)</f>
        <v>9809218</v>
      </c>
    </row>
    <row r="286" customFormat="false" ht="14.25" hidden="false" customHeight="false" outlineLevel="0" collapsed="false">
      <c r="A286" s="422" t="s">
        <v>167</v>
      </c>
      <c r="B286" s="0" t="n">
        <v>233</v>
      </c>
      <c r="C286" s="418" t="n">
        <v>3754800</v>
      </c>
      <c r="D286" s="0" t="n">
        <v>58.73</v>
      </c>
      <c r="E286" s="420" t="n">
        <f aca="false">AVERAGE(D282:D286)</f>
        <v>67.922</v>
      </c>
      <c r="F286" s="0" t="n">
        <v>65</v>
      </c>
      <c r="G286" s="425" t="n">
        <v>3920000</v>
      </c>
      <c r="H286" s="415" t="n">
        <f aca="false">SUM(C286-G286)</f>
        <v>-165200</v>
      </c>
      <c r="I286" s="421" t="n">
        <f aca="false">SUM(H282:H286)</f>
        <v>8693388</v>
      </c>
    </row>
    <row r="287" customFormat="false" ht="14.25" hidden="false" customHeight="false" outlineLevel="0" collapsed="false">
      <c r="A287" s="422" t="s">
        <v>168</v>
      </c>
      <c r="B287" s="0" t="n">
        <v>230</v>
      </c>
      <c r="C287" s="418" t="n">
        <v>3232100</v>
      </c>
      <c r="D287" s="0" t="n">
        <v>50.72</v>
      </c>
      <c r="E287" s="420" t="n">
        <f aca="false">AVERAGE(D283:D287)</f>
        <v>59.264</v>
      </c>
      <c r="F287" s="0" t="n">
        <v>70</v>
      </c>
      <c r="G287" s="425" t="n">
        <v>1801200</v>
      </c>
      <c r="H287" s="415" t="n">
        <f aca="false">SUM(C287-G287)</f>
        <v>1430900</v>
      </c>
      <c r="I287" s="421" t="n">
        <f aca="false">SUM(H283:H287)</f>
        <v>6573720</v>
      </c>
    </row>
    <row r="288" customFormat="false" ht="14.25" hidden="false" customHeight="false" outlineLevel="0" collapsed="false">
      <c r="A288" s="422" t="s">
        <v>169</v>
      </c>
      <c r="B288" s="0" t="n">
        <v>237</v>
      </c>
      <c r="C288" s="418" t="n">
        <v>3440800</v>
      </c>
      <c r="D288" s="0" t="n">
        <v>52.91</v>
      </c>
      <c r="E288" s="420" t="n">
        <f aca="false">AVERAGE(D284:D288)</f>
        <v>61.484</v>
      </c>
      <c r="F288" s="0" t="n">
        <v>57</v>
      </c>
      <c r="G288" s="425" t="n">
        <v>1755000</v>
      </c>
      <c r="H288" s="415" t="n">
        <f aca="false">SUM(C288-G288)</f>
        <v>1685800</v>
      </c>
      <c r="I288" s="421" t="n">
        <f aca="false">SUM(H284:H288)</f>
        <v>8865610</v>
      </c>
    </row>
    <row r="289" customFormat="false" ht="14.25" hidden="false" customHeight="false" outlineLevel="0" collapsed="false">
      <c r="A289" s="422" t="s">
        <v>170</v>
      </c>
      <c r="B289" s="0" t="n">
        <v>240</v>
      </c>
      <c r="C289" s="418" t="n">
        <v>5852250</v>
      </c>
      <c r="D289" s="0" t="n">
        <v>89.08</v>
      </c>
      <c r="E289" s="420" t="n">
        <f aca="false">AVERAGE(D285:D289)</f>
        <v>68.778</v>
      </c>
      <c r="F289" s="0" t="n">
        <v>81</v>
      </c>
      <c r="G289" s="425" t="n">
        <v>750000</v>
      </c>
      <c r="H289" s="415" t="n">
        <f aca="false">SUM(C289-G289)</f>
        <v>5102250</v>
      </c>
      <c r="I289" s="421" t="n">
        <f aca="false">SUM(H285:H289)</f>
        <v>11563630</v>
      </c>
    </row>
    <row r="290" customFormat="false" ht="14.25" hidden="false" customHeight="false" outlineLevel="0" collapsed="false">
      <c r="A290" s="422" t="s">
        <v>171</v>
      </c>
      <c r="B290" s="0" t="n">
        <v>248</v>
      </c>
      <c r="C290" s="418" t="n">
        <v>6204050</v>
      </c>
      <c r="D290" s="0" t="n">
        <v>94.96</v>
      </c>
      <c r="E290" s="420" t="n">
        <f aca="false">AVERAGE(D286:D290)</f>
        <v>69.28</v>
      </c>
      <c r="F290" s="0" t="n">
        <v>92</v>
      </c>
      <c r="G290" s="425" t="n">
        <v>4250000</v>
      </c>
      <c r="H290" s="415" t="n">
        <f aca="false">SUM(C290-G290)</f>
        <v>1954050</v>
      </c>
      <c r="I290" s="421" t="n">
        <f aca="false">SUM(H286:H290)</f>
        <v>10007800</v>
      </c>
    </row>
    <row r="291" customFormat="false" ht="14.25" hidden="false" customHeight="false" outlineLevel="0" collapsed="false">
      <c r="A291" s="422" t="s">
        <v>172</v>
      </c>
      <c r="B291" s="0" t="n">
        <v>247</v>
      </c>
      <c r="C291" s="418" t="n">
        <v>2904000</v>
      </c>
      <c r="D291" s="0" t="n">
        <v>44.66</v>
      </c>
      <c r="E291" s="420" t="n">
        <f aca="false">AVERAGE(D287:D291)</f>
        <v>66.466</v>
      </c>
      <c r="F291" s="0" t="n">
        <v>65</v>
      </c>
      <c r="G291" s="425" t="n">
        <v>1280000</v>
      </c>
      <c r="H291" s="415" t="n">
        <f aca="false">SUM(C291-G291)</f>
        <v>1624000</v>
      </c>
      <c r="I291" s="421" t="n">
        <f aca="false">SUM(H287:H291)</f>
        <v>11797000</v>
      </c>
    </row>
    <row r="292" customFormat="false" ht="14.25" hidden="false" customHeight="false" outlineLevel="0" collapsed="false">
      <c r="A292" s="422" t="s">
        <v>173</v>
      </c>
      <c r="B292" s="0" t="n">
        <v>251</v>
      </c>
      <c r="C292" s="418" t="n">
        <v>3179550</v>
      </c>
      <c r="D292" s="0" t="n">
        <v>47.75</v>
      </c>
      <c r="E292" s="420" t="n">
        <f aca="false">AVERAGE(D288:D292)</f>
        <v>65.872</v>
      </c>
      <c r="F292" s="0" t="n">
        <v>53</v>
      </c>
      <c r="G292" s="425" t="n">
        <v>1390000</v>
      </c>
      <c r="H292" s="415" t="n">
        <f aca="false">SUM(C292-G292)</f>
        <v>1789550</v>
      </c>
      <c r="I292" s="421" t="n">
        <f aca="false">SUM(H288:H292)</f>
        <v>12155650</v>
      </c>
    </row>
    <row r="293" customFormat="false" ht="14.25" hidden="false" customHeight="false" outlineLevel="0" collapsed="false">
      <c r="A293" s="422" t="s">
        <v>174</v>
      </c>
      <c r="B293" s="0" t="n">
        <v>255</v>
      </c>
      <c r="C293" s="418" t="n">
        <v>5366650</v>
      </c>
      <c r="D293" s="0" t="n">
        <v>79.56</v>
      </c>
      <c r="E293" s="420" t="n">
        <f aca="false">AVERAGE(D289:D293)</f>
        <v>71.202</v>
      </c>
      <c r="F293" s="0" t="n">
        <v>71</v>
      </c>
      <c r="G293" s="425" t="n">
        <v>650000</v>
      </c>
      <c r="H293" s="415" t="n">
        <f aca="false">SUM(C293-G293)</f>
        <v>4716650</v>
      </c>
      <c r="I293" s="421" t="n">
        <f aca="false">SUM(H289:H293)</f>
        <v>15186500</v>
      </c>
    </row>
    <row r="294" customFormat="false" ht="14.25" hidden="false" customHeight="false" outlineLevel="0" collapsed="false">
      <c r="A294" s="422" t="s">
        <v>175</v>
      </c>
      <c r="B294" s="0" t="n">
        <v>265</v>
      </c>
      <c r="C294" s="418" t="n">
        <v>7655050</v>
      </c>
      <c r="D294" s="0" t="n">
        <v>108.6</v>
      </c>
      <c r="E294" s="420" t="n">
        <f aca="false">AVERAGE(D290:D294)</f>
        <v>75.106</v>
      </c>
      <c r="F294" s="0" t="n">
        <v>101</v>
      </c>
      <c r="G294" s="425" t="n">
        <v>6220000</v>
      </c>
      <c r="H294" s="415" t="n">
        <f aca="false">SUM(C294-G294)</f>
        <v>1435050</v>
      </c>
      <c r="I294" s="421" t="n">
        <f aca="false">SUM(H290:H294)</f>
        <v>11519300</v>
      </c>
    </row>
    <row r="295" customFormat="false" ht="14.25" hidden="false" customHeight="false" outlineLevel="0" collapsed="false">
      <c r="A295" s="422" t="s">
        <v>176</v>
      </c>
      <c r="B295" s="0" t="n">
        <v>251</v>
      </c>
      <c r="C295" s="418" t="n">
        <v>4542950</v>
      </c>
      <c r="D295" s="0" t="n">
        <v>64.72</v>
      </c>
      <c r="E295" s="420" t="n">
        <f aca="false">AVERAGE(D291:D295)</f>
        <v>69.058</v>
      </c>
      <c r="F295" s="0" t="n">
        <v>89</v>
      </c>
      <c r="G295" s="425" t="n">
        <v>1870000</v>
      </c>
      <c r="H295" s="415" t="n">
        <f aca="false">SUM(C295-G295)</f>
        <v>2672950</v>
      </c>
      <c r="I295" s="421" t="n">
        <f aca="false">SUM(H291:H295)</f>
        <v>12238200</v>
      </c>
    </row>
    <row r="296" customFormat="false" ht="14.25" hidden="false" customHeight="false" outlineLevel="0" collapsed="false">
      <c r="A296" s="422" t="s">
        <v>177</v>
      </c>
      <c r="B296" s="0" t="n">
        <v>257</v>
      </c>
      <c r="C296" s="418" t="n">
        <v>5068100</v>
      </c>
      <c r="D296" s="0" t="n">
        <v>67.25</v>
      </c>
      <c r="E296" s="420" t="n">
        <f aca="false">AVERAGE(D292:D296)</f>
        <v>73.576</v>
      </c>
      <c r="F296" s="0" t="n">
        <v>63</v>
      </c>
      <c r="G296" s="425" t="n">
        <v>6045000</v>
      </c>
      <c r="H296" s="415" t="n">
        <f aca="false">SUM(C296-G296)</f>
        <v>-976900</v>
      </c>
      <c r="I296" s="421" t="n">
        <f aca="false">SUM(H292:H296)</f>
        <v>9637300</v>
      </c>
    </row>
    <row r="297" customFormat="false" ht="14.25" hidden="false" customHeight="false" outlineLevel="0" collapsed="false">
      <c r="A297" s="422" t="s">
        <v>178</v>
      </c>
      <c r="B297" s="0" t="n">
        <v>261</v>
      </c>
      <c r="C297" s="418" t="n">
        <v>3125400</v>
      </c>
      <c r="D297" s="0" t="n">
        <v>42.56</v>
      </c>
      <c r="E297" s="420" t="n">
        <f aca="false">AVERAGE(D293:D297)</f>
        <v>72.538</v>
      </c>
      <c r="F297" s="0" t="n">
        <v>59</v>
      </c>
      <c r="G297" s="425" t="n">
        <v>2425000</v>
      </c>
      <c r="H297" s="415" t="n">
        <f aca="false">SUM(C297-G297)</f>
        <v>700400</v>
      </c>
      <c r="I297" s="421" t="n">
        <f aca="false">SUM(H293:H297)</f>
        <v>8548150</v>
      </c>
    </row>
    <row r="298" customFormat="false" ht="14.25" hidden="false" customHeight="false" outlineLevel="0" collapsed="false">
      <c r="A298" s="426" t="s">
        <v>179</v>
      </c>
      <c r="B298" s="0" t="n">
        <v>265</v>
      </c>
      <c r="C298" s="418" t="n">
        <v>7073500</v>
      </c>
      <c r="D298" s="0" t="n">
        <v>96.28</v>
      </c>
      <c r="E298" s="420" t="n">
        <f aca="false">AVERAGE(D294:D298)</f>
        <v>75.882</v>
      </c>
      <c r="F298" s="0" t="n">
        <v>90</v>
      </c>
      <c r="G298" s="425" t="n">
        <v>1210000</v>
      </c>
      <c r="H298" s="415" t="n">
        <f aca="false">SUM(C298-G298)</f>
        <v>5863500</v>
      </c>
      <c r="I298" s="421" t="n">
        <f aca="false">SUM(H294:H298)</f>
        <v>9695000</v>
      </c>
    </row>
    <row r="299" customFormat="false" ht="14.25" hidden="false" customHeight="false" outlineLevel="0" collapsed="false">
      <c r="A299" s="426" t="s">
        <v>180</v>
      </c>
      <c r="B299" s="0" t="n">
        <v>265</v>
      </c>
      <c r="C299" s="418" t="n">
        <v>4719275</v>
      </c>
      <c r="D299" s="0" t="n">
        <v>63.78</v>
      </c>
      <c r="E299" s="420" t="n">
        <f aca="false">AVERAGE(D295:D299)</f>
        <v>66.918</v>
      </c>
      <c r="F299" s="0" t="n">
        <v>78</v>
      </c>
      <c r="G299" s="425" t="n">
        <v>2359000</v>
      </c>
      <c r="H299" s="415" t="n">
        <f aca="false">SUM(C299-G299)</f>
        <v>2360275</v>
      </c>
      <c r="I299" s="421" t="n">
        <f aca="false">SUM(H295:H299)</f>
        <v>10620225</v>
      </c>
    </row>
    <row r="300" customFormat="false" ht="14.25" hidden="false" customHeight="false" outlineLevel="0" collapsed="false">
      <c r="A300" s="426" t="s">
        <v>181</v>
      </c>
      <c r="B300" s="0" t="n">
        <v>257</v>
      </c>
      <c r="C300" s="418" t="n">
        <v>4295500</v>
      </c>
      <c r="D300" s="0" t="n">
        <v>56.9</v>
      </c>
      <c r="E300" s="420" t="n">
        <f aca="false">AVERAGE(D296:D300)</f>
        <v>65.354</v>
      </c>
      <c r="F300" s="0" t="n">
        <v>82</v>
      </c>
      <c r="G300" s="425" t="n">
        <v>2760000</v>
      </c>
      <c r="H300" s="415" t="n">
        <f aca="false">SUM(C300-G300)</f>
        <v>1535500</v>
      </c>
      <c r="I300" s="421" t="n">
        <f aca="false">SUM(H296:H300)</f>
        <v>9482775</v>
      </c>
    </row>
    <row r="301" customFormat="false" ht="14.25" hidden="false" customHeight="false" outlineLevel="0" collapsed="false">
      <c r="A301" s="426" t="s">
        <v>1595</v>
      </c>
      <c r="B301" s="0" t="n">
        <v>251</v>
      </c>
      <c r="C301" s="418" t="n">
        <v>2489750</v>
      </c>
      <c r="D301" s="0" t="n">
        <v>33.14</v>
      </c>
      <c r="E301" s="420" t="n">
        <f aca="false">AVERAGE(D297:D301)</f>
        <v>58.532</v>
      </c>
      <c r="F301" s="0" t="n">
        <v>50</v>
      </c>
      <c r="G301" s="425" t="n">
        <v>2510000</v>
      </c>
      <c r="H301" s="415" t="n">
        <f aca="false">SUM(C301-G301)</f>
        <v>-20250</v>
      </c>
      <c r="I301" s="421" t="n">
        <f aca="false">SUM(H297:H301)</f>
        <v>10439425</v>
      </c>
    </row>
    <row r="302" customFormat="false" ht="14.25" hidden="false" customHeight="false" outlineLevel="0" collapsed="false">
      <c r="A302" s="426" t="s">
        <v>183</v>
      </c>
      <c r="B302" s="0" t="n">
        <v>250</v>
      </c>
      <c r="C302" s="418" t="n">
        <v>7080650</v>
      </c>
      <c r="D302" s="0" t="n">
        <v>92.99</v>
      </c>
      <c r="E302" s="420" t="n">
        <f aca="false">AVERAGE(D298:D302)</f>
        <v>68.618</v>
      </c>
      <c r="F302" s="0" t="n">
        <v>81</v>
      </c>
      <c r="G302" s="425" t="n">
        <v>2050000</v>
      </c>
      <c r="H302" s="415" t="n">
        <f aca="false">SUM(C302-G302)</f>
        <v>5030650</v>
      </c>
      <c r="I302" s="421" t="n">
        <f aca="false">SUM(H298:H302)</f>
        <v>14769675</v>
      </c>
    </row>
    <row r="303" customFormat="false" ht="14.25" hidden="false" customHeight="false" outlineLevel="0" collapsed="false">
      <c r="A303" s="426" t="s">
        <v>184</v>
      </c>
      <c r="B303" s="0" t="n">
        <v>252</v>
      </c>
      <c r="C303" s="418" t="n">
        <v>4378700</v>
      </c>
      <c r="D303" s="0" t="n">
        <v>57.27</v>
      </c>
      <c r="E303" s="420" t="n">
        <f aca="false">AVERAGE(D299:D303)</f>
        <v>60.816</v>
      </c>
      <c r="F303" s="0" t="n">
        <v>75</v>
      </c>
      <c r="G303" s="425" t="n">
        <v>2630000</v>
      </c>
      <c r="H303" s="415" t="n">
        <f aca="false">SUM(C303-G303)</f>
        <v>1748700</v>
      </c>
      <c r="I303" s="421" t="n">
        <f aca="false">SUM(H299:H303)</f>
        <v>10654875</v>
      </c>
    </row>
    <row r="304" customFormat="false" ht="14.25" hidden="false" customHeight="false" outlineLevel="0" collapsed="false">
      <c r="A304" s="426" t="s">
        <v>185</v>
      </c>
      <c r="B304" s="0" t="n">
        <v>257</v>
      </c>
      <c r="C304" s="418" t="n">
        <v>3843878</v>
      </c>
      <c r="D304" s="0" t="n">
        <v>49.4</v>
      </c>
      <c r="E304" s="420" t="n">
        <f aca="false">AVERAGE(D300:D304)</f>
        <v>57.94</v>
      </c>
      <c r="F304" s="0" t="n">
        <v>67</v>
      </c>
      <c r="G304" s="425" t="n">
        <v>2240000</v>
      </c>
      <c r="H304" s="415" t="n">
        <f aca="false">SUM(C304-G304)</f>
        <v>1603878</v>
      </c>
      <c r="I304" s="421" t="n">
        <f aca="false">SUM(H300:H304)</f>
        <v>9898478</v>
      </c>
    </row>
    <row r="305" customFormat="false" ht="14.25" hidden="false" customHeight="false" outlineLevel="0" collapsed="false">
      <c r="A305" s="426" t="s">
        <v>186</v>
      </c>
      <c r="B305" s="0" t="n">
        <v>258</v>
      </c>
      <c r="C305" s="418" t="n">
        <v>3386800</v>
      </c>
      <c r="D305" s="0" t="n">
        <v>43</v>
      </c>
      <c r="E305" s="420" t="n">
        <f aca="false">AVERAGE(D301:D305)</f>
        <v>55.16</v>
      </c>
      <c r="F305" s="0" t="n">
        <v>58</v>
      </c>
      <c r="G305" s="425" t="n">
        <v>2400000</v>
      </c>
      <c r="H305" s="415" t="n">
        <f aca="false">SUM(C305-G305)</f>
        <v>986800</v>
      </c>
      <c r="I305" s="421" t="n">
        <f aca="false">SUM(H301:H305)</f>
        <v>9349778</v>
      </c>
    </row>
    <row r="306" customFormat="false" ht="14.25" hidden="false" customHeight="false" outlineLevel="0" collapsed="false">
      <c r="A306" s="426" t="s">
        <v>187</v>
      </c>
      <c r="B306" s="0" t="n">
        <v>264</v>
      </c>
      <c r="C306" s="418" t="n">
        <v>5971300</v>
      </c>
      <c r="D306" s="0" t="n">
        <v>73.81</v>
      </c>
      <c r="E306" s="420" t="n">
        <f aca="false">AVERAGE(D302:D306)</f>
        <v>63.294</v>
      </c>
      <c r="F306" s="0" t="n">
        <v>77</v>
      </c>
      <c r="G306" s="425" t="n">
        <v>2540000</v>
      </c>
      <c r="H306" s="415" t="n">
        <f aca="false">SUM(C306-G306)</f>
        <v>3431300</v>
      </c>
      <c r="I306" s="421" t="n">
        <f aca="false">SUM(H302:H306)</f>
        <v>12801328</v>
      </c>
    </row>
    <row r="307" customFormat="false" ht="14.25" hidden="false" customHeight="false" outlineLevel="0" collapsed="false">
      <c r="A307" s="426" t="s">
        <v>188</v>
      </c>
      <c r="B307" s="0" t="n">
        <v>261</v>
      </c>
      <c r="C307" s="418" t="n">
        <v>5703300</v>
      </c>
      <c r="D307" s="0" t="n">
        <v>71.61</v>
      </c>
      <c r="E307" s="420" t="n">
        <f aca="false">AVERAGE(D303:D307)</f>
        <v>59.018</v>
      </c>
      <c r="F307" s="0" t="n">
        <v>89</v>
      </c>
      <c r="G307" s="425" t="n">
        <v>1480000</v>
      </c>
      <c r="H307" s="415" t="n">
        <f aca="false">SUM(C307-G307)</f>
        <v>4223300</v>
      </c>
      <c r="I307" s="421" t="n">
        <f aca="false">SUM(H303:H307)</f>
        <v>11993978</v>
      </c>
      <c r="J307" s="0" t="s">
        <v>214</v>
      </c>
    </row>
    <row r="308" customFormat="false" ht="14.25" hidden="false" customHeight="false" outlineLevel="0" collapsed="false">
      <c r="A308" s="426" t="s">
        <v>189</v>
      </c>
      <c r="B308" s="0" t="n">
        <v>262</v>
      </c>
      <c r="C308" s="418" t="n">
        <v>4924634</v>
      </c>
      <c r="D308" s="0" t="n">
        <v>61.13</v>
      </c>
      <c r="E308" s="420" t="n">
        <f aca="false">AVERAGE(D304:D308)</f>
        <v>59.79</v>
      </c>
      <c r="F308" s="0" t="n">
        <v>81</v>
      </c>
      <c r="G308" s="425" t="n">
        <v>2790000</v>
      </c>
      <c r="H308" s="415" t="n">
        <f aca="false">SUM(C308-G308)</f>
        <v>2134634</v>
      </c>
      <c r="I308" s="421" t="n">
        <f aca="false">SUM(H304:H308)</f>
        <v>12379912</v>
      </c>
    </row>
    <row r="309" customFormat="false" ht="14.25" hidden="false" customHeight="false" outlineLevel="0" collapsed="false">
      <c r="A309" s="426" t="s">
        <v>190</v>
      </c>
      <c r="B309" s="0" t="n">
        <v>261</v>
      </c>
      <c r="C309" s="418" t="n">
        <v>3198150</v>
      </c>
      <c r="D309" s="0" t="n">
        <v>39.55</v>
      </c>
      <c r="E309" s="420" t="n">
        <f aca="false">AVERAGE(D305:D309)</f>
        <v>57.82</v>
      </c>
      <c r="F309" s="0" t="n">
        <v>57</v>
      </c>
      <c r="G309" s="425" t="n">
        <v>2080000</v>
      </c>
      <c r="H309" s="415" t="n">
        <f aca="false">SUM(C309-G309)</f>
        <v>1118150</v>
      </c>
      <c r="I309" s="421" t="n">
        <f aca="false">SUM(H305:H309)</f>
        <v>11894184</v>
      </c>
    </row>
    <row r="310" customFormat="false" ht="14.25" hidden="false" customHeight="false" outlineLevel="0" collapsed="false">
      <c r="A310" s="426" t="s">
        <v>191</v>
      </c>
      <c r="B310" s="0" t="n">
        <v>267</v>
      </c>
      <c r="C310" s="418" t="n">
        <v>2175900</v>
      </c>
      <c r="D310" s="0" t="n">
        <v>26.72</v>
      </c>
      <c r="E310" s="420" t="n">
        <f aca="false">AVERAGE(D306:D310)</f>
        <v>54.564</v>
      </c>
      <c r="F310" s="0" t="n">
        <v>55</v>
      </c>
      <c r="G310" s="425" t="n">
        <v>940000</v>
      </c>
      <c r="H310" s="415" t="n">
        <f aca="false">SUM(C310-G310)</f>
        <v>1235900</v>
      </c>
      <c r="I310" s="421" t="n">
        <f aca="false">SUM(H306:H310)</f>
        <v>12143284</v>
      </c>
    </row>
    <row r="311" customFormat="false" ht="14.25" hidden="false" customHeight="false" outlineLevel="0" collapsed="false">
      <c r="A311" s="426" t="s">
        <v>192</v>
      </c>
      <c r="B311" s="0" t="n">
        <v>273</v>
      </c>
      <c r="C311" s="418" t="n">
        <v>7248125</v>
      </c>
      <c r="D311" s="0" t="n">
        <v>85.98</v>
      </c>
      <c r="E311" s="420" t="n">
        <f aca="false">AVERAGE(D307:D311)</f>
        <v>56.998</v>
      </c>
      <c r="F311" s="0" t="n">
        <v>103</v>
      </c>
      <c r="G311" s="425" t="n">
        <v>2850000</v>
      </c>
      <c r="H311" s="415" t="n">
        <f aca="false">SUM(C311-G311)</f>
        <v>4398125</v>
      </c>
      <c r="I311" s="421" t="n">
        <f aca="false">SUM(H307:H311)</f>
        <v>13110109</v>
      </c>
    </row>
    <row r="312" customFormat="false" ht="14.25" hidden="false" customHeight="false" outlineLevel="0" collapsed="false">
      <c r="A312" s="426" t="s">
        <v>193</v>
      </c>
      <c r="B312" s="0" t="n">
        <v>272</v>
      </c>
      <c r="C312" s="418" t="n">
        <v>4077800</v>
      </c>
      <c r="D312" s="0" t="n">
        <v>47.77</v>
      </c>
      <c r="E312" s="420" t="n">
        <f aca="false">AVERAGE(D308:D312)</f>
        <v>52.23</v>
      </c>
      <c r="F312" s="0" t="n">
        <v>66</v>
      </c>
      <c r="G312" s="425" t="n">
        <v>2520000</v>
      </c>
      <c r="H312" s="415" t="n">
        <f aca="false">SUM(C312-G312)</f>
        <v>1557800</v>
      </c>
      <c r="I312" s="421" t="n">
        <f aca="false">SUM(H308:H312)</f>
        <v>10444609</v>
      </c>
    </row>
    <row r="313" customFormat="false" ht="14.25" hidden="false" customHeight="false" outlineLevel="0" collapsed="false">
      <c r="A313" s="426" t="s">
        <v>194</v>
      </c>
      <c r="B313" s="0" t="n">
        <v>274</v>
      </c>
      <c r="C313" s="418" t="n">
        <v>4938128</v>
      </c>
      <c r="D313" s="0" t="n">
        <v>56.89</v>
      </c>
      <c r="E313" s="420" t="n">
        <f aca="false">AVERAGE(D309:D313)</f>
        <v>51.382</v>
      </c>
      <c r="F313" s="0" t="n">
        <v>74</v>
      </c>
      <c r="G313" s="425" t="n">
        <v>3580000</v>
      </c>
      <c r="H313" s="415" t="n">
        <f aca="false">SUM(C313-G313)</f>
        <v>1358128</v>
      </c>
      <c r="I313" s="421" t="n">
        <f aca="false">SUM(H309:H313)</f>
        <v>9668103</v>
      </c>
    </row>
    <row r="314" customFormat="false" ht="14.25" hidden="false" customHeight="false" outlineLevel="0" collapsed="false">
      <c r="A314" s="426" t="s">
        <v>195</v>
      </c>
      <c r="B314" s="0" t="n">
        <v>269</v>
      </c>
      <c r="C314" s="418" t="n">
        <v>1915900</v>
      </c>
      <c r="D314" s="0" t="n">
        <v>22.64</v>
      </c>
      <c r="E314" s="420" t="n">
        <f aca="false">AVERAGE(D310:D314)</f>
        <v>48</v>
      </c>
      <c r="F314" s="0" t="n">
        <v>48</v>
      </c>
      <c r="G314" s="425" t="n">
        <v>1050000</v>
      </c>
      <c r="H314" s="415" t="n">
        <f aca="false">SUM(C314-G314)</f>
        <v>865900</v>
      </c>
      <c r="I314" s="421" t="n">
        <f aca="false">SUM(H310:H314)</f>
        <v>9415853</v>
      </c>
    </row>
    <row r="315" customFormat="false" ht="14.25" hidden="false" customHeight="false" outlineLevel="0" collapsed="false">
      <c r="A315" s="426" t="s">
        <v>196</v>
      </c>
      <c r="B315" s="0" t="n">
        <v>257</v>
      </c>
      <c r="C315" s="418" t="n">
        <v>7881091</v>
      </c>
      <c r="D315" s="0" t="n">
        <v>95.54</v>
      </c>
      <c r="E315" s="420" t="n">
        <f aca="false">AVERAGE(D311:D315)</f>
        <v>61.764</v>
      </c>
      <c r="F315" s="0" t="n">
        <v>101</v>
      </c>
      <c r="G315" s="425" t="n">
        <v>1870000</v>
      </c>
      <c r="H315" s="415" t="n">
        <f aca="false">SUM(C315-G315)</f>
        <v>6011091</v>
      </c>
      <c r="I315" s="421" t="n">
        <f aca="false">SUM(H311:H315)</f>
        <v>14191044</v>
      </c>
    </row>
    <row r="316" customFormat="false" ht="14.25" hidden="false" customHeight="false" outlineLevel="0" collapsed="false">
      <c r="A316" s="426" t="s">
        <v>197</v>
      </c>
      <c r="B316" s="0" t="n">
        <v>254</v>
      </c>
      <c r="C316" s="418" t="n">
        <v>5197090</v>
      </c>
      <c r="D316" s="0" t="n">
        <v>61.33</v>
      </c>
      <c r="E316" s="420" t="n">
        <f aca="false">AVERAGE(D312:D316)</f>
        <v>56.834</v>
      </c>
      <c r="F316" s="0" t="n">
        <v>71</v>
      </c>
      <c r="G316" s="425" t="n">
        <v>3360000</v>
      </c>
      <c r="H316" s="415" t="n">
        <f aca="false">SUM(C316-G316)</f>
        <v>1837090</v>
      </c>
      <c r="I316" s="421" t="n">
        <f aca="false">SUM(H312:H316)</f>
        <v>11630009</v>
      </c>
    </row>
    <row r="317" customFormat="false" ht="14.25" hidden="false" customHeight="false" outlineLevel="0" collapsed="false">
      <c r="A317" s="426" t="s">
        <v>198</v>
      </c>
      <c r="B317" s="0" t="n">
        <v>260</v>
      </c>
      <c r="C317" s="418" t="n">
        <v>5157018</v>
      </c>
      <c r="D317" s="0" t="n">
        <v>60.55</v>
      </c>
      <c r="E317" s="420" t="n">
        <f aca="false">AVERAGE(D313:D317)</f>
        <v>59.39</v>
      </c>
      <c r="F317" s="0" t="n">
        <v>83</v>
      </c>
      <c r="G317" s="425" t="n">
        <v>760000</v>
      </c>
      <c r="H317" s="415" t="n">
        <f aca="false">SUM(C317-G317)</f>
        <v>4397018</v>
      </c>
      <c r="I317" s="421" t="n">
        <f aca="false">SUM(H313:H317)</f>
        <v>14469227</v>
      </c>
    </row>
    <row r="318" customFormat="false" ht="14.25" hidden="false" customHeight="false" outlineLevel="0" collapsed="false">
      <c r="A318" s="426" t="s">
        <v>199</v>
      </c>
      <c r="B318" s="0" t="n">
        <v>258</v>
      </c>
      <c r="C318" s="418" t="n">
        <v>2978690</v>
      </c>
      <c r="D318" s="0" t="n">
        <v>34.75</v>
      </c>
      <c r="E318" s="420" t="n">
        <f aca="false">AVERAGE(D314:D318)</f>
        <v>54.962</v>
      </c>
      <c r="F318" s="0" t="n">
        <v>51</v>
      </c>
      <c r="G318" s="425" t="n">
        <v>2830000</v>
      </c>
      <c r="H318" s="415" t="n">
        <f aca="false">SUM(C318-G318)</f>
        <v>148690</v>
      </c>
      <c r="I318" s="421" t="n">
        <f aca="false">SUM(H314:H318)</f>
        <v>13259789</v>
      </c>
    </row>
    <row r="319" customFormat="false" ht="14.25" hidden="false" customHeight="false" outlineLevel="0" collapsed="false">
      <c r="A319" s="426" t="s">
        <v>200</v>
      </c>
      <c r="B319" s="0" t="n">
        <v>262</v>
      </c>
      <c r="C319" s="418" t="n">
        <v>4188269</v>
      </c>
      <c r="D319" s="0" t="n">
        <v>48.54</v>
      </c>
      <c r="E319" s="420" t="n">
        <f aca="false">AVERAGE(D315:D319)</f>
        <v>60.142</v>
      </c>
      <c r="F319" s="0" t="n">
        <v>62</v>
      </c>
      <c r="G319" s="425" t="n">
        <v>2170000</v>
      </c>
      <c r="H319" s="415" t="n">
        <f aca="false">SUM(C319-G319)</f>
        <v>2018269</v>
      </c>
      <c r="I319" s="421" t="n">
        <f aca="false">SUM(H315:H319)</f>
        <v>14412158</v>
      </c>
    </row>
    <row r="320" customFormat="false" ht="14.25" hidden="false" customHeight="false" outlineLevel="0" collapsed="false">
      <c r="A320" s="426" t="s">
        <v>201</v>
      </c>
      <c r="B320" s="0" t="n">
        <v>263</v>
      </c>
      <c r="C320" s="418" t="n">
        <v>6498875</v>
      </c>
      <c r="D320" s="0" t="n">
        <v>74.01</v>
      </c>
      <c r="E320" s="420" t="n">
        <f aca="false">AVERAGE(D316:D320)</f>
        <v>55.836</v>
      </c>
      <c r="F320" s="0" t="n">
        <v>87</v>
      </c>
      <c r="G320" s="425" t="n">
        <v>2550000</v>
      </c>
      <c r="H320" s="415" t="n">
        <f aca="false">SUM(C320-G320)</f>
        <v>3948875</v>
      </c>
      <c r="I320" s="421" t="n">
        <f aca="false">SUM(H316:H320)</f>
        <v>12349942</v>
      </c>
      <c r="J320" s="404" t="s">
        <v>214</v>
      </c>
      <c r="K320" s="404" t="s">
        <v>214</v>
      </c>
      <c r="L320" s="404" t="s">
        <v>214</v>
      </c>
    </row>
    <row r="321" customFormat="false" ht="14.25" hidden="false" customHeight="false" outlineLevel="0" collapsed="false">
      <c r="A321" s="426" t="s">
        <v>202</v>
      </c>
      <c r="B321" s="0" t="n">
        <v>260</v>
      </c>
      <c r="C321" s="418" t="n">
        <v>3089300</v>
      </c>
      <c r="D321" s="0" t="n">
        <v>34.85</v>
      </c>
      <c r="E321" s="420" t="n">
        <f aca="false">AVERAGE(D317:D321)</f>
        <v>50.54</v>
      </c>
      <c r="F321" s="0" t="n">
        <v>56</v>
      </c>
      <c r="G321" s="425" t="n">
        <v>1580000</v>
      </c>
      <c r="H321" s="415" t="n">
        <f aca="false">SUM(C321-G321)</f>
        <v>1509300</v>
      </c>
      <c r="I321" s="421" t="n">
        <f aca="false">SUM(H317:H321)</f>
        <v>12022152</v>
      </c>
      <c r="J321" s="0" t="s">
        <v>214</v>
      </c>
      <c r="K321" s="0" t="s">
        <v>214</v>
      </c>
      <c r="L321" s="0" t="s">
        <v>214</v>
      </c>
    </row>
    <row r="322" customFormat="false" ht="14.25" hidden="false" customHeight="false" outlineLevel="0" collapsed="false">
      <c r="A322" s="426" t="s">
        <v>203</v>
      </c>
      <c r="B322" s="0" t="n">
        <v>264</v>
      </c>
      <c r="C322" s="418" t="n">
        <v>3326200</v>
      </c>
      <c r="D322" s="0" t="n">
        <v>38.17</v>
      </c>
      <c r="E322" s="420" t="n">
        <f aca="false">AVERAGE(D318:D322)</f>
        <v>46.064</v>
      </c>
      <c r="F322" s="0" t="n">
        <v>59</v>
      </c>
      <c r="G322" s="425" t="n">
        <v>1760000</v>
      </c>
      <c r="H322" s="415" t="n">
        <f aca="false">SUM(C322-G322)</f>
        <v>1566200</v>
      </c>
      <c r="I322" s="421" t="n">
        <f aca="false">SUM(H318:H322)</f>
        <v>9191334</v>
      </c>
      <c r="K322" s="0" t="s">
        <v>214</v>
      </c>
      <c r="L322" s="0" t="s">
        <v>214</v>
      </c>
    </row>
    <row r="323" customFormat="false" ht="14.25" hidden="false" customHeight="false" outlineLevel="0" collapsed="false">
      <c r="A323" s="426" t="s">
        <v>204</v>
      </c>
      <c r="B323" s="0" t="n">
        <v>259</v>
      </c>
      <c r="C323" s="418" t="n">
        <v>4853000</v>
      </c>
      <c r="D323" s="0" t="n">
        <v>55.15</v>
      </c>
      <c r="E323" s="420" t="n">
        <f aca="false">AVERAGE(D319:D323)</f>
        <v>50.144</v>
      </c>
      <c r="F323" s="0" t="n">
        <v>71</v>
      </c>
      <c r="G323" s="425" t="n">
        <v>2150000</v>
      </c>
      <c r="H323" s="415" t="n">
        <f aca="false">SUM(C323-G323)</f>
        <v>2703000</v>
      </c>
      <c r="I323" s="421" t="n">
        <f aca="false">SUM(H319:H323)</f>
        <v>11745644</v>
      </c>
      <c r="K323" s="0" t="s">
        <v>214</v>
      </c>
      <c r="L323" s="0" t="s">
        <v>214</v>
      </c>
    </row>
    <row r="324" customFormat="false" ht="14.25" hidden="false" customHeight="false" outlineLevel="0" collapsed="false">
      <c r="K324" s="0" t="s">
        <v>214</v>
      </c>
    </row>
  </sheetData>
  <autoFilter ref="A1:L310"/>
  <conditionalFormatting sqref="A298:A323">
    <cfRule type="timePeriod" priority="2" timePeriod="yesterday" dxfId="278"/>
  </conditionalFormatting>
  <conditionalFormatting sqref="I1:I1048576">
    <cfRule type="top10" priority="3" aboveAverage="0" equalAverage="0" bottom="0" percent="0" rank="1" text="" dxfId="279"/>
  </conditionalFormatting>
  <conditionalFormatting sqref="G182:G323">
    <cfRule type="colorScale" priority="4">
      <colorScale>
        <cfvo type="num" val="0"/>
        <cfvo type="num" val="0"/>
        <color rgb="FFFF7128"/>
        <color rgb="FF92D050"/>
      </colorScale>
    </cfRule>
  </conditionalFormatting>
  <conditionalFormatting sqref="C155 G230:G323">
    <cfRule type="top10" priority="5" aboveAverage="0" equalAverage="0" bottom="0" percent="0" rank="1" text="" dxfId="280"/>
  </conditionalFormatting>
  <conditionalFormatting sqref="C1:C1048576 H125">
    <cfRule type="colorScale" priority="6">
      <colorScale>
        <cfvo type="min" val="0"/>
        <cfvo type="max" val="0"/>
        <color rgb="FFFF7128"/>
        <color rgb="FFFFEF9C"/>
      </colorScale>
    </cfRule>
    <cfRule type="top10" priority="7" aboveAverage="0" equalAverage="0" bottom="0" percent="0" rank="1" text="" dxfId="281"/>
  </conditionalFormatting>
  <conditionalFormatting sqref="C2:C59 D1:D1048576 E1:E1048576 G63 E29:E115 I125">
    <cfRule type="colorScale" priority="8">
      <colorScale>
        <cfvo type="min" val="0"/>
        <cfvo type="max" val="0"/>
        <color rgb="FFFF7128"/>
        <color rgb="FFFFEF9C"/>
      </colorScale>
    </cfRule>
  </conditionalFormatting>
  <conditionalFormatting sqref="B1:B1048576 F1:F1048576 F100:F115">
    <cfRule type="colorScale" priority="9">
      <colorScale>
        <cfvo type="min" val="0"/>
        <cfvo type="max" val="0"/>
        <color rgb="FFFF0000"/>
        <color rgb="FF70AD47"/>
      </colorScale>
    </cfRule>
  </conditionalFormatting>
  <conditionalFormatting sqref="E29:E59 D8:D59">
    <cfRule type="top10" priority="10" aboveAverage="0" equalAverage="0" bottom="1" percent="0" rank="1" text="" dxfId="282"/>
    <cfRule type="top10" priority="11" aboveAverage="0" equalAverage="0" bottom="0" percent="0" rank="1" text="" dxfId="283"/>
  </conditionalFormatting>
  <conditionalFormatting sqref="C54">
    <cfRule type="top10" priority="12" aboveAverage="0" equalAverage="0" bottom="0" percent="0" rank="1" text="" dxfId="284"/>
  </conditionalFormatting>
  <conditionalFormatting sqref="C1:C55">
    <cfRule type="top10" priority="13" aboveAverage="0" equalAverage="0" bottom="1" percent="0" rank="1" text="" dxfId="285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1" min="1" style="0" width="10.56"/>
    <col collapsed="false" customWidth="true" hidden="false" outlineLevel="0" max="2" min="2" style="0" width="11.77"/>
    <col collapsed="false" customWidth="true" hidden="false" outlineLevel="0" max="3" min="3" style="0" width="13.34"/>
    <col collapsed="false" customWidth="true" hidden="false" outlineLevel="0" max="4" min="4" style="0" width="11.56"/>
    <col collapsed="false" customWidth="true" hidden="false" outlineLevel="0" max="5" min="5" style="0" width="11.33"/>
    <col collapsed="false" customWidth="true" hidden="false" outlineLevel="0" max="6" min="6" style="0" width="13.56"/>
    <col collapsed="false" customWidth="true" hidden="false" outlineLevel="0" max="7" min="7" style="0" width="13.34"/>
    <col collapsed="false" customWidth="true" hidden="false" outlineLevel="0" max="8" min="8" style="0" width="14.33"/>
    <col collapsed="false" customWidth="true" hidden="false" outlineLevel="0" max="9" min="9" style="0" width="10.78"/>
    <col collapsed="false" customWidth="true" hidden="false" outlineLevel="0" max="10" min="10" style="0" width="10.56"/>
  </cols>
  <sheetData>
    <row r="1" customFormat="false" ht="8.25" hidden="false" customHeight="true" outlineLevel="0" collapsed="false">
      <c r="A1" s="406"/>
      <c r="B1" s="406"/>
      <c r="C1" s="406"/>
      <c r="D1" s="406"/>
      <c r="E1" s="406"/>
      <c r="F1" s="406"/>
      <c r="G1" s="406"/>
      <c r="H1" s="406"/>
      <c r="I1" s="406"/>
    </row>
    <row r="2" customFormat="false" ht="14.25" hidden="false" customHeight="false" outlineLevel="0" collapsed="false">
      <c r="A2" s="427" t="s">
        <v>1596</v>
      </c>
      <c r="B2" s="427"/>
      <c r="C2" s="428"/>
      <c r="D2" s="2"/>
      <c r="E2" s="4"/>
    </row>
    <row r="3" customFormat="false" ht="14.25" hidden="false" customHeight="false" outlineLevel="0" collapsed="false">
      <c r="A3" s="429" t="s">
        <v>1597</v>
      </c>
      <c r="B3" s="430" t="s">
        <v>1598</v>
      </c>
      <c r="C3" s="431" t="n">
        <v>80000</v>
      </c>
      <c r="D3" s="432" t="s">
        <v>1599</v>
      </c>
      <c r="E3" s="433" t="s">
        <v>1600</v>
      </c>
      <c r="F3" s="434" t="s">
        <v>669</v>
      </c>
      <c r="G3" s="435" t="s">
        <v>1601</v>
      </c>
    </row>
    <row r="4" customFormat="false" ht="14.25" hidden="false" customHeight="false" outlineLevel="0" collapsed="false">
      <c r="A4" s="436" t="n">
        <v>11</v>
      </c>
      <c r="B4" s="430" t="n">
        <v>55</v>
      </c>
      <c r="C4" s="437" t="n">
        <v>3</v>
      </c>
      <c r="D4" s="438" t="n">
        <f aca="false">SUM($C$3*C4)/B4</f>
        <v>4363.63636363636</v>
      </c>
      <c r="E4" s="438" t="n">
        <f aca="false">SUM(D4)*5</f>
        <v>21818.1818181818</v>
      </c>
      <c r="F4" s="439" t="n">
        <f aca="false">B4*D4</f>
        <v>240000</v>
      </c>
      <c r="G4" s="440" t="n">
        <f aca="false">SUM(F4/$C$3)</f>
        <v>3</v>
      </c>
    </row>
    <row r="5" customFormat="false" ht="14.25" hidden="false" customHeight="false" outlineLevel="0" collapsed="false">
      <c r="A5" s="441" t="s">
        <v>1602</v>
      </c>
      <c r="B5" s="433" t="n">
        <v>72</v>
      </c>
      <c r="C5" s="437" t="n">
        <v>2.16</v>
      </c>
      <c r="D5" s="438" t="n">
        <f aca="false">SUM($C$3*C5)/B5</f>
        <v>2400</v>
      </c>
      <c r="E5" s="438" t="n">
        <f aca="false">SUM(D5)*5</f>
        <v>12000</v>
      </c>
      <c r="F5" s="439" t="n">
        <f aca="false">B5*D5</f>
        <v>172800</v>
      </c>
      <c r="G5" s="440" t="n">
        <f aca="false">SUM(F5/$C$3)</f>
        <v>2.16</v>
      </c>
    </row>
    <row r="6" customFormat="false" ht="14.25" hidden="false" customHeight="false" outlineLevel="0" collapsed="false">
      <c r="A6" s="441" t="n">
        <v>22</v>
      </c>
      <c r="B6" s="433" t="n">
        <v>110</v>
      </c>
      <c r="C6" s="429" t="n">
        <v>2.64</v>
      </c>
      <c r="D6" s="438" t="n">
        <f aca="false">SUM($C$3*C6)/B6</f>
        <v>1920</v>
      </c>
      <c r="E6" s="438" t="n">
        <f aca="false">SUM(D6)*5</f>
        <v>9600</v>
      </c>
      <c r="F6" s="439" t="n">
        <f aca="false">B6*D6</f>
        <v>211200</v>
      </c>
      <c r="G6" s="440" t="n">
        <f aca="false">SUM(F6/$C$3)</f>
        <v>2.64</v>
      </c>
    </row>
    <row r="7" customFormat="false" ht="14.25" hidden="false" customHeight="false" outlineLevel="0" collapsed="false">
      <c r="A7" s="441" t="n">
        <v>32</v>
      </c>
      <c r="B7" s="433" t="n">
        <v>160</v>
      </c>
      <c r="C7" s="429" t="n">
        <v>2.88</v>
      </c>
      <c r="D7" s="438" t="n">
        <f aca="false">SUM($C$3*C7)/B7</f>
        <v>1440</v>
      </c>
      <c r="E7" s="438" t="n">
        <f aca="false">SUM(D7)*5</f>
        <v>7200</v>
      </c>
      <c r="F7" s="439" t="n">
        <f aca="false">B7*D7</f>
        <v>230400</v>
      </c>
      <c r="G7" s="440" t="n">
        <f aca="false">SUM(F7/$C$3)</f>
        <v>2.88</v>
      </c>
    </row>
    <row r="8" customFormat="false" ht="14.25" hidden="false" customHeight="false" outlineLevel="0" collapsed="false">
      <c r="A8" s="442" t="n">
        <v>40</v>
      </c>
      <c r="B8" s="433" t="n">
        <v>210</v>
      </c>
      <c r="C8" s="429" t="n">
        <v>3.12</v>
      </c>
      <c r="D8" s="438" t="n">
        <f aca="false">SUM($C$3*C8)/B8</f>
        <v>1188.57142857143</v>
      </c>
      <c r="E8" s="438" t="n">
        <f aca="false">SUM(D8)*5</f>
        <v>5942.85714285714</v>
      </c>
      <c r="F8" s="439" t="n">
        <f aca="false">B8*D8</f>
        <v>249600</v>
      </c>
      <c r="G8" s="440" t="n">
        <f aca="false">SUM(F8/$C$3)</f>
        <v>3.12</v>
      </c>
    </row>
    <row r="9" customFormat="false" ht="14.25" hidden="false" customHeight="false" outlineLevel="0" collapsed="false">
      <c r="A9" s="442" t="n">
        <v>48</v>
      </c>
      <c r="B9" s="433" t="n">
        <v>240</v>
      </c>
      <c r="C9" s="429" t="n">
        <v>3.375</v>
      </c>
      <c r="D9" s="438" t="n">
        <f aca="false">SUM($C$3*C9)/B9</f>
        <v>1125</v>
      </c>
      <c r="E9" s="438" t="n">
        <f aca="false">SUM(D9)*5</f>
        <v>5625</v>
      </c>
      <c r="F9" s="439" t="n">
        <f aca="false">B9*D9</f>
        <v>270000</v>
      </c>
      <c r="G9" s="440" t="n">
        <f aca="false">SUM(F9/$C$3)</f>
        <v>3.375</v>
      </c>
    </row>
    <row r="10" customFormat="false" ht="14.25" hidden="false" customHeight="false" outlineLevel="0" collapsed="false">
      <c r="A10" s="443"/>
      <c r="B10" s="444"/>
      <c r="C10" s="89"/>
      <c r="D10" s="445"/>
      <c r="E10" s="445"/>
      <c r="F10" s="446"/>
    </row>
    <row r="11" customFormat="false" ht="8.25" hidden="false" customHeight="true" outlineLevel="0" collapsed="false">
      <c r="A11" s="447"/>
      <c r="B11" s="448"/>
      <c r="C11" s="449"/>
      <c r="D11" s="450"/>
      <c r="E11" s="450"/>
      <c r="F11" s="451"/>
      <c r="G11" s="406"/>
      <c r="H11" s="406"/>
      <c r="I11" s="406"/>
    </row>
    <row r="12" s="454" customFormat="true" ht="8.25" hidden="false" customHeight="true" outlineLevel="0" collapsed="false">
      <c r="A12" s="452"/>
      <c r="B12" s="453"/>
      <c r="C12" s="102"/>
      <c r="D12" s="445"/>
      <c r="E12" s="445"/>
      <c r="F12" s="446"/>
    </row>
    <row r="13" customFormat="false" ht="14.25" hidden="false" customHeight="false" outlineLevel="0" collapsed="false">
      <c r="A13" s="455" t="n">
        <f aca="false">$C$3</f>
        <v>80000</v>
      </c>
      <c r="F13" s="455" t="n">
        <f aca="false">$C$3</f>
        <v>80000</v>
      </c>
    </row>
    <row r="14" customFormat="false" ht="14.25" hidden="false" customHeight="false" outlineLevel="0" collapsed="false">
      <c r="A14" s="456" t="s">
        <v>1603</v>
      </c>
      <c r="B14" s="457" t="s">
        <v>1604</v>
      </c>
      <c r="C14" s="434" t="s">
        <v>669</v>
      </c>
      <c r="D14" s="457" t="s">
        <v>1605</v>
      </c>
      <c r="E14" s="435" t="s">
        <v>1601</v>
      </c>
      <c r="F14" s="458" t="s">
        <v>1606</v>
      </c>
      <c r="G14" s="457" t="s">
        <v>1604</v>
      </c>
      <c r="H14" s="434" t="s">
        <v>669</v>
      </c>
      <c r="I14" s="457" t="s">
        <v>1605</v>
      </c>
      <c r="K14" s="0" t="s">
        <v>214</v>
      </c>
      <c r="L14" s="0" t="s">
        <v>214</v>
      </c>
      <c r="M14" s="0" t="s">
        <v>214</v>
      </c>
    </row>
    <row r="15" customFormat="false" ht="15.75" hidden="false" customHeight="true" outlineLevel="0" collapsed="false">
      <c r="A15" s="459" t="s">
        <v>1607</v>
      </c>
      <c r="B15" s="460" t="n">
        <f aca="false">F4/6</f>
        <v>40000</v>
      </c>
      <c r="C15" s="439" t="n">
        <f aca="false">B15*6</f>
        <v>240000</v>
      </c>
      <c r="D15" s="461" t="n">
        <f aca="false">B15/10</f>
        <v>4000</v>
      </c>
      <c r="E15" s="462" t="n">
        <f aca="false">SUM(C15/$C$3)</f>
        <v>3</v>
      </c>
      <c r="F15" s="463" t="s">
        <v>1608</v>
      </c>
      <c r="G15" s="464" t="n">
        <f aca="false">F5/4</f>
        <v>43200</v>
      </c>
      <c r="H15" s="439" t="n">
        <f aca="false">G15*4</f>
        <v>172800</v>
      </c>
      <c r="I15" s="461" t="n">
        <f aca="false">G15/20</f>
        <v>2160</v>
      </c>
      <c r="K15" s="0" t="s">
        <v>214</v>
      </c>
      <c r="L15" s="0" t="s">
        <v>214</v>
      </c>
      <c r="M15" s="0" t="s">
        <v>214</v>
      </c>
      <c r="N15" s="0" t="s">
        <v>214</v>
      </c>
    </row>
    <row r="16" customFormat="false" ht="15.75" hidden="false" customHeight="true" outlineLevel="0" collapsed="false">
      <c r="A16" s="459" t="s">
        <v>1609</v>
      </c>
      <c r="B16" s="460" t="n">
        <f aca="false">F5/7</f>
        <v>24685.7142857143</v>
      </c>
      <c r="C16" s="439" t="n">
        <f aca="false">B16*7</f>
        <v>172800</v>
      </c>
      <c r="D16" s="461" t="n">
        <f aca="false">B16/10</f>
        <v>2468.57142857143</v>
      </c>
      <c r="E16" s="462" t="n">
        <f aca="false">SUM(C16/$C$3)</f>
        <v>2.16</v>
      </c>
      <c r="F16" s="465" t="s">
        <v>1610</v>
      </c>
      <c r="G16" s="464" t="n">
        <f aca="false">F6/6</f>
        <v>35200</v>
      </c>
      <c r="H16" s="439" t="n">
        <f aca="false">G16*6</f>
        <v>211200</v>
      </c>
      <c r="I16" s="461" t="n">
        <f aca="false">G16/20</f>
        <v>1760</v>
      </c>
      <c r="K16" s="0" t="s">
        <v>214</v>
      </c>
      <c r="L16" s="0" t="s">
        <v>214</v>
      </c>
      <c r="M16" s="0" t="s">
        <v>214</v>
      </c>
    </row>
    <row r="17" customFormat="false" ht="15.75" hidden="false" customHeight="true" outlineLevel="0" collapsed="false">
      <c r="A17" s="459" t="s">
        <v>1611</v>
      </c>
      <c r="B17" s="460" t="n">
        <f aca="false">F6/11</f>
        <v>19200</v>
      </c>
      <c r="C17" s="439" t="n">
        <f aca="false">B17*11</f>
        <v>211200</v>
      </c>
      <c r="D17" s="461" t="n">
        <f aca="false">B17/10</f>
        <v>1920</v>
      </c>
      <c r="E17" s="462" t="n">
        <f aca="false">SUM(C17/$C$3)</f>
        <v>2.64</v>
      </c>
      <c r="F17" s="465" t="s">
        <v>1612</v>
      </c>
      <c r="G17" s="464" t="n">
        <f aca="false">F7/8</f>
        <v>28800</v>
      </c>
      <c r="H17" s="439" t="n">
        <f aca="false">G17*8</f>
        <v>230400</v>
      </c>
      <c r="I17" s="461" t="n">
        <f aca="false">G17/20</f>
        <v>1440</v>
      </c>
      <c r="K17" s="0" t="s">
        <v>214</v>
      </c>
      <c r="L17" s="0" t="s">
        <v>214</v>
      </c>
      <c r="M17" s="0" t="s">
        <v>214</v>
      </c>
    </row>
    <row r="18" customFormat="false" ht="15.75" hidden="false" customHeight="true" outlineLevel="0" collapsed="false">
      <c r="A18" s="459" t="s">
        <v>1613</v>
      </c>
      <c r="B18" s="460" t="n">
        <f aca="false">F7/16</f>
        <v>14400</v>
      </c>
      <c r="C18" s="439" t="n">
        <f aca="false">B18*16</f>
        <v>230400</v>
      </c>
      <c r="D18" s="461" t="n">
        <f aca="false">B18/10</f>
        <v>1440</v>
      </c>
      <c r="E18" s="462" t="n">
        <f aca="false">SUM(C18/$C$3)</f>
        <v>2.88</v>
      </c>
      <c r="F18" s="465" t="s">
        <v>1614</v>
      </c>
      <c r="G18" s="464" t="n">
        <f aca="false">F8/10</f>
        <v>24960</v>
      </c>
      <c r="H18" s="439" t="n">
        <f aca="false">G18*10</f>
        <v>249600</v>
      </c>
      <c r="I18" s="461" t="n">
        <f aca="false">G18/20</f>
        <v>1248</v>
      </c>
      <c r="J18" s="0" t="s">
        <v>214</v>
      </c>
      <c r="K18" s="0" t="s">
        <v>214</v>
      </c>
      <c r="L18" s="0" t="s">
        <v>214</v>
      </c>
      <c r="M18" s="0" t="s">
        <v>214</v>
      </c>
    </row>
    <row r="19" customFormat="false" ht="15.75" hidden="false" customHeight="true" outlineLevel="0" collapsed="false">
      <c r="A19" s="459" t="s">
        <v>1615</v>
      </c>
      <c r="B19" s="460" t="n">
        <f aca="false">F8/20</f>
        <v>12480</v>
      </c>
      <c r="C19" s="439" t="n">
        <f aca="false">B19*20</f>
        <v>249600</v>
      </c>
      <c r="D19" s="461" t="n">
        <f aca="false">B19/10</f>
        <v>1248</v>
      </c>
      <c r="E19" s="462" t="n">
        <f aca="false">SUM(C19/$C$3)</f>
        <v>3.12</v>
      </c>
      <c r="F19" s="466" t="s">
        <v>1616</v>
      </c>
      <c r="G19" s="464" t="n">
        <f aca="false">F9/12</f>
        <v>22500</v>
      </c>
      <c r="H19" s="439" t="n">
        <f aca="false">G19*12</f>
        <v>270000</v>
      </c>
      <c r="I19" s="467" t="n">
        <f aca="false">G19/20</f>
        <v>1125</v>
      </c>
      <c r="J19" s="0" t="s">
        <v>214</v>
      </c>
      <c r="K19" s="0" t="s">
        <v>214</v>
      </c>
      <c r="L19" s="0" t="s">
        <v>214</v>
      </c>
    </row>
    <row r="20" s="193" customFormat="true" ht="15.75" hidden="false" customHeight="true" outlineLevel="0" collapsed="false">
      <c r="A20" s="468" t="s">
        <v>1617</v>
      </c>
      <c r="B20" s="460" t="n">
        <f aca="false">F9/24</f>
        <v>11250</v>
      </c>
      <c r="C20" s="439" t="n">
        <f aca="false">B20*24</f>
        <v>270000</v>
      </c>
      <c r="D20" s="461" t="n">
        <f aca="false">B20/10</f>
        <v>1125</v>
      </c>
      <c r="E20" s="457" t="n">
        <f aca="false">SUM(C20/$C$3)</f>
        <v>3.375</v>
      </c>
      <c r="F20" s="469"/>
      <c r="G20" s="446"/>
      <c r="H20" s="454"/>
      <c r="I20" s="454"/>
      <c r="J20" s="454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4"/>
      <c r="V20" s="454"/>
      <c r="W20" s="454"/>
      <c r="X20" s="454"/>
      <c r="Y20" s="454"/>
      <c r="Z20" s="454"/>
      <c r="AA20" s="454"/>
      <c r="AB20" s="454"/>
      <c r="AC20" s="454"/>
      <c r="AD20" s="454"/>
      <c r="AE20" s="454"/>
      <c r="AF20" s="454"/>
      <c r="AG20" s="454"/>
      <c r="AH20" s="454"/>
      <c r="AI20" s="454"/>
      <c r="AJ20" s="454"/>
      <c r="AK20" s="454"/>
      <c r="AL20" s="454"/>
      <c r="AM20" s="454"/>
      <c r="AN20" s="454"/>
      <c r="AO20" s="454"/>
      <c r="AP20" s="454"/>
      <c r="AQ20" s="454"/>
      <c r="AR20" s="454"/>
      <c r="AS20" s="454"/>
      <c r="AT20" s="454"/>
      <c r="AU20" s="454"/>
      <c r="AV20" s="454"/>
    </row>
    <row r="21" s="454" customFormat="true" ht="15.75" hidden="false" customHeight="true" outlineLevel="0" collapsed="false">
      <c r="A21" s="470"/>
      <c r="B21" s="469"/>
      <c r="C21" s="446"/>
      <c r="D21" s="471"/>
      <c r="E21" s="472"/>
      <c r="F21" s="469"/>
      <c r="G21" s="446"/>
    </row>
    <row r="22" customFormat="false" ht="8.25" hidden="false" customHeight="true" outlineLevel="0" collapsed="false">
      <c r="A22" s="473"/>
      <c r="B22" s="474"/>
      <c r="C22" s="451"/>
      <c r="D22" s="406"/>
      <c r="E22" s="473"/>
      <c r="F22" s="474"/>
      <c r="G22" s="451"/>
      <c r="H22" s="406"/>
      <c r="I22" s="406"/>
    </row>
    <row r="23" s="454" customFormat="true" ht="8.25" hidden="false" customHeight="true" outlineLevel="0" collapsed="false">
      <c r="A23" s="472"/>
      <c r="B23" s="469"/>
      <c r="C23" s="446"/>
      <c r="E23" s="472"/>
      <c r="F23" s="469"/>
      <c r="G23" s="446"/>
    </row>
    <row r="24" customFormat="false" ht="14.25" hidden="false" customHeight="false" outlineLevel="0" collapsed="false">
      <c r="E24" s="455" t="n">
        <f aca="false">$C$3</f>
        <v>80000</v>
      </c>
    </row>
    <row r="25" customFormat="false" ht="14.25" hidden="false" customHeight="true" outlineLevel="0" collapsed="false">
      <c r="D25" s="475" t="s">
        <v>1618</v>
      </c>
      <c r="E25" s="476" t="s">
        <v>1606</v>
      </c>
      <c r="F25" s="457" t="s">
        <v>1604</v>
      </c>
      <c r="G25" s="434" t="s">
        <v>669</v>
      </c>
      <c r="H25" s="457" t="s">
        <v>1605</v>
      </c>
      <c r="I25" s="435" t="s">
        <v>1601</v>
      </c>
    </row>
    <row r="26" customFormat="false" ht="14.25" hidden="false" customHeight="false" outlineLevel="0" collapsed="false">
      <c r="D26" s="475"/>
      <c r="E26" s="459" t="s">
        <v>1619</v>
      </c>
      <c r="F26" s="477" t="n">
        <f aca="false">G26/3</f>
        <v>51200</v>
      </c>
      <c r="G26" s="478" t="n">
        <f aca="false">C3*1.92</f>
        <v>153600</v>
      </c>
      <c r="H26" s="461" t="n">
        <f aca="false">F26/20</f>
        <v>2560</v>
      </c>
      <c r="I26" s="440" t="n">
        <f aca="false">SUM(G26/$C$3)</f>
        <v>1.92</v>
      </c>
    </row>
    <row r="27" customFormat="false" ht="14.25" hidden="false" customHeight="false" outlineLevel="0" collapsed="false">
      <c r="D27" s="475"/>
      <c r="E27" s="459" t="s">
        <v>1620</v>
      </c>
      <c r="F27" s="477" t="n">
        <f aca="false">G27/5</f>
        <v>36000</v>
      </c>
      <c r="G27" s="478" t="n">
        <f aca="false">C3*2.25</f>
        <v>180000</v>
      </c>
      <c r="H27" s="461" t="n">
        <f aca="false">F27/20</f>
        <v>1800</v>
      </c>
      <c r="I27" s="440" t="n">
        <f aca="false">SUM(G27/$C$3)</f>
        <v>2.25</v>
      </c>
      <c r="J27" s="0" t="s">
        <v>214</v>
      </c>
    </row>
    <row r="28" customFormat="false" ht="14.25" hidden="false" customHeight="false" outlineLevel="0" collapsed="false">
      <c r="D28" s="475"/>
      <c r="E28" s="459" t="s">
        <v>1621</v>
      </c>
      <c r="F28" s="477" t="n">
        <f aca="false">G28/7</f>
        <v>31428.5714285714</v>
      </c>
      <c r="G28" s="478" t="n">
        <f aca="false">C3*2.75</f>
        <v>220000</v>
      </c>
      <c r="H28" s="461" t="n">
        <f aca="false">F28/20</f>
        <v>1571.42857142857</v>
      </c>
      <c r="I28" s="440" t="n">
        <f aca="false">SUM(G28/$C$3)</f>
        <v>2.75</v>
      </c>
    </row>
    <row r="31" customFormat="false" ht="14.25" hidden="false" customHeight="false" outlineLevel="0" collapsed="false">
      <c r="J31" s="0" t="s">
        <v>214</v>
      </c>
    </row>
  </sheetData>
  <mergeCells count="1">
    <mergeCell ref="D25:D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I31" activeCellId="0" sqref="I31"/>
    </sheetView>
  </sheetViews>
  <sheetFormatPr defaultColWidth="11.3359375" defaultRowHeight="12" customHeight="false" zeroHeight="false" outlineLevelRow="0" outlineLevelCol="0"/>
  <cols>
    <col collapsed="false" customWidth="false" hidden="false" outlineLevel="0" max="16384" min="1" style="479" width="11.33"/>
  </cols>
  <sheetData>
    <row r="1" customFormat="false" ht="25.5" hidden="false" customHeight="true" outlineLevel="0" collapsed="false">
      <c r="A1" s="159" t="s">
        <v>674</v>
      </c>
      <c r="B1" s="480" t="s">
        <v>584</v>
      </c>
      <c r="C1" s="480"/>
      <c r="D1" s="162" t="s">
        <v>1622</v>
      </c>
      <c r="E1" s="162"/>
      <c r="F1" s="479" t="s">
        <v>214</v>
      </c>
      <c r="I1" s="481" t="s">
        <v>1623</v>
      </c>
    </row>
    <row r="2" customFormat="false" ht="15" hidden="false" customHeight="true" outlineLevel="0" collapsed="false">
      <c r="A2" s="159" t="s">
        <v>677</v>
      </c>
      <c r="B2" s="168" t="n">
        <v>3620</v>
      </c>
      <c r="C2" s="482" t="s">
        <v>214</v>
      </c>
      <c r="D2" s="159" t="s">
        <v>678</v>
      </c>
      <c r="E2" s="483" t="n">
        <v>45618</v>
      </c>
      <c r="H2" s="484"/>
      <c r="I2" s="481"/>
    </row>
    <row r="3" customFormat="false" ht="15" hidden="false" customHeight="true" outlineLevel="0" collapsed="false">
      <c r="A3" s="159" t="s">
        <v>680</v>
      </c>
      <c r="B3" s="168" t="s">
        <v>1624</v>
      </c>
      <c r="C3" s="485" t="s">
        <v>214</v>
      </c>
      <c r="D3" s="479" t="s">
        <v>1625</v>
      </c>
      <c r="E3" s="486" t="n">
        <v>45779</v>
      </c>
      <c r="G3" s="195" t="s">
        <v>1626</v>
      </c>
      <c r="H3" s="487" t="s">
        <v>682</v>
      </c>
      <c r="I3" s="487"/>
    </row>
    <row r="4" customFormat="false" ht="15" hidden="false" customHeight="true" outlineLevel="0" collapsed="false">
      <c r="A4" s="488" t="s">
        <v>683</v>
      </c>
      <c r="B4" s="489" t="s">
        <v>684</v>
      </c>
      <c r="C4" s="490" t="s">
        <v>685</v>
      </c>
      <c r="D4" s="488" t="s">
        <v>683</v>
      </c>
      <c r="E4" s="489" t="s">
        <v>684</v>
      </c>
      <c r="F4" s="490" t="s">
        <v>685</v>
      </c>
      <c r="G4" s="491" t="s">
        <v>683</v>
      </c>
      <c r="H4" s="492" t="s">
        <v>684</v>
      </c>
      <c r="I4" s="493" t="s">
        <v>685</v>
      </c>
    </row>
    <row r="5" customFormat="false" ht="15" hidden="false" customHeight="true" outlineLevel="0" collapsed="false">
      <c r="A5" s="176" t="s">
        <v>214</v>
      </c>
      <c r="B5" s="494"/>
      <c r="C5" s="495" t="n">
        <v>1</v>
      </c>
      <c r="D5" s="176" t="s">
        <v>214</v>
      </c>
      <c r="E5" s="496"/>
      <c r="F5" s="495" t="n">
        <v>51</v>
      </c>
      <c r="G5" s="497"/>
      <c r="H5" s="494"/>
      <c r="I5" s="495" t="n">
        <v>101</v>
      </c>
    </row>
    <row r="6" customFormat="false" ht="15" hidden="false" customHeight="true" outlineLevel="0" collapsed="false">
      <c r="A6" s="181"/>
      <c r="B6" s="498"/>
      <c r="C6" s="499" t="n">
        <v>2</v>
      </c>
      <c r="D6" s="181"/>
      <c r="E6" s="500"/>
      <c r="F6" s="499" t="n">
        <v>52</v>
      </c>
      <c r="G6" s="501"/>
      <c r="H6" s="498"/>
      <c r="I6" s="499" t="n">
        <v>102</v>
      </c>
    </row>
    <row r="7" customFormat="false" ht="15" hidden="false" customHeight="true" outlineLevel="0" collapsed="false">
      <c r="A7" s="181"/>
      <c r="B7" s="498"/>
      <c r="C7" s="499" t="n">
        <v>3</v>
      </c>
      <c r="D7" s="181"/>
      <c r="E7" s="500"/>
      <c r="F7" s="499" t="n">
        <v>53</v>
      </c>
      <c r="G7" s="501"/>
      <c r="H7" s="498"/>
      <c r="I7" s="499" t="n">
        <v>103</v>
      </c>
    </row>
    <row r="8" customFormat="false" ht="15" hidden="false" customHeight="true" outlineLevel="0" collapsed="false">
      <c r="A8" s="181"/>
      <c r="B8" s="498"/>
      <c r="C8" s="499" t="n">
        <v>4</v>
      </c>
      <c r="D8" s="181"/>
      <c r="E8" s="500"/>
      <c r="F8" s="499" t="n">
        <v>54</v>
      </c>
      <c r="G8" s="501"/>
      <c r="H8" s="498"/>
      <c r="I8" s="499" t="n">
        <v>104</v>
      </c>
    </row>
    <row r="9" customFormat="false" ht="15" hidden="false" customHeight="true" outlineLevel="0" collapsed="false">
      <c r="A9" s="181" t="s">
        <v>214</v>
      </c>
      <c r="B9" s="502"/>
      <c r="C9" s="499" t="n">
        <v>5</v>
      </c>
      <c r="D9" s="181"/>
      <c r="E9" s="500"/>
      <c r="F9" s="499" t="n">
        <v>55</v>
      </c>
      <c r="G9" s="501"/>
      <c r="H9" s="498"/>
      <c r="I9" s="499" t="n">
        <v>105</v>
      </c>
    </row>
    <row r="10" customFormat="false" ht="15" hidden="false" customHeight="true" outlineLevel="0" collapsed="false">
      <c r="A10" s="181" t="s">
        <v>214</v>
      </c>
      <c r="B10" s="498"/>
      <c r="C10" s="499" t="n">
        <v>6</v>
      </c>
      <c r="D10" s="181"/>
      <c r="E10" s="500"/>
      <c r="F10" s="499" t="n">
        <v>56</v>
      </c>
      <c r="G10" s="501"/>
      <c r="H10" s="498"/>
      <c r="I10" s="499" t="n">
        <v>106</v>
      </c>
    </row>
    <row r="11" customFormat="false" ht="15" hidden="false" customHeight="true" outlineLevel="0" collapsed="false">
      <c r="A11" s="181" t="s">
        <v>214</v>
      </c>
      <c r="B11" s="498"/>
      <c r="C11" s="499" t="n">
        <v>7</v>
      </c>
      <c r="D11" s="181"/>
      <c r="E11" s="500"/>
      <c r="F11" s="499" t="n">
        <v>57</v>
      </c>
      <c r="G11" s="501"/>
      <c r="H11" s="498"/>
      <c r="I11" s="499" t="n">
        <v>107</v>
      </c>
    </row>
    <row r="12" customFormat="false" ht="15" hidden="false" customHeight="true" outlineLevel="0" collapsed="false">
      <c r="A12" s="181" t="s">
        <v>214</v>
      </c>
      <c r="B12" s="498" t="s">
        <v>214</v>
      </c>
      <c r="C12" s="499" t="n">
        <v>8</v>
      </c>
      <c r="D12" s="181"/>
      <c r="E12" s="500"/>
      <c r="F12" s="499" t="n">
        <v>58</v>
      </c>
      <c r="G12" s="501"/>
      <c r="H12" s="498"/>
      <c r="I12" s="499" t="n">
        <v>108</v>
      </c>
    </row>
    <row r="13" customFormat="false" ht="15" hidden="false" customHeight="true" outlineLevel="0" collapsed="false">
      <c r="A13" s="181" t="s">
        <v>214</v>
      </c>
      <c r="B13" s="498"/>
      <c r="C13" s="499" t="n">
        <v>9</v>
      </c>
      <c r="D13" s="181"/>
      <c r="E13" s="500"/>
      <c r="F13" s="499" t="n">
        <v>59</v>
      </c>
      <c r="G13" s="501"/>
      <c r="H13" s="498"/>
      <c r="I13" s="499" t="n">
        <v>109</v>
      </c>
    </row>
    <row r="14" customFormat="false" ht="15" hidden="false" customHeight="true" outlineLevel="0" collapsed="false">
      <c r="A14" s="181" t="s">
        <v>214</v>
      </c>
      <c r="B14" s="498"/>
      <c r="C14" s="499" t="n">
        <v>10</v>
      </c>
      <c r="D14" s="181"/>
      <c r="E14" s="500"/>
      <c r="F14" s="499" t="n">
        <v>60</v>
      </c>
      <c r="G14" s="501"/>
      <c r="H14" s="498"/>
      <c r="I14" s="499" t="n">
        <v>110</v>
      </c>
    </row>
    <row r="15" customFormat="false" ht="15" hidden="false" customHeight="true" outlineLevel="0" collapsed="false">
      <c r="A15" s="181" t="s">
        <v>214</v>
      </c>
      <c r="B15" s="498"/>
      <c r="C15" s="499" t="n">
        <v>11</v>
      </c>
      <c r="D15" s="181"/>
      <c r="E15" s="500"/>
      <c r="F15" s="499" t="n">
        <v>61</v>
      </c>
      <c r="G15" s="501"/>
      <c r="H15" s="498"/>
      <c r="I15" s="499" t="n">
        <v>111</v>
      </c>
    </row>
    <row r="16" customFormat="false" ht="15" hidden="false" customHeight="true" outlineLevel="0" collapsed="false">
      <c r="A16" s="181" t="s">
        <v>214</v>
      </c>
      <c r="B16" s="498" t="s">
        <v>214</v>
      </c>
      <c r="C16" s="499" t="n">
        <v>12</v>
      </c>
      <c r="D16" s="181"/>
      <c r="E16" s="500"/>
      <c r="F16" s="499" t="n">
        <v>62</v>
      </c>
      <c r="G16" s="501"/>
      <c r="H16" s="498"/>
      <c r="I16" s="499" t="n">
        <v>112</v>
      </c>
    </row>
    <row r="17" customFormat="false" ht="15" hidden="false" customHeight="true" outlineLevel="0" collapsed="false">
      <c r="A17" s="181" t="s">
        <v>214</v>
      </c>
      <c r="B17" s="498"/>
      <c r="C17" s="499" t="n">
        <v>13</v>
      </c>
      <c r="D17" s="181"/>
      <c r="E17" s="500"/>
      <c r="F17" s="499" t="n">
        <v>63</v>
      </c>
      <c r="G17" s="501"/>
      <c r="H17" s="498"/>
      <c r="I17" s="499" t="n">
        <v>113</v>
      </c>
    </row>
    <row r="18" customFormat="false" ht="15" hidden="false" customHeight="true" outlineLevel="0" collapsed="false">
      <c r="A18" s="181" t="s">
        <v>214</v>
      </c>
      <c r="B18" s="498"/>
      <c r="C18" s="499" t="n">
        <v>14</v>
      </c>
      <c r="D18" s="181"/>
      <c r="E18" s="500"/>
      <c r="F18" s="499" t="n">
        <v>64</v>
      </c>
      <c r="G18" s="501"/>
      <c r="H18" s="498"/>
      <c r="I18" s="499" t="n">
        <v>114</v>
      </c>
    </row>
    <row r="19" customFormat="false" ht="15" hidden="false" customHeight="true" outlineLevel="0" collapsed="false">
      <c r="A19" s="181" t="s">
        <v>214</v>
      </c>
      <c r="B19" s="498"/>
      <c r="C19" s="499" t="n">
        <v>15</v>
      </c>
      <c r="D19" s="181"/>
      <c r="E19" s="500"/>
      <c r="F19" s="499" t="n">
        <v>65</v>
      </c>
      <c r="G19" s="503"/>
      <c r="H19" s="504"/>
      <c r="I19" s="505" t="n">
        <v>115</v>
      </c>
    </row>
    <row r="20" customFormat="false" ht="15" hidden="false" customHeight="true" outlineLevel="0" collapsed="false">
      <c r="A20" s="181" t="s">
        <v>214</v>
      </c>
      <c r="B20" s="498"/>
      <c r="C20" s="499" t="n">
        <v>16</v>
      </c>
      <c r="D20" s="181"/>
      <c r="E20" s="500"/>
      <c r="F20" s="499" t="n">
        <v>66</v>
      </c>
      <c r="G20" s="506"/>
      <c r="H20" s="507"/>
      <c r="I20" s="508" t="n">
        <v>116</v>
      </c>
    </row>
    <row r="21" customFormat="false" ht="15" hidden="false" customHeight="true" outlineLevel="0" collapsed="false">
      <c r="A21" s="181" t="s">
        <v>214</v>
      </c>
      <c r="B21" s="498"/>
      <c r="C21" s="499" t="n">
        <v>17</v>
      </c>
      <c r="D21" s="181"/>
      <c r="E21" s="500"/>
      <c r="F21" s="499" t="n">
        <v>67</v>
      </c>
      <c r="G21" s="506"/>
      <c r="H21" s="507"/>
      <c r="I21" s="508" t="n">
        <v>117</v>
      </c>
    </row>
    <row r="22" customFormat="false" ht="15" hidden="false" customHeight="true" outlineLevel="0" collapsed="false">
      <c r="A22" s="181" t="s">
        <v>214</v>
      </c>
      <c r="B22" s="498"/>
      <c r="C22" s="499" t="n">
        <v>18</v>
      </c>
      <c r="D22" s="181"/>
      <c r="E22" s="500"/>
      <c r="F22" s="499" t="n">
        <v>68</v>
      </c>
      <c r="G22" s="506"/>
      <c r="H22" s="507"/>
      <c r="I22" s="508" t="n">
        <v>118</v>
      </c>
    </row>
    <row r="23" customFormat="false" ht="15" hidden="false" customHeight="true" outlineLevel="0" collapsed="false">
      <c r="A23" s="181" t="s">
        <v>214</v>
      </c>
      <c r="B23" s="498"/>
      <c r="C23" s="499" t="n">
        <v>19</v>
      </c>
      <c r="D23" s="181"/>
      <c r="E23" s="500"/>
      <c r="F23" s="499" t="n">
        <v>69</v>
      </c>
      <c r="G23" s="506"/>
      <c r="H23" s="507"/>
      <c r="I23" s="508" t="n">
        <v>119</v>
      </c>
    </row>
    <row r="24" customFormat="false" ht="15" hidden="false" customHeight="true" outlineLevel="0" collapsed="false">
      <c r="A24" s="181" t="s">
        <v>214</v>
      </c>
      <c r="B24" s="498"/>
      <c r="C24" s="499" t="n">
        <v>20</v>
      </c>
      <c r="D24" s="181"/>
      <c r="E24" s="500"/>
      <c r="F24" s="499" t="n">
        <v>70</v>
      </c>
      <c r="G24" s="506"/>
      <c r="H24" s="507"/>
      <c r="I24" s="508" t="n">
        <v>120</v>
      </c>
    </row>
    <row r="25" customFormat="false" ht="15" hidden="false" customHeight="true" outlineLevel="0" collapsed="false">
      <c r="A25" s="181" t="s">
        <v>214</v>
      </c>
      <c r="B25" s="498"/>
      <c r="C25" s="499" t="n">
        <v>21</v>
      </c>
      <c r="D25" s="181"/>
      <c r="E25" s="500"/>
      <c r="F25" s="499" t="n">
        <v>71</v>
      </c>
      <c r="G25" s="195" t="s">
        <v>1626</v>
      </c>
      <c r="H25" s="509" t="s">
        <v>682</v>
      </c>
      <c r="I25" s="509"/>
    </row>
    <row r="26" customFormat="false" ht="15" hidden="false" customHeight="true" outlineLevel="0" collapsed="false">
      <c r="A26" s="181" t="s">
        <v>214</v>
      </c>
      <c r="B26" s="498"/>
      <c r="C26" s="499" t="n">
        <v>22</v>
      </c>
      <c r="D26" s="181"/>
      <c r="E26" s="500"/>
      <c r="F26" s="499" t="n">
        <v>72</v>
      </c>
    </row>
    <row r="27" customFormat="false" ht="15" hidden="false" customHeight="true" outlineLevel="0" collapsed="false">
      <c r="A27" s="181" t="s">
        <v>214</v>
      </c>
      <c r="B27" s="498"/>
      <c r="C27" s="499" t="n">
        <v>23</v>
      </c>
      <c r="D27" s="181"/>
      <c r="E27" s="500"/>
      <c r="F27" s="499" t="n">
        <v>73</v>
      </c>
    </row>
    <row r="28" customFormat="false" ht="15" hidden="false" customHeight="true" outlineLevel="0" collapsed="false">
      <c r="A28" s="181" t="s">
        <v>214</v>
      </c>
      <c r="B28" s="498"/>
      <c r="C28" s="499" t="n">
        <v>24</v>
      </c>
      <c r="D28" s="181"/>
      <c r="E28" s="500"/>
      <c r="F28" s="499" t="n">
        <v>74</v>
      </c>
    </row>
    <row r="29" customFormat="false" ht="15" hidden="false" customHeight="true" outlineLevel="0" collapsed="false">
      <c r="A29" s="181" t="s">
        <v>214</v>
      </c>
      <c r="B29" s="498"/>
      <c r="C29" s="499" t="n">
        <v>25</v>
      </c>
      <c r="D29" s="181"/>
      <c r="E29" s="500"/>
      <c r="F29" s="499" t="n">
        <v>75</v>
      </c>
    </row>
    <row r="30" customFormat="false" ht="15" hidden="false" customHeight="true" outlineLevel="0" collapsed="false">
      <c r="A30" s="181" t="s">
        <v>214</v>
      </c>
      <c r="B30" s="498"/>
      <c r="C30" s="499" t="n">
        <v>26</v>
      </c>
      <c r="D30" s="181"/>
      <c r="E30" s="500"/>
      <c r="F30" s="499" t="n">
        <v>76</v>
      </c>
    </row>
    <row r="31" customFormat="false" ht="15" hidden="false" customHeight="true" outlineLevel="0" collapsed="false">
      <c r="A31" s="181" t="s">
        <v>214</v>
      </c>
      <c r="B31" s="498"/>
      <c r="C31" s="499" t="n">
        <v>27</v>
      </c>
      <c r="D31" s="181"/>
      <c r="E31" s="500"/>
      <c r="F31" s="499" t="n">
        <v>77</v>
      </c>
    </row>
    <row r="32" customFormat="false" ht="15" hidden="false" customHeight="true" outlineLevel="0" collapsed="false">
      <c r="A32" s="181" t="s">
        <v>214</v>
      </c>
      <c r="B32" s="498"/>
      <c r="C32" s="499" t="n">
        <v>28</v>
      </c>
      <c r="D32" s="181"/>
      <c r="E32" s="500"/>
      <c r="F32" s="499" t="n">
        <v>78</v>
      </c>
    </row>
    <row r="33" customFormat="false" ht="15" hidden="false" customHeight="true" outlineLevel="0" collapsed="false">
      <c r="A33" s="181" t="s">
        <v>214</v>
      </c>
      <c r="B33" s="498"/>
      <c r="C33" s="499" t="n">
        <v>29</v>
      </c>
      <c r="D33" s="181"/>
      <c r="E33" s="500"/>
      <c r="F33" s="499" t="n">
        <v>79</v>
      </c>
    </row>
    <row r="34" customFormat="false" ht="15" hidden="false" customHeight="true" outlineLevel="0" collapsed="false">
      <c r="A34" s="181" t="s">
        <v>214</v>
      </c>
      <c r="B34" s="498" t="s">
        <v>214</v>
      </c>
      <c r="C34" s="499" t="n">
        <v>30</v>
      </c>
      <c r="D34" s="181"/>
      <c r="E34" s="500"/>
      <c r="F34" s="499" t="n">
        <v>80</v>
      </c>
    </row>
    <row r="35" customFormat="false" ht="15" hidden="false" customHeight="true" outlineLevel="0" collapsed="false">
      <c r="A35" s="181" t="s">
        <v>214</v>
      </c>
      <c r="B35" s="498"/>
      <c r="C35" s="499" t="n">
        <v>31</v>
      </c>
      <c r="D35" s="181"/>
      <c r="E35" s="500"/>
      <c r="F35" s="499" t="n">
        <v>81</v>
      </c>
    </row>
    <row r="36" customFormat="false" ht="15" hidden="false" customHeight="true" outlineLevel="0" collapsed="false">
      <c r="A36" s="181" t="s">
        <v>214</v>
      </c>
      <c r="B36" s="498"/>
      <c r="C36" s="499" t="n">
        <v>32</v>
      </c>
      <c r="D36" s="181"/>
      <c r="E36" s="500"/>
      <c r="F36" s="499" t="n">
        <v>82</v>
      </c>
    </row>
    <row r="37" customFormat="false" ht="15" hidden="false" customHeight="true" outlineLevel="0" collapsed="false">
      <c r="A37" s="181" t="s">
        <v>214</v>
      </c>
      <c r="B37" s="498"/>
      <c r="C37" s="499" t="n">
        <v>33</v>
      </c>
      <c r="D37" s="181"/>
      <c r="E37" s="500"/>
      <c r="F37" s="499" t="n">
        <v>83</v>
      </c>
    </row>
    <row r="38" customFormat="false" ht="15" hidden="false" customHeight="true" outlineLevel="0" collapsed="false">
      <c r="A38" s="181" t="s">
        <v>214</v>
      </c>
      <c r="B38" s="498"/>
      <c r="C38" s="499" t="n">
        <v>34</v>
      </c>
      <c r="D38" s="181"/>
      <c r="E38" s="500"/>
      <c r="F38" s="499" t="n">
        <v>84</v>
      </c>
    </row>
    <row r="39" customFormat="false" ht="15" hidden="false" customHeight="true" outlineLevel="0" collapsed="false">
      <c r="A39" s="181" t="s">
        <v>214</v>
      </c>
      <c r="B39" s="498"/>
      <c r="C39" s="499" t="n">
        <v>35</v>
      </c>
      <c r="D39" s="181"/>
      <c r="E39" s="500"/>
      <c r="F39" s="499" t="n">
        <v>85</v>
      </c>
    </row>
    <row r="40" customFormat="false" ht="15" hidden="false" customHeight="true" outlineLevel="0" collapsed="false">
      <c r="A40" s="181" t="s">
        <v>214</v>
      </c>
      <c r="B40" s="498"/>
      <c r="C40" s="499" t="n">
        <v>36</v>
      </c>
      <c r="D40" s="181"/>
      <c r="E40" s="500"/>
      <c r="F40" s="499" t="n">
        <v>86</v>
      </c>
    </row>
    <row r="41" customFormat="false" ht="15" hidden="false" customHeight="true" outlineLevel="0" collapsed="false">
      <c r="A41" s="181"/>
      <c r="B41" s="498"/>
      <c r="C41" s="499" t="n">
        <v>37</v>
      </c>
      <c r="D41" s="181"/>
      <c r="E41" s="500"/>
      <c r="F41" s="499" t="n">
        <v>87</v>
      </c>
    </row>
    <row r="42" customFormat="false" ht="15" hidden="false" customHeight="true" outlineLevel="0" collapsed="false">
      <c r="A42" s="181"/>
      <c r="B42" s="498"/>
      <c r="C42" s="499" t="n">
        <v>38</v>
      </c>
      <c r="D42" s="181"/>
      <c r="E42" s="500"/>
      <c r="F42" s="499" t="n">
        <v>88</v>
      </c>
    </row>
    <row r="43" customFormat="false" ht="15" hidden="false" customHeight="true" outlineLevel="0" collapsed="false">
      <c r="A43" s="181" t="s">
        <v>214</v>
      </c>
      <c r="B43" s="498"/>
      <c r="C43" s="499" t="n">
        <v>39</v>
      </c>
      <c r="D43" s="181"/>
      <c r="E43" s="500"/>
      <c r="F43" s="499" t="n">
        <v>89</v>
      </c>
    </row>
    <row r="44" customFormat="false" ht="15" hidden="false" customHeight="true" outlineLevel="0" collapsed="false">
      <c r="A44" s="181" t="s">
        <v>214</v>
      </c>
      <c r="B44" s="498"/>
      <c r="C44" s="499" t="n">
        <v>40</v>
      </c>
      <c r="D44" s="181"/>
      <c r="E44" s="500"/>
      <c r="F44" s="499" t="n">
        <v>90</v>
      </c>
    </row>
    <row r="45" customFormat="false" ht="15" hidden="false" customHeight="true" outlineLevel="0" collapsed="false">
      <c r="A45" s="181" t="s">
        <v>214</v>
      </c>
      <c r="B45" s="498"/>
      <c r="C45" s="499" t="n">
        <v>41</v>
      </c>
      <c r="D45" s="181"/>
      <c r="E45" s="500"/>
      <c r="F45" s="499" t="n">
        <v>91</v>
      </c>
    </row>
    <row r="46" customFormat="false" ht="15" hidden="false" customHeight="true" outlineLevel="0" collapsed="false">
      <c r="A46" s="181" t="s">
        <v>214</v>
      </c>
      <c r="B46" s="498"/>
      <c r="C46" s="499" t="n">
        <v>42</v>
      </c>
      <c r="D46" s="181"/>
      <c r="E46" s="500"/>
      <c r="F46" s="499" t="n">
        <v>92</v>
      </c>
    </row>
    <row r="47" customFormat="false" ht="15" hidden="false" customHeight="true" outlineLevel="0" collapsed="false">
      <c r="A47" s="181" t="s">
        <v>214</v>
      </c>
      <c r="B47" s="498"/>
      <c r="C47" s="499" t="n">
        <v>43</v>
      </c>
      <c r="D47" s="181"/>
      <c r="E47" s="500"/>
      <c r="F47" s="499" t="n">
        <v>93</v>
      </c>
    </row>
    <row r="48" customFormat="false" ht="15" hidden="false" customHeight="true" outlineLevel="0" collapsed="false">
      <c r="A48" s="181" t="s">
        <v>214</v>
      </c>
      <c r="B48" s="498"/>
      <c r="C48" s="499" t="n">
        <v>44</v>
      </c>
      <c r="D48" s="181"/>
      <c r="E48" s="500"/>
      <c r="F48" s="499" t="n">
        <v>94</v>
      </c>
    </row>
    <row r="49" customFormat="false" ht="15" hidden="false" customHeight="true" outlineLevel="0" collapsed="false">
      <c r="A49" s="181" t="s">
        <v>214</v>
      </c>
      <c r="B49" s="498"/>
      <c r="C49" s="499" t="n">
        <v>45</v>
      </c>
      <c r="D49" s="181"/>
      <c r="E49" s="500"/>
      <c r="F49" s="499" t="n">
        <v>95</v>
      </c>
    </row>
    <row r="50" customFormat="false" ht="15" hidden="false" customHeight="true" outlineLevel="0" collapsed="false">
      <c r="A50" s="181" t="s">
        <v>214</v>
      </c>
      <c r="B50" s="498"/>
      <c r="C50" s="499" t="n">
        <v>46</v>
      </c>
      <c r="D50" s="181"/>
      <c r="E50" s="500"/>
      <c r="F50" s="499" t="n">
        <v>96</v>
      </c>
    </row>
    <row r="51" customFormat="false" ht="15" hidden="false" customHeight="true" outlineLevel="0" collapsed="false">
      <c r="A51" s="181" t="s">
        <v>214</v>
      </c>
      <c r="B51" s="498"/>
      <c r="C51" s="499" t="n">
        <v>47</v>
      </c>
      <c r="D51" s="181"/>
      <c r="E51" s="500"/>
      <c r="F51" s="499" t="n">
        <v>97</v>
      </c>
    </row>
    <row r="52" customFormat="false" ht="15" hidden="false" customHeight="true" outlineLevel="0" collapsed="false">
      <c r="A52" s="181" t="s">
        <v>214</v>
      </c>
      <c r="B52" s="498"/>
      <c r="C52" s="499" t="n">
        <v>48</v>
      </c>
      <c r="D52" s="181"/>
      <c r="E52" s="500"/>
      <c r="F52" s="499" t="n">
        <v>98</v>
      </c>
    </row>
    <row r="53" customFormat="false" ht="15" hidden="false" customHeight="true" outlineLevel="0" collapsed="false">
      <c r="A53" s="181" t="s">
        <v>214</v>
      </c>
      <c r="B53" s="498"/>
      <c r="C53" s="499" t="n">
        <v>49</v>
      </c>
      <c r="D53" s="181"/>
      <c r="E53" s="500"/>
      <c r="F53" s="499" t="n">
        <v>99</v>
      </c>
    </row>
    <row r="54" customFormat="false" ht="15" hidden="false" customHeight="true" outlineLevel="0" collapsed="false">
      <c r="A54" s="189" t="s">
        <v>214</v>
      </c>
      <c r="B54" s="510"/>
      <c r="C54" s="511" t="n">
        <v>50</v>
      </c>
      <c r="D54" s="189"/>
      <c r="E54" s="512"/>
      <c r="F54" s="511" t="n">
        <v>100</v>
      </c>
    </row>
  </sheetData>
  <mergeCells count="4">
    <mergeCell ref="B1:C1"/>
    <mergeCell ref="I1:I2"/>
    <mergeCell ref="H3:I3"/>
    <mergeCell ref="H25:I25"/>
  </mergeCells>
  <printOptions headings="false" gridLines="false" gridLinesSet="true" horizontalCentered="false" verticalCentered="false"/>
  <pageMargins left="0.118055555555556" right="0.118055555555556" top="0.157638888888889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11.4453125" defaultRowHeight="13.5" customHeight="false" zeroHeight="false" outlineLevelRow="0" outlineLevelCol="0"/>
  <cols>
    <col collapsed="false" customWidth="false" hidden="false" outlineLevel="0" max="16384" min="1" style="235" width="11.44"/>
  </cols>
  <sheetData>
    <row r="1" customFormat="false" ht="19.5" hidden="false" customHeight="true" outlineLevel="0" collapsed="false">
      <c r="A1" s="159" t="s">
        <v>674</v>
      </c>
      <c r="B1" s="513" t="s">
        <v>1627</v>
      </c>
      <c r="C1" s="513"/>
      <c r="D1" s="514" t="s">
        <v>1628</v>
      </c>
      <c r="E1" s="159"/>
      <c r="G1" s="235" t="s">
        <v>214</v>
      </c>
      <c r="I1" s="515" t="s">
        <v>1629</v>
      </c>
    </row>
    <row r="2" customFormat="false" ht="19.5" hidden="false" customHeight="true" outlineLevel="0" collapsed="false">
      <c r="A2" s="159" t="s">
        <v>677</v>
      </c>
      <c r="B2" s="164" t="n">
        <v>2078</v>
      </c>
      <c r="C2" s="165" t="s">
        <v>214</v>
      </c>
      <c r="D2" s="159" t="s">
        <v>678</v>
      </c>
      <c r="E2" s="516" t="n">
        <v>45045</v>
      </c>
      <c r="I2" s="517" t="s">
        <v>1630</v>
      </c>
    </row>
    <row r="3" customFormat="false" ht="19.5" hidden="false" customHeight="true" outlineLevel="0" collapsed="false">
      <c r="A3" s="159" t="s">
        <v>680</v>
      </c>
      <c r="B3" s="168" t="n">
        <v>1823</v>
      </c>
      <c r="C3" s="169" t="s">
        <v>214</v>
      </c>
      <c r="D3" s="244" t="s">
        <v>1631</v>
      </c>
      <c r="E3" s="516" t="n">
        <v>45149</v>
      </c>
      <c r="G3" s="195" t="s">
        <v>1626</v>
      </c>
      <c r="H3" s="518" t="s">
        <v>682</v>
      </c>
      <c r="I3" s="519"/>
    </row>
    <row r="4" customFormat="false" ht="19.5" hidden="false" customHeight="true" outlineLevel="0" collapsed="false">
      <c r="A4" s="173" t="s">
        <v>683</v>
      </c>
      <c r="B4" s="174" t="s">
        <v>684</v>
      </c>
      <c r="C4" s="175" t="s">
        <v>685</v>
      </c>
      <c r="D4" s="173" t="s">
        <v>683</v>
      </c>
      <c r="E4" s="174" t="s">
        <v>684</v>
      </c>
      <c r="F4" s="175" t="s">
        <v>685</v>
      </c>
      <c r="G4" s="173" t="s">
        <v>683</v>
      </c>
      <c r="H4" s="174" t="s">
        <v>684</v>
      </c>
      <c r="I4" s="175" t="s">
        <v>685</v>
      </c>
    </row>
    <row r="5" customFormat="false" ht="19.5" hidden="false" customHeight="true" outlineLevel="0" collapsed="false">
      <c r="A5" s="207" t="s">
        <v>214</v>
      </c>
      <c r="B5" s="208"/>
      <c r="C5" s="209" t="n">
        <v>1</v>
      </c>
      <c r="D5" s="176" t="s">
        <v>214</v>
      </c>
      <c r="E5" s="210"/>
      <c r="F5" s="178" t="n">
        <v>37</v>
      </c>
      <c r="G5" s="176" t="s">
        <v>214</v>
      </c>
      <c r="H5" s="210"/>
      <c r="I5" s="178" t="n">
        <v>73</v>
      </c>
    </row>
    <row r="6" customFormat="false" ht="19.5" hidden="false" customHeight="true" outlineLevel="0" collapsed="false">
      <c r="A6" s="181" t="s">
        <v>214</v>
      </c>
      <c r="B6" s="182"/>
      <c r="C6" s="183" t="n">
        <v>2</v>
      </c>
      <c r="D6" s="181" t="s">
        <v>214</v>
      </c>
      <c r="E6" s="211"/>
      <c r="F6" s="183" t="n">
        <v>38</v>
      </c>
      <c r="G6" s="181" t="s">
        <v>214</v>
      </c>
      <c r="H6" s="211"/>
      <c r="I6" s="183" t="n">
        <v>74</v>
      </c>
    </row>
    <row r="7" customFormat="false" ht="19.5" hidden="false" customHeight="true" outlineLevel="0" collapsed="false">
      <c r="A7" s="181" t="s">
        <v>214</v>
      </c>
      <c r="B7" s="186"/>
      <c r="C7" s="183" t="n">
        <v>3</v>
      </c>
      <c r="D7" s="181" t="s">
        <v>214</v>
      </c>
      <c r="E7" s="211"/>
      <c r="F7" s="183" t="n">
        <v>39</v>
      </c>
      <c r="G7" s="189" t="s">
        <v>214</v>
      </c>
      <c r="H7" s="520"/>
      <c r="I7" s="191" t="n">
        <v>75</v>
      </c>
    </row>
    <row r="8" customFormat="false" ht="19.5" hidden="false" customHeight="true" outlineLevel="0" collapsed="false">
      <c r="A8" s="181" t="s">
        <v>214</v>
      </c>
      <c r="B8" s="186"/>
      <c r="C8" s="183" t="n">
        <v>4</v>
      </c>
      <c r="D8" s="181" t="s">
        <v>214</v>
      </c>
      <c r="E8" s="211"/>
      <c r="F8" s="183" t="n">
        <v>40</v>
      </c>
    </row>
    <row r="9" customFormat="false" ht="19.5" hidden="false" customHeight="true" outlineLevel="0" collapsed="false">
      <c r="A9" s="181" t="s">
        <v>214</v>
      </c>
      <c r="B9" s="186" t="s">
        <v>214</v>
      </c>
      <c r="C9" s="183" t="n">
        <v>5</v>
      </c>
      <c r="D9" s="181" t="s">
        <v>214</v>
      </c>
      <c r="E9" s="211"/>
      <c r="F9" s="183" t="n">
        <v>41</v>
      </c>
    </row>
    <row r="10" customFormat="false" ht="19.5" hidden="false" customHeight="true" outlineLevel="0" collapsed="false">
      <c r="A10" s="181" t="s">
        <v>214</v>
      </c>
      <c r="B10" s="186"/>
      <c r="C10" s="183" t="n">
        <v>6</v>
      </c>
      <c r="D10" s="181" t="s">
        <v>214</v>
      </c>
      <c r="E10" s="211"/>
      <c r="F10" s="183" t="n">
        <v>42</v>
      </c>
    </row>
    <row r="11" customFormat="false" ht="19.5" hidden="false" customHeight="true" outlineLevel="0" collapsed="false">
      <c r="A11" s="181" t="s">
        <v>214</v>
      </c>
      <c r="B11" s="186"/>
      <c r="C11" s="183" t="n">
        <v>7</v>
      </c>
      <c r="D11" s="181" t="s">
        <v>214</v>
      </c>
      <c r="E11" s="211"/>
      <c r="F11" s="183" t="n">
        <v>43</v>
      </c>
      <c r="J11" s="521"/>
    </row>
    <row r="12" customFormat="false" ht="19.5" hidden="false" customHeight="true" outlineLevel="0" collapsed="false">
      <c r="A12" s="181" t="s">
        <v>214</v>
      </c>
      <c r="B12" s="186"/>
      <c r="C12" s="183" t="n">
        <v>8</v>
      </c>
      <c r="D12" s="181"/>
      <c r="E12" s="186"/>
      <c r="F12" s="183" t="n">
        <v>44</v>
      </c>
    </row>
    <row r="13" customFormat="false" ht="19.5" hidden="false" customHeight="true" outlineLevel="0" collapsed="false">
      <c r="A13" s="181" t="s">
        <v>214</v>
      </c>
      <c r="B13" s="186" t="s">
        <v>214</v>
      </c>
      <c r="C13" s="183" t="n">
        <v>9</v>
      </c>
      <c r="D13" s="181" t="s">
        <v>214</v>
      </c>
      <c r="E13" s="186"/>
      <c r="F13" s="183" t="n">
        <v>45</v>
      </c>
    </row>
    <row r="14" customFormat="false" ht="19.5" hidden="false" customHeight="true" outlineLevel="0" collapsed="false">
      <c r="A14" s="181" t="s">
        <v>214</v>
      </c>
      <c r="B14" s="186"/>
      <c r="C14" s="183" t="n">
        <v>10</v>
      </c>
      <c r="D14" s="181"/>
      <c r="E14" s="186"/>
      <c r="F14" s="183" t="n">
        <v>46</v>
      </c>
    </row>
    <row r="15" customFormat="false" ht="19.5" hidden="false" customHeight="true" outlineLevel="0" collapsed="false">
      <c r="A15" s="181" t="s">
        <v>214</v>
      </c>
      <c r="B15" s="186"/>
      <c r="C15" s="183" t="n">
        <v>11</v>
      </c>
      <c r="D15" s="181" t="s">
        <v>214</v>
      </c>
      <c r="E15" s="186"/>
      <c r="F15" s="183" t="n">
        <v>47</v>
      </c>
    </row>
    <row r="16" customFormat="false" ht="19.5" hidden="false" customHeight="true" outlineLevel="0" collapsed="false">
      <c r="A16" s="181" t="s">
        <v>214</v>
      </c>
      <c r="B16" s="186"/>
      <c r="C16" s="183" t="n">
        <v>12</v>
      </c>
      <c r="D16" s="181" t="s">
        <v>214</v>
      </c>
      <c r="E16" s="186"/>
      <c r="F16" s="183" t="n">
        <v>48</v>
      </c>
    </row>
    <row r="17" customFormat="false" ht="19.5" hidden="false" customHeight="true" outlineLevel="0" collapsed="false">
      <c r="A17" s="181" t="s">
        <v>214</v>
      </c>
      <c r="B17" s="186"/>
      <c r="C17" s="183" t="n">
        <v>13</v>
      </c>
      <c r="D17" s="181" t="s">
        <v>214</v>
      </c>
      <c r="E17" s="186"/>
      <c r="F17" s="183" t="n">
        <v>49</v>
      </c>
    </row>
    <row r="18" customFormat="false" ht="19.5" hidden="false" customHeight="true" outlineLevel="0" collapsed="false">
      <c r="A18" s="181" t="s">
        <v>214</v>
      </c>
      <c r="B18" s="186"/>
      <c r="C18" s="183" t="n">
        <v>14</v>
      </c>
      <c r="D18" s="181" t="s">
        <v>214</v>
      </c>
      <c r="E18" s="186"/>
      <c r="F18" s="183" t="n">
        <v>50</v>
      </c>
    </row>
    <row r="19" customFormat="false" ht="19.5" hidden="false" customHeight="true" outlineLevel="0" collapsed="false">
      <c r="A19" s="181" t="s">
        <v>214</v>
      </c>
      <c r="B19" s="186"/>
      <c r="C19" s="183" t="n">
        <v>15</v>
      </c>
      <c r="D19" s="181" t="s">
        <v>214</v>
      </c>
      <c r="E19" s="211"/>
      <c r="F19" s="183" t="n">
        <v>51</v>
      </c>
    </row>
    <row r="20" customFormat="false" ht="19.5" hidden="false" customHeight="true" outlineLevel="0" collapsed="false">
      <c r="A20" s="181" t="s">
        <v>214</v>
      </c>
      <c r="B20" s="186"/>
      <c r="C20" s="183" t="n">
        <v>16</v>
      </c>
      <c r="D20" s="181" t="s">
        <v>214</v>
      </c>
      <c r="E20" s="211"/>
      <c r="F20" s="183" t="n">
        <v>52</v>
      </c>
    </row>
    <row r="21" customFormat="false" ht="19.5" hidden="false" customHeight="true" outlineLevel="0" collapsed="false">
      <c r="A21" s="181" t="s">
        <v>214</v>
      </c>
      <c r="B21" s="186"/>
      <c r="C21" s="183" t="n">
        <v>17</v>
      </c>
      <c r="D21" s="181" t="s">
        <v>214</v>
      </c>
      <c r="E21" s="211"/>
      <c r="F21" s="183" t="n">
        <v>53</v>
      </c>
    </row>
    <row r="22" customFormat="false" ht="19.5" hidden="false" customHeight="true" outlineLevel="0" collapsed="false">
      <c r="A22" s="181" t="s">
        <v>214</v>
      </c>
      <c r="B22" s="186"/>
      <c r="C22" s="183" t="n">
        <v>18</v>
      </c>
      <c r="D22" s="181" t="s">
        <v>214</v>
      </c>
      <c r="E22" s="211"/>
      <c r="F22" s="183" t="n">
        <v>54</v>
      </c>
    </row>
    <row r="23" customFormat="false" ht="19.5" hidden="false" customHeight="true" outlineLevel="0" collapsed="false">
      <c r="A23" s="181" t="s">
        <v>214</v>
      </c>
      <c r="B23" s="186"/>
      <c r="C23" s="183" t="n">
        <v>19</v>
      </c>
      <c r="D23" s="181" t="s">
        <v>214</v>
      </c>
      <c r="E23" s="211"/>
      <c r="F23" s="183" t="n">
        <v>55</v>
      </c>
    </row>
    <row r="24" customFormat="false" ht="19.5" hidden="false" customHeight="true" outlineLevel="0" collapsed="false">
      <c r="A24" s="181" t="s">
        <v>214</v>
      </c>
      <c r="B24" s="186"/>
      <c r="C24" s="183" t="n">
        <v>20</v>
      </c>
      <c r="D24" s="181" t="s">
        <v>214</v>
      </c>
      <c r="E24" s="211"/>
      <c r="F24" s="183" t="n">
        <v>56</v>
      </c>
    </row>
    <row r="25" customFormat="false" ht="19.5" hidden="false" customHeight="true" outlineLevel="0" collapsed="false">
      <c r="A25" s="181" t="s">
        <v>214</v>
      </c>
      <c r="B25" s="186"/>
      <c r="C25" s="183" t="n">
        <v>21</v>
      </c>
      <c r="D25" s="181" t="s">
        <v>214</v>
      </c>
      <c r="E25" s="211"/>
      <c r="F25" s="183" t="n">
        <v>57</v>
      </c>
    </row>
    <row r="26" customFormat="false" ht="19.5" hidden="false" customHeight="true" outlineLevel="0" collapsed="false">
      <c r="A26" s="181" t="s">
        <v>214</v>
      </c>
      <c r="B26" s="186"/>
      <c r="C26" s="183" t="n">
        <v>22</v>
      </c>
      <c r="D26" s="181"/>
      <c r="E26" s="186"/>
      <c r="F26" s="183" t="n">
        <v>58</v>
      </c>
    </row>
    <row r="27" customFormat="false" ht="19.5" hidden="false" customHeight="true" outlineLevel="0" collapsed="false">
      <c r="A27" s="181" t="s">
        <v>214</v>
      </c>
      <c r="B27" s="186"/>
      <c r="C27" s="183" t="n">
        <v>23</v>
      </c>
      <c r="D27" s="181" t="s">
        <v>214</v>
      </c>
      <c r="E27" s="186"/>
      <c r="F27" s="183" t="n">
        <v>59</v>
      </c>
    </row>
    <row r="28" customFormat="false" ht="19.5" hidden="false" customHeight="true" outlineLevel="0" collapsed="false">
      <c r="A28" s="181" t="s">
        <v>214</v>
      </c>
      <c r="B28" s="186"/>
      <c r="C28" s="183" t="n">
        <v>24</v>
      </c>
      <c r="D28" s="181"/>
      <c r="E28" s="186"/>
      <c r="F28" s="183" t="n">
        <v>60</v>
      </c>
    </row>
    <row r="29" customFormat="false" ht="19.5" hidden="false" customHeight="true" outlineLevel="0" collapsed="false">
      <c r="A29" s="181" t="s">
        <v>214</v>
      </c>
      <c r="B29" s="186"/>
      <c r="C29" s="183" t="n">
        <v>25</v>
      </c>
      <c r="D29" s="181" t="s">
        <v>214</v>
      </c>
      <c r="E29" s="186"/>
      <c r="F29" s="183" t="n">
        <v>61</v>
      </c>
    </row>
    <row r="30" customFormat="false" ht="19.5" hidden="false" customHeight="true" outlineLevel="0" collapsed="false">
      <c r="A30" s="181" t="s">
        <v>214</v>
      </c>
      <c r="B30" s="186"/>
      <c r="C30" s="183" t="n">
        <v>26</v>
      </c>
      <c r="D30" s="181" t="s">
        <v>214</v>
      </c>
      <c r="E30" s="186"/>
      <c r="F30" s="183" t="n">
        <v>62</v>
      </c>
    </row>
    <row r="31" customFormat="false" ht="19.5" hidden="false" customHeight="true" outlineLevel="0" collapsed="false">
      <c r="A31" s="181" t="s">
        <v>214</v>
      </c>
      <c r="B31" s="186" t="s">
        <v>214</v>
      </c>
      <c r="C31" s="183" t="n">
        <v>27</v>
      </c>
      <c r="D31" s="181" t="s">
        <v>214</v>
      </c>
      <c r="E31" s="186"/>
      <c r="F31" s="183" t="n">
        <v>63</v>
      </c>
    </row>
    <row r="32" customFormat="false" ht="19.5" hidden="false" customHeight="true" outlineLevel="0" collapsed="false">
      <c r="A32" s="181" t="s">
        <v>214</v>
      </c>
      <c r="B32" s="186"/>
      <c r="C32" s="183" t="n">
        <v>28</v>
      </c>
      <c r="D32" s="181" t="s">
        <v>214</v>
      </c>
      <c r="E32" s="186"/>
      <c r="F32" s="183" t="n">
        <v>64</v>
      </c>
    </row>
    <row r="33" customFormat="false" ht="19.5" hidden="false" customHeight="true" outlineLevel="0" collapsed="false">
      <c r="A33" s="181" t="s">
        <v>214</v>
      </c>
      <c r="B33" s="186"/>
      <c r="C33" s="183" t="n">
        <v>29</v>
      </c>
      <c r="D33" s="181"/>
      <c r="E33" s="186"/>
      <c r="F33" s="183" t="n">
        <v>65</v>
      </c>
    </row>
    <row r="34" customFormat="false" ht="19.5" hidden="false" customHeight="true" outlineLevel="0" collapsed="false">
      <c r="A34" s="181" t="s">
        <v>214</v>
      </c>
      <c r="B34" s="186"/>
      <c r="C34" s="183" t="n">
        <v>30</v>
      </c>
      <c r="D34" s="181" t="s">
        <v>214</v>
      </c>
      <c r="E34" s="186"/>
      <c r="F34" s="183" t="n">
        <v>66</v>
      </c>
    </row>
    <row r="35" customFormat="false" ht="19.5" hidden="false" customHeight="true" outlineLevel="0" collapsed="false">
      <c r="A35" s="181" t="s">
        <v>214</v>
      </c>
      <c r="B35" s="186"/>
      <c r="C35" s="183" t="n">
        <v>31</v>
      </c>
      <c r="D35" s="181"/>
      <c r="E35" s="186"/>
      <c r="F35" s="183" t="n">
        <v>67</v>
      </c>
    </row>
    <row r="36" customFormat="false" ht="19.5" hidden="false" customHeight="true" outlineLevel="0" collapsed="false">
      <c r="A36" s="181" t="s">
        <v>214</v>
      </c>
      <c r="B36" s="186"/>
      <c r="C36" s="183" t="n">
        <v>32</v>
      </c>
      <c r="D36" s="181" t="s">
        <v>214</v>
      </c>
      <c r="E36" s="186"/>
      <c r="F36" s="183" t="n">
        <v>68</v>
      </c>
    </row>
    <row r="37" customFormat="false" ht="19.5" hidden="false" customHeight="true" outlineLevel="0" collapsed="false">
      <c r="A37" s="181" t="s">
        <v>214</v>
      </c>
      <c r="B37" s="186"/>
      <c r="C37" s="183" t="n">
        <v>33</v>
      </c>
      <c r="D37" s="181" t="s">
        <v>214</v>
      </c>
      <c r="E37" s="186"/>
      <c r="F37" s="183" t="n">
        <v>69</v>
      </c>
    </row>
    <row r="38" customFormat="false" ht="19.5" hidden="false" customHeight="true" outlineLevel="0" collapsed="false">
      <c r="A38" s="181" t="s">
        <v>214</v>
      </c>
      <c r="B38" s="186"/>
      <c r="C38" s="183" t="n">
        <v>34</v>
      </c>
      <c r="D38" s="181" t="s">
        <v>214</v>
      </c>
      <c r="E38" s="186"/>
      <c r="F38" s="183" t="n">
        <v>70</v>
      </c>
    </row>
    <row r="39" customFormat="false" ht="19.5" hidden="false" customHeight="true" outlineLevel="0" collapsed="false">
      <c r="A39" s="181" t="s">
        <v>214</v>
      </c>
      <c r="B39" s="186"/>
      <c r="C39" s="183" t="n">
        <v>35</v>
      </c>
      <c r="D39" s="181" t="s">
        <v>214</v>
      </c>
      <c r="E39" s="186"/>
      <c r="F39" s="183" t="n">
        <v>71</v>
      </c>
      <c r="G39" s="195" t="s">
        <v>1626</v>
      </c>
      <c r="H39" s="518" t="s">
        <v>682</v>
      </c>
      <c r="I39" s="522"/>
    </row>
    <row r="40" customFormat="false" ht="19.5" hidden="false" customHeight="true" outlineLevel="0" collapsed="false">
      <c r="A40" s="189" t="s">
        <v>214</v>
      </c>
      <c r="B40" s="190"/>
      <c r="C40" s="191" t="n">
        <v>36</v>
      </c>
      <c r="D40" s="189" t="s">
        <v>214</v>
      </c>
      <c r="E40" s="190"/>
      <c r="F40" s="191" t="n">
        <v>72</v>
      </c>
    </row>
    <row r="41" customFormat="false" ht="19.5" hidden="false" customHeight="true" outlineLevel="0" collapsed="false">
      <c r="B41" s="233"/>
      <c r="C41" s="233"/>
      <c r="D41" s="233" t="s">
        <v>214</v>
      </c>
    </row>
  </sheetData>
  <mergeCells count="1">
    <mergeCell ref="B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4453125" defaultRowHeight="14.25" customHeight="false" zeroHeight="false" outlineLevelRow="0" outlineLevelCol="0"/>
  <sheetData>
    <row r="1" customFormat="false" ht="18.75" hidden="false" customHeight="true" outlineLevel="0" collapsed="false">
      <c r="A1" s="159" t="s">
        <v>674</v>
      </c>
      <c r="B1" s="523" t="s">
        <v>269</v>
      </c>
      <c r="C1" s="523"/>
      <c r="D1" s="161" t="s">
        <v>1632</v>
      </c>
      <c r="E1" s="162"/>
      <c r="F1" s="238" t="s">
        <v>214</v>
      </c>
      <c r="G1" s="238"/>
      <c r="I1" s="515" t="s">
        <v>1629</v>
      </c>
    </row>
    <row r="2" customFormat="false" ht="18.75" hidden="false" customHeight="true" outlineLevel="0" collapsed="false">
      <c r="A2" s="159" t="s">
        <v>677</v>
      </c>
      <c r="B2" s="164" t="n">
        <v>1326</v>
      </c>
      <c r="C2" s="165" t="s">
        <v>214</v>
      </c>
      <c r="D2" s="159" t="s">
        <v>678</v>
      </c>
      <c r="E2" s="166" t="s">
        <v>1633</v>
      </c>
      <c r="F2" s="235"/>
      <c r="G2" s="235"/>
      <c r="I2" s="517" t="s">
        <v>1630</v>
      </c>
    </row>
    <row r="3" customFormat="false" ht="18.75" hidden="false" customHeight="true" outlineLevel="0" collapsed="false">
      <c r="A3" s="159" t="s">
        <v>680</v>
      </c>
      <c r="B3" s="168" t="n">
        <v>4523</v>
      </c>
      <c r="C3" s="169" t="s">
        <v>214</v>
      </c>
      <c r="D3" s="235"/>
      <c r="E3" s="235"/>
      <c r="F3" s="235"/>
      <c r="G3" s="170" t="s">
        <v>1634</v>
      </c>
      <c r="H3" s="192" t="s">
        <v>682</v>
      </c>
      <c r="I3" s="192"/>
    </row>
    <row r="4" s="235" customFormat="true" ht="18.75" hidden="false" customHeight="true" outlineLevel="0" collapsed="false">
      <c r="A4" s="173" t="s">
        <v>683</v>
      </c>
      <c r="B4" s="174" t="s">
        <v>684</v>
      </c>
      <c r="C4" s="175" t="s">
        <v>685</v>
      </c>
      <c r="D4" s="173" t="s">
        <v>683</v>
      </c>
      <c r="E4" s="174" t="s">
        <v>684</v>
      </c>
      <c r="F4" s="175" t="s">
        <v>685</v>
      </c>
      <c r="G4" s="247" t="s">
        <v>683</v>
      </c>
      <c r="H4" s="248" t="s">
        <v>684</v>
      </c>
      <c r="I4" s="249" t="s">
        <v>685</v>
      </c>
    </row>
    <row r="5" customFormat="false" ht="18.75" hidden="false" customHeight="true" outlineLevel="0" collapsed="false">
      <c r="A5" s="524" t="s">
        <v>214</v>
      </c>
      <c r="B5" s="525"/>
      <c r="C5" s="178" t="n">
        <v>1</v>
      </c>
      <c r="D5" s="526"/>
      <c r="E5" s="527"/>
      <c r="F5" s="178" t="n">
        <v>40</v>
      </c>
      <c r="G5" s="526"/>
      <c r="H5" s="527"/>
      <c r="I5" s="178" t="n">
        <v>79</v>
      </c>
    </row>
    <row r="6" customFormat="false" ht="18.75" hidden="false" customHeight="true" outlineLevel="0" collapsed="false">
      <c r="A6" s="528" t="s">
        <v>214</v>
      </c>
      <c r="B6" s="529"/>
      <c r="C6" s="183" t="n">
        <v>2</v>
      </c>
      <c r="D6" s="256"/>
      <c r="E6" s="257"/>
      <c r="F6" s="183" t="n">
        <v>41</v>
      </c>
      <c r="G6" s="264"/>
      <c r="H6" s="265"/>
      <c r="I6" s="191" t="n">
        <v>80</v>
      </c>
    </row>
    <row r="7" customFormat="false" ht="18.75" hidden="false" customHeight="true" outlineLevel="0" collapsed="false">
      <c r="A7" s="528" t="s">
        <v>214</v>
      </c>
      <c r="B7" s="530"/>
      <c r="C7" s="183" t="n">
        <v>3</v>
      </c>
      <c r="D7" s="181" t="s">
        <v>214</v>
      </c>
      <c r="E7" s="211"/>
      <c r="F7" s="183" t="n">
        <v>42</v>
      </c>
      <c r="G7" s="235"/>
      <c r="H7" s="235"/>
      <c r="I7" s="235"/>
    </row>
    <row r="8" customFormat="false" ht="18.75" hidden="false" customHeight="true" outlineLevel="0" collapsed="false">
      <c r="A8" s="528" t="s">
        <v>214</v>
      </c>
      <c r="B8" s="530"/>
      <c r="C8" s="183" t="n">
        <v>4</v>
      </c>
      <c r="D8" s="181" t="s">
        <v>214</v>
      </c>
      <c r="E8" s="211"/>
      <c r="F8" s="183" t="n">
        <v>43</v>
      </c>
      <c r="G8" s="235"/>
      <c r="H8" s="235"/>
      <c r="I8" s="235"/>
    </row>
    <row r="9" customFormat="false" ht="18.75" hidden="false" customHeight="true" outlineLevel="0" collapsed="false">
      <c r="A9" s="528" t="s">
        <v>214</v>
      </c>
      <c r="B9" s="530" t="s">
        <v>214</v>
      </c>
      <c r="C9" s="183" t="n">
        <v>5</v>
      </c>
      <c r="D9" s="181" t="s">
        <v>214</v>
      </c>
      <c r="E9" s="211"/>
      <c r="F9" s="183" t="n">
        <v>44</v>
      </c>
      <c r="G9" s="235"/>
      <c r="H9" s="235"/>
      <c r="I9" s="235"/>
    </row>
    <row r="10" customFormat="false" ht="18.75" hidden="false" customHeight="true" outlineLevel="0" collapsed="false">
      <c r="A10" s="528" t="s">
        <v>214</v>
      </c>
      <c r="B10" s="530"/>
      <c r="C10" s="183" t="n">
        <v>6</v>
      </c>
      <c r="D10" s="181" t="s">
        <v>214</v>
      </c>
      <c r="E10" s="211"/>
      <c r="F10" s="183" t="n">
        <v>45</v>
      </c>
      <c r="G10" s="235"/>
      <c r="H10" s="235"/>
      <c r="I10" s="235"/>
    </row>
    <row r="11" customFormat="false" ht="18.75" hidden="false" customHeight="true" outlineLevel="0" collapsed="false">
      <c r="A11" s="528" t="s">
        <v>214</v>
      </c>
      <c r="B11" s="530"/>
      <c r="C11" s="183" t="n">
        <v>7</v>
      </c>
      <c r="D11" s="181" t="s">
        <v>214</v>
      </c>
      <c r="E11" s="211"/>
      <c r="F11" s="183" t="n">
        <v>46</v>
      </c>
      <c r="G11" s="235"/>
      <c r="H11" s="235"/>
      <c r="I11" s="235"/>
    </row>
    <row r="12" customFormat="false" ht="18.75" hidden="false" customHeight="true" outlineLevel="0" collapsed="false">
      <c r="A12" s="528" t="s">
        <v>214</v>
      </c>
      <c r="B12" s="530"/>
      <c r="C12" s="183" t="n">
        <v>8</v>
      </c>
      <c r="D12" s="181" t="s">
        <v>214</v>
      </c>
      <c r="E12" s="211"/>
      <c r="F12" s="183" t="n">
        <v>47</v>
      </c>
      <c r="G12" s="235"/>
      <c r="H12" s="235"/>
      <c r="I12" s="235"/>
    </row>
    <row r="13" customFormat="false" ht="18.75" hidden="false" customHeight="true" outlineLevel="0" collapsed="false">
      <c r="A13" s="528" t="s">
        <v>214</v>
      </c>
      <c r="B13" s="530" t="s">
        <v>214</v>
      </c>
      <c r="C13" s="183" t="n">
        <v>9</v>
      </c>
      <c r="D13" s="181" t="s">
        <v>214</v>
      </c>
      <c r="E13" s="211"/>
      <c r="F13" s="183" t="n">
        <v>48</v>
      </c>
      <c r="G13" s="235"/>
      <c r="H13" s="235"/>
      <c r="I13" s="235"/>
    </row>
    <row r="14" customFormat="false" ht="18.75" hidden="false" customHeight="true" outlineLevel="0" collapsed="false">
      <c r="A14" s="528" t="s">
        <v>214</v>
      </c>
      <c r="B14" s="530"/>
      <c r="C14" s="188" t="n">
        <v>10</v>
      </c>
      <c r="D14" s="181"/>
      <c r="E14" s="186"/>
      <c r="F14" s="183" t="n">
        <v>49</v>
      </c>
      <c r="G14" s="235"/>
      <c r="H14" s="235"/>
      <c r="I14" s="235"/>
    </row>
    <row r="15" customFormat="false" ht="18.75" hidden="false" customHeight="true" outlineLevel="0" collapsed="false">
      <c r="A15" s="528" t="s">
        <v>214</v>
      </c>
      <c r="B15" s="530"/>
      <c r="C15" s="183" t="n">
        <v>11</v>
      </c>
      <c r="D15" s="181" t="s">
        <v>214</v>
      </c>
      <c r="E15" s="211"/>
      <c r="F15" s="183" t="n">
        <v>50</v>
      </c>
      <c r="G15" s="235"/>
      <c r="H15" s="235"/>
      <c r="I15" s="235"/>
    </row>
    <row r="16" customFormat="false" ht="18.75" hidden="false" customHeight="true" outlineLevel="0" collapsed="false">
      <c r="A16" s="528" t="s">
        <v>214</v>
      </c>
      <c r="B16" s="530"/>
      <c r="C16" s="183" t="n">
        <v>12</v>
      </c>
      <c r="D16" s="181" t="s">
        <v>214</v>
      </c>
      <c r="E16" s="211"/>
      <c r="F16" s="183" t="n">
        <v>51</v>
      </c>
      <c r="G16" s="235"/>
      <c r="H16" s="235"/>
      <c r="I16" s="235"/>
    </row>
    <row r="17" customFormat="false" ht="18.75" hidden="false" customHeight="true" outlineLevel="0" collapsed="false">
      <c r="A17" s="528" t="s">
        <v>214</v>
      </c>
      <c r="B17" s="530"/>
      <c r="C17" s="183" t="n">
        <v>13</v>
      </c>
      <c r="D17" s="181" t="s">
        <v>214</v>
      </c>
      <c r="E17" s="211"/>
      <c r="F17" s="183" t="n">
        <v>52</v>
      </c>
      <c r="G17" s="235"/>
      <c r="H17" s="235"/>
      <c r="I17" s="235"/>
    </row>
    <row r="18" customFormat="false" ht="18.75" hidden="false" customHeight="true" outlineLevel="0" collapsed="false">
      <c r="A18" s="528" t="s">
        <v>214</v>
      </c>
      <c r="B18" s="530"/>
      <c r="C18" s="183" t="n">
        <v>14</v>
      </c>
      <c r="D18" s="181" t="s">
        <v>214</v>
      </c>
      <c r="E18" s="211"/>
      <c r="F18" s="183" t="n">
        <v>53</v>
      </c>
      <c r="G18" s="235"/>
      <c r="H18" s="235"/>
      <c r="I18" s="235"/>
    </row>
    <row r="19" customFormat="false" ht="18.75" hidden="false" customHeight="true" outlineLevel="0" collapsed="false">
      <c r="A19" s="528" t="s">
        <v>214</v>
      </c>
      <c r="B19" s="530"/>
      <c r="C19" s="183" t="n">
        <v>15</v>
      </c>
      <c r="D19" s="181" t="s">
        <v>214</v>
      </c>
      <c r="E19" s="211"/>
      <c r="F19" s="183" t="n">
        <v>54</v>
      </c>
      <c r="G19" s="235"/>
      <c r="H19" s="235"/>
      <c r="I19" s="235"/>
    </row>
    <row r="20" customFormat="false" ht="18.75" hidden="false" customHeight="true" outlineLevel="0" collapsed="false">
      <c r="A20" s="528" t="s">
        <v>214</v>
      </c>
      <c r="B20" s="530"/>
      <c r="C20" s="183" t="n">
        <v>16</v>
      </c>
      <c r="D20" s="181" t="s">
        <v>214</v>
      </c>
      <c r="E20" s="211"/>
      <c r="F20" s="183" t="n">
        <v>55</v>
      </c>
      <c r="G20" s="235"/>
      <c r="H20" s="235"/>
      <c r="I20" s="235"/>
    </row>
    <row r="21" customFormat="false" ht="18.75" hidden="false" customHeight="true" outlineLevel="0" collapsed="false">
      <c r="A21" s="528" t="s">
        <v>214</v>
      </c>
      <c r="B21" s="530"/>
      <c r="C21" s="183" t="n">
        <v>17</v>
      </c>
      <c r="D21" s="181" t="s">
        <v>214</v>
      </c>
      <c r="E21" s="211"/>
      <c r="F21" s="183" t="n">
        <v>56</v>
      </c>
      <c r="G21" s="235"/>
      <c r="H21" s="235"/>
      <c r="I21" s="235"/>
    </row>
    <row r="22" customFormat="false" ht="18.75" hidden="false" customHeight="true" outlineLevel="0" collapsed="false">
      <c r="A22" s="528" t="s">
        <v>214</v>
      </c>
      <c r="B22" s="530"/>
      <c r="C22" s="183" t="n">
        <v>18</v>
      </c>
      <c r="D22" s="181"/>
      <c r="E22" s="186"/>
      <c r="F22" s="183" t="n">
        <v>57</v>
      </c>
      <c r="G22" s="235"/>
      <c r="H22" s="235"/>
      <c r="I22" s="235"/>
    </row>
    <row r="23" customFormat="false" ht="18.75" hidden="false" customHeight="true" outlineLevel="0" collapsed="false">
      <c r="A23" s="528" t="s">
        <v>214</v>
      </c>
      <c r="B23" s="530"/>
      <c r="C23" s="183" t="n">
        <v>19</v>
      </c>
      <c r="D23" s="181" t="s">
        <v>214</v>
      </c>
      <c r="E23" s="211"/>
      <c r="F23" s="183" t="n">
        <v>58</v>
      </c>
      <c r="G23" s="235"/>
      <c r="H23" s="235"/>
      <c r="I23" s="235"/>
    </row>
    <row r="24" customFormat="false" ht="18.75" hidden="false" customHeight="true" outlineLevel="0" collapsed="false">
      <c r="A24" s="528" t="s">
        <v>214</v>
      </c>
      <c r="B24" s="530"/>
      <c r="C24" s="188" t="n">
        <v>20</v>
      </c>
      <c r="D24" s="181" t="s">
        <v>214</v>
      </c>
      <c r="E24" s="211"/>
      <c r="F24" s="183" t="n">
        <v>59</v>
      </c>
      <c r="G24" s="235"/>
      <c r="H24" s="235"/>
      <c r="I24" s="235"/>
    </row>
    <row r="25" customFormat="false" ht="18.75" hidden="false" customHeight="true" outlineLevel="0" collapsed="false">
      <c r="A25" s="528" t="s">
        <v>214</v>
      </c>
      <c r="B25" s="530"/>
      <c r="C25" s="183" t="n">
        <v>21</v>
      </c>
      <c r="D25" s="181" t="s">
        <v>214</v>
      </c>
      <c r="E25" s="211"/>
      <c r="F25" s="183" t="n">
        <v>60</v>
      </c>
      <c r="G25" s="235"/>
      <c r="H25" s="235"/>
      <c r="I25" s="235"/>
    </row>
    <row r="26" customFormat="false" ht="18.75" hidden="false" customHeight="true" outlineLevel="0" collapsed="false">
      <c r="A26" s="528" t="s">
        <v>214</v>
      </c>
      <c r="B26" s="530"/>
      <c r="C26" s="183" t="n">
        <v>22</v>
      </c>
      <c r="D26" s="181" t="s">
        <v>214</v>
      </c>
      <c r="E26" s="211"/>
      <c r="F26" s="183" t="n">
        <v>61</v>
      </c>
      <c r="G26" s="235"/>
      <c r="H26" s="235"/>
      <c r="I26" s="235"/>
    </row>
    <row r="27" customFormat="false" ht="18.75" hidden="false" customHeight="true" outlineLevel="0" collapsed="false">
      <c r="A27" s="528" t="s">
        <v>214</v>
      </c>
      <c r="B27" s="530"/>
      <c r="C27" s="183" t="n">
        <v>23</v>
      </c>
      <c r="D27" s="181" t="s">
        <v>214</v>
      </c>
      <c r="E27" s="211"/>
      <c r="F27" s="183" t="n">
        <v>62</v>
      </c>
      <c r="G27" s="235"/>
      <c r="H27" s="235"/>
      <c r="I27" s="235"/>
    </row>
    <row r="28" customFormat="false" ht="18.75" hidden="false" customHeight="true" outlineLevel="0" collapsed="false">
      <c r="A28" s="528" t="s">
        <v>214</v>
      </c>
      <c r="B28" s="530"/>
      <c r="C28" s="183" t="n">
        <v>24</v>
      </c>
      <c r="D28" s="181" t="s">
        <v>214</v>
      </c>
      <c r="E28" s="211"/>
      <c r="F28" s="183" t="n">
        <v>63</v>
      </c>
      <c r="G28" s="235"/>
      <c r="H28" s="235"/>
      <c r="I28" s="235"/>
    </row>
    <row r="29" customFormat="false" ht="18.75" hidden="false" customHeight="true" outlineLevel="0" collapsed="false">
      <c r="A29" s="528" t="s">
        <v>214</v>
      </c>
      <c r="B29" s="530"/>
      <c r="C29" s="183" t="n">
        <v>25</v>
      </c>
      <c r="D29" s="181" t="s">
        <v>214</v>
      </c>
      <c r="E29" s="211"/>
      <c r="F29" s="183" t="n">
        <v>64</v>
      </c>
      <c r="G29" s="235"/>
      <c r="H29" s="235"/>
      <c r="I29" s="235"/>
    </row>
    <row r="30" customFormat="false" ht="18.75" hidden="false" customHeight="true" outlineLevel="0" collapsed="false">
      <c r="A30" s="528" t="s">
        <v>214</v>
      </c>
      <c r="B30" s="530"/>
      <c r="C30" s="183" t="n">
        <v>26</v>
      </c>
      <c r="D30" s="181"/>
      <c r="E30" s="186"/>
      <c r="F30" s="183" t="n">
        <v>65</v>
      </c>
      <c r="G30" s="235"/>
      <c r="H30" s="235"/>
      <c r="I30" s="235"/>
    </row>
    <row r="31" customFormat="false" ht="18.75" hidden="false" customHeight="true" outlineLevel="0" collapsed="false">
      <c r="A31" s="528" t="s">
        <v>214</v>
      </c>
      <c r="B31" s="530" t="s">
        <v>214</v>
      </c>
      <c r="C31" s="183" t="n">
        <v>27</v>
      </c>
      <c r="D31" s="181" t="s">
        <v>214</v>
      </c>
      <c r="E31" s="211"/>
      <c r="F31" s="183" t="n">
        <v>66</v>
      </c>
      <c r="G31" s="235"/>
      <c r="H31" s="235"/>
      <c r="I31" s="235"/>
    </row>
    <row r="32" customFormat="false" ht="18.75" hidden="false" customHeight="true" outlineLevel="0" collapsed="false">
      <c r="A32" s="528" t="s">
        <v>214</v>
      </c>
      <c r="B32" s="530"/>
      <c r="C32" s="183" t="n">
        <v>28</v>
      </c>
      <c r="D32" s="181" t="s">
        <v>214</v>
      </c>
      <c r="E32" s="211"/>
      <c r="F32" s="183" t="n">
        <v>67</v>
      </c>
      <c r="G32" s="235"/>
      <c r="H32" s="235"/>
      <c r="I32" s="235"/>
    </row>
    <row r="33" customFormat="false" ht="18.75" hidden="false" customHeight="true" outlineLevel="0" collapsed="false">
      <c r="A33" s="528" t="s">
        <v>214</v>
      </c>
      <c r="B33" s="530"/>
      <c r="C33" s="183" t="n">
        <v>29</v>
      </c>
      <c r="D33" s="181" t="s">
        <v>214</v>
      </c>
      <c r="E33" s="211"/>
      <c r="F33" s="183" t="n">
        <v>68</v>
      </c>
      <c r="G33" s="235"/>
      <c r="H33" s="235"/>
      <c r="I33" s="235"/>
    </row>
    <row r="34" customFormat="false" ht="18.75" hidden="false" customHeight="true" outlineLevel="0" collapsed="false">
      <c r="A34" s="528" t="s">
        <v>214</v>
      </c>
      <c r="B34" s="530"/>
      <c r="C34" s="188" t="n">
        <v>30</v>
      </c>
      <c r="D34" s="181" t="s">
        <v>214</v>
      </c>
      <c r="E34" s="211"/>
      <c r="F34" s="183" t="n">
        <v>69</v>
      </c>
      <c r="G34" s="235"/>
      <c r="H34" s="235"/>
      <c r="I34" s="235"/>
    </row>
    <row r="35" customFormat="false" ht="18.75" hidden="false" customHeight="true" outlineLevel="0" collapsed="false">
      <c r="A35" s="528" t="s">
        <v>214</v>
      </c>
      <c r="B35" s="530"/>
      <c r="C35" s="183" t="n">
        <v>31</v>
      </c>
      <c r="D35" s="181" t="s">
        <v>214</v>
      </c>
      <c r="E35" s="211"/>
      <c r="F35" s="183" t="n">
        <v>70</v>
      </c>
      <c r="G35" s="235"/>
      <c r="H35" s="235"/>
      <c r="I35" s="235"/>
    </row>
    <row r="36" customFormat="false" ht="18.75" hidden="false" customHeight="true" outlineLevel="0" collapsed="false">
      <c r="A36" s="528" t="s">
        <v>214</v>
      </c>
      <c r="B36" s="530"/>
      <c r="C36" s="183" t="n">
        <v>32</v>
      </c>
      <c r="D36" s="181" t="s">
        <v>214</v>
      </c>
      <c r="E36" s="211"/>
      <c r="F36" s="183" t="n">
        <v>71</v>
      </c>
      <c r="G36" s="235"/>
      <c r="H36" s="235"/>
      <c r="I36" s="235"/>
    </row>
    <row r="37" customFormat="false" ht="18.75" hidden="false" customHeight="true" outlineLevel="0" collapsed="false">
      <c r="A37" s="528" t="s">
        <v>214</v>
      </c>
      <c r="B37" s="530"/>
      <c r="C37" s="183" t="n">
        <v>33</v>
      </c>
      <c r="D37" s="181" t="s">
        <v>214</v>
      </c>
      <c r="E37" s="211"/>
      <c r="F37" s="183" t="n">
        <v>72</v>
      </c>
      <c r="G37" s="235"/>
      <c r="H37" s="235"/>
      <c r="I37" s="235"/>
    </row>
    <row r="38" customFormat="false" ht="18.75" hidden="false" customHeight="true" outlineLevel="0" collapsed="false">
      <c r="A38" s="528"/>
      <c r="B38" s="530"/>
      <c r="C38" s="183" t="n">
        <v>34</v>
      </c>
      <c r="D38" s="181"/>
      <c r="E38" s="186"/>
      <c r="F38" s="183" t="n">
        <v>73</v>
      </c>
      <c r="G38" s="235"/>
      <c r="H38" s="235"/>
      <c r="I38" s="235"/>
    </row>
    <row r="39" customFormat="false" ht="18.75" hidden="false" customHeight="true" outlineLevel="0" collapsed="false">
      <c r="A39" s="528"/>
      <c r="B39" s="530"/>
      <c r="C39" s="183" t="n">
        <v>35</v>
      </c>
      <c r="D39" s="181" t="s">
        <v>214</v>
      </c>
      <c r="E39" s="211"/>
      <c r="F39" s="183" t="n">
        <v>74</v>
      </c>
      <c r="G39" s="235"/>
      <c r="H39" s="235"/>
      <c r="I39" s="235"/>
    </row>
    <row r="40" customFormat="false" ht="18.75" hidden="false" customHeight="true" outlineLevel="0" collapsed="false">
      <c r="A40" s="528" t="s">
        <v>214</v>
      </c>
      <c r="B40" s="530"/>
      <c r="C40" s="183" t="n">
        <v>36</v>
      </c>
      <c r="D40" s="181" t="s">
        <v>214</v>
      </c>
      <c r="E40" s="211"/>
      <c r="F40" s="183" t="n">
        <v>75</v>
      </c>
      <c r="G40" s="235"/>
      <c r="H40" s="235"/>
      <c r="I40" s="235"/>
    </row>
    <row r="41" customFormat="false" ht="18.75" hidden="false" customHeight="true" outlineLevel="0" collapsed="false">
      <c r="A41" s="528" t="s">
        <v>214</v>
      </c>
      <c r="B41" s="530"/>
      <c r="C41" s="183" t="n">
        <v>37</v>
      </c>
      <c r="D41" s="181" t="s">
        <v>214</v>
      </c>
      <c r="E41" s="211"/>
      <c r="F41" s="183" t="n">
        <v>76</v>
      </c>
      <c r="G41" s="531"/>
      <c r="H41" s="521"/>
      <c r="I41" s="515" t="s">
        <v>1629</v>
      </c>
    </row>
    <row r="42" customFormat="false" ht="18.75" hidden="false" customHeight="true" outlineLevel="0" collapsed="false">
      <c r="A42" s="532" t="s">
        <v>214</v>
      </c>
      <c r="B42" s="533"/>
      <c r="C42" s="183" t="n">
        <v>38</v>
      </c>
      <c r="D42" s="181" t="s">
        <v>214</v>
      </c>
      <c r="E42" s="211"/>
      <c r="F42" s="183" t="n">
        <v>77</v>
      </c>
      <c r="G42" s="521"/>
      <c r="H42" s="521"/>
      <c r="I42" s="517" t="s">
        <v>1630</v>
      </c>
    </row>
    <row r="43" customFormat="false" ht="18.75" hidden="false" customHeight="true" outlineLevel="0" collapsed="false">
      <c r="A43" s="534" t="s">
        <v>214</v>
      </c>
      <c r="B43" s="535"/>
      <c r="C43" s="191" t="n">
        <v>39</v>
      </c>
      <c r="D43" s="189" t="s">
        <v>214</v>
      </c>
      <c r="E43" s="520"/>
      <c r="F43" s="191" t="n">
        <v>78</v>
      </c>
      <c r="G43" s="170" t="s">
        <v>1634</v>
      </c>
      <c r="H43" s="536" t="s">
        <v>682</v>
      </c>
      <c r="I43" s="536"/>
    </row>
  </sheetData>
  <mergeCells count="3">
    <mergeCell ref="B1:C1"/>
    <mergeCell ref="H3:I3"/>
    <mergeCell ref="H43:I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11.00390625" defaultRowHeight="14.25" customHeight="false" zeroHeight="false" outlineLevelRow="0" outlineLevelCol="0"/>
  <sheetData>
    <row r="1" customFormat="false" ht="19.5" hidden="false" customHeight="true" outlineLevel="0" collapsed="false">
      <c r="A1" s="537" t="s">
        <v>674</v>
      </c>
      <c r="B1" s="538" t="s">
        <v>1083</v>
      </c>
      <c r="C1" s="538"/>
      <c r="D1" s="539" t="s">
        <v>1635</v>
      </c>
      <c r="E1" s="540"/>
      <c r="F1" s="121" t="s">
        <v>214</v>
      </c>
      <c r="G1" s="121"/>
      <c r="I1" s="515" t="s">
        <v>1629</v>
      </c>
    </row>
    <row r="2" customFormat="false" ht="19.5" hidden="false" customHeight="true" outlineLevel="0" collapsed="false">
      <c r="A2" s="537" t="s">
        <v>677</v>
      </c>
      <c r="B2" s="541" t="n">
        <v>838</v>
      </c>
      <c r="C2" s="542" t="s">
        <v>214</v>
      </c>
      <c r="D2" s="537" t="s">
        <v>678</v>
      </c>
      <c r="E2" s="543" t="n">
        <v>43742</v>
      </c>
      <c r="I2" s="517" t="s">
        <v>1630</v>
      </c>
    </row>
    <row r="3" customFormat="false" ht="19.5" hidden="false" customHeight="true" outlineLevel="0" collapsed="false">
      <c r="A3" s="537" t="s">
        <v>680</v>
      </c>
      <c r="B3" s="544" t="n">
        <v>1856</v>
      </c>
      <c r="C3" s="545" t="s">
        <v>214</v>
      </c>
      <c r="G3" s="546" t="s">
        <v>1636</v>
      </c>
      <c r="H3" s="547" t="s">
        <v>682</v>
      </c>
      <c r="I3" s="547"/>
    </row>
    <row r="4" customFormat="false" ht="19.5" hidden="false" customHeight="true" outlineLevel="0" collapsed="false">
      <c r="A4" s="548" t="s">
        <v>683</v>
      </c>
      <c r="B4" s="549" t="s">
        <v>684</v>
      </c>
      <c r="C4" s="550" t="s">
        <v>685</v>
      </c>
      <c r="D4" s="548" t="s">
        <v>683</v>
      </c>
      <c r="E4" s="549" t="s">
        <v>684</v>
      </c>
      <c r="F4" s="550" t="s">
        <v>685</v>
      </c>
      <c r="G4" s="551" t="s">
        <v>683</v>
      </c>
      <c r="H4" s="552" t="s">
        <v>684</v>
      </c>
      <c r="I4" s="553" t="s">
        <v>685</v>
      </c>
    </row>
    <row r="5" customFormat="false" ht="19.5" hidden="false" customHeight="true" outlineLevel="0" collapsed="false">
      <c r="A5" s="524" t="s">
        <v>214</v>
      </c>
      <c r="B5" s="525"/>
      <c r="C5" s="554" t="n">
        <v>1</v>
      </c>
      <c r="D5" s="524" t="s">
        <v>214</v>
      </c>
      <c r="E5" s="555"/>
      <c r="F5" s="554" t="n">
        <v>38</v>
      </c>
      <c r="G5" s="556"/>
      <c r="H5" s="557"/>
      <c r="I5" s="554" t="n">
        <v>75</v>
      </c>
    </row>
    <row r="6" customFormat="false" ht="19.5" hidden="false" customHeight="true" outlineLevel="0" collapsed="false">
      <c r="A6" s="528" t="s">
        <v>214</v>
      </c>
      <c r="B6" s="529"/>
      <c r="C6" s="558" t="n">
        <v>2</v>
      </c>
      <c r="D6" s="528" t="s">
        <v>214</v>
      </c>
      <c r="E6" s="559"/>
      <c r="F6" s="558" t="n">
        <v>39</v>
      </c>
      <c r="G6" s="560"/>
      <c r="H6" s="561"/>
      <c r="I6" s="558" t="n">
        <v>76</v>
      </c>
    </row>
    <row r="7" customFormat="false" ht="19.5" hidden="false" customHeight="true" outlineLevel="0" collapsed="false">
      <c r="A7" s="528" t="s">
        <v>214</v>
      </c>
      <c r="B7" s="530"/>
      <c r="C7" s="558" t="n">
        <v>3</v>
      </c>
      <c r="D7" s="528" t="s">
        <v>214</v>
      </c>
      <c r="E7" s="559"/>
      <c r="F7" s="558" t="n">
        <v>40</v>
      </c>
      <c r="G7" s="560"/>
      <c r="H7" s="561"/>
      <c r="I7" s="558" t="n">
        <v>77</v>
      </c>
    </row>
    <row r="8" customFormat="false" ht="19.5" hidden="false" customHeight="true" outlineLevel="0" collapsed="false">
      <c r="A8" s="528" t="s">
        <v>214</v>
      </c>
      <c r="B8" s="530"/>
      <c r="C8" s="558" t="n">
        <v>4</v>
      </c>
      <c r="D8" s="528" t="s">
        <v>214</v>
      </c>
      <c r="E8" s="559"/>
      <c r="F8" s="558" t="n">
        <v>41</v>
      </c>
      <c r="G8" s="560"/>
      <c r="H8" s="561"/>
      <c r="I8" s="558" t="n">
        <v>78</v>
      </c>
    </row>
    <row r="9" customFormat="false" ht="19.5" hidden="false" customHeight="true" outlineLevel="0" collapsed="false">
      <c r="A9" s="528" t="s">
        <v>214</v>
      </c>
      <c r="B9" s="530" t="s">
        <v>214</v>
      </c>
      <c r="C9" s="558" t="n">
        <v>5</v>
      </c>
      <c r="D9" s="528" t="s">
        <v>214</v>
      </c>
      <c r="E9" s="559"/>
      <c r="F9" s="558" t="n">
        <v>42</v>
      </c>
      <c r="G9" s="560"/>
      <c r="H9" s="561"/>
      <c r="I9" s="558" t="n">
        <v>79</v>
      </c>
    </row>
    <row r="10" customFormat="false" ht="19.5" hidden="false" customHeight="true" outlineLevel="0" collapsed="false">
      <c r="A10" s="528" t="s">
        <v>214</v>
      </c>
      <c r="B10" s="530"/>
      <c r="C10" s="558" t="n">
        <v>6</v>
      </c>
      <c r="D10" s="528" t="s">
        <v>214</v>
      </c>
      <c r="E10" s="559"/>
      <c r="F10" s="558" t="n">
        <v>43</v>
      </c>
      <c r="G10" s="560"/>
      <c r="H10" s="561"/>
      <c r="I10" s="558" t="n">
        <v>80</v>
      </c>
    </row>
    <row r="11" customFormat="false" ht="19.5" hidden="false" customHeight="true" outlineLevel="0" collapsed="false">
      <c r="A11" s="528" t="s">
        <v>214</v>
      </c>
      <c r="B11" s="530"/>
      <c r="C11" s="558" t="n">
        <v>7</v>
      </c>
      <c r="D11" s="528" t="s">
        <v>214</v>
      </c>
      <c r="E11" s="559"/>
      <c r="F11" s="558" t="n">
        <v>44</v>
      </c>
      <c r="G11" s="560"/>
      <c r="H11" s="561"/>
      <c r="I11" s="558" t="n">
        <v>81</v>
      </c>
    </row>
    <row r="12" customFormat="false" ht="19.5" hidden="false" customHeight="true" outlineLevel="0" collapsed="false">
      <c r="A12" s="528" t="s">
        <v>214</v>
      </c>
      <c r="B12" s="530"/>
      <c r="C12" s="558" t="n">
        <v>8</v>
      </c>
      <c r="D12" s="528" t="s">
        <v>214</v>
      </c>
      <c r="E12" s="559"/>
      <c r="F12" s="558" t="n">
        <v>45</v>
      </c>
      <c r="G12" s="560"/>
      <c r="H12" s="561"/>
      <c r="I12" s="558" t="n">
        <v>82</v>
      </c>
    </row>
    <row r="13" customFormat="false" ht="19.5" hidden="false" customHeight="true" outlineLevel="0" collapsed="false">
      <c r="A13" s="528" t="s">
        <v>214</v>
      </c>
      <c r="B13" s="530" t="s">
        <v>214</v>
      </c>
      <c r="C13" s="558" t="n">
        <v>9</v>
      </c>
      <c r="D13" s="528" t="s">
        <v>214</v>
      </c>
      <c r="E13" s="559"/>
      <c r="F13" s="558" t="n">
        <v>46</v>
      </c>
      <c r="G13" s="560"/>
      <c r="H13" s="561"/>
      <c r="I13" s="558" t="n">
        <v>83</v>
      </c>
    </row>
    <row r="14" customFormat="false" ht="19.5" hidden="false" customHeight="true" outlineLevel="0" collapsed="false">
      <c r="A14" s="528" t="s">
        <v>214</v>
      </c>
      <c r="B14" s="530"/>
      <c r="C14" s="558" t="n">
        <v>10</v>
      </c>
      <c r="D14" s="528"/>
      <c r="E14" s="530"/>
      <c r="F14" s="558" t="n">
        <v>47</v>
      </c>
      <c r="G14" s="560"/>
      <c r="H14" s="561"/>
      <c r="I14" s="558" t="n">
        <v>84</v>
      </c>
    </row>
    <row r="15" customFormat="false" ht="19.5" hidden="false" customHeight="true" outlineLevel="0" collapsed="false">
      <c r="A15" s="528" t="s">
        <v>214</v>
      </c>
      <c r="B15" s="530"/>
      <c r="C15" s="558" t="n">
        <v>11</v>
      </c>
      <c r="D15" s="528" t="s">
        <v>214</v>
      </c>
      <c r="E15" s="559"/>
      <c r="F15" s="558" t="n">
        <v>48</v>
      </c>
      <c r="G15" s="560"/>
      <c r="H15" s="561"/>
      <c r="I15" s="558" t="n">
        <v>85</v>
      </c>
    </row>
    <row r="16" customFormat="false" ht="19.5" hidden="false" customHeight="true" outlineLevel="0" collapsed="false">
      <c r="A16" s="528" t="s">
        <v>214</v>
      </c>
      <c r="B16" s="530"/>
      <c r="C16" s="558" t="n">
        <v>12</v>
      </c>
      <c r="D16" s="528" t="s">
        <v>214</v>
      </c>
      <c r="E16" s="559"/>
      <c r="F16" s="558" t="n">
        <v>49</v>
      </c>
      <c r="G16" s="560"/>
      <c r="H16" s="561"/>
      <c r="I16" s="558" t="n">
        <v>86</v>
      </c>
    </row>
    <row r="17" customFormat="false" ht="19.5" hidden="false" customHeight="true" outlineLevel="0" collapsed="false">
      <c r="A17" s="528" t="s">
        <v>214</v>
      </c>
      <c r="B17" s="530"/>
      <c r="C17" s="558" t="n">
        <v>13</v>
      </c>
      <c r="D17" s="528" t="s">
        <v>214</v>
      </c>
      <c r="E17" s="559"/>
      <c r="F17" s="558" t="n">
        <v>50</v>
      </c>
      <c r="G17" s="560"/>
      <c r="H17" s="561"/>
      <c r="I17" s="558" t="n">
        <v>87</v>
      </c>
    </row>
    <row r="18" customFormat="false" ht="19.5" hidden="false" customHeight="true" outlineLevel="0" collapsed="false">
      <c r="A18" s="528" t="s">
        <v>214</v>
      </c>
      <c r="B18" s="530"/>
      <c r="C18" s="558" t="n">
        <v>14</v>
      </c>
      <c r="D18" s="528" t="s">
        <v>214</v>
      </c>
      <c r="E18" s="559"/>
      <c r="F18" s="558" t="n">
        <v>51</v>
      </c>
      <c r="G18" s="560"/>
      <c r="H18" s="561"/>
      <c r="I18" s="558" t="n">
        <v>88</v>
      </c>
    </row>
    <row r="19" customFormat="false" ht="19.5" hidden="false" customHeight="true" outlineLevel="0" collapsed="false">
      <c r="A19" s="528" t="s">
        <v>214</v>
      </c>
      <c r="B19" s="530"/>
      <c r="C19" s="558" t="n">
        <v>15</v>
      </c>
      <c r="D19" s="528" t="s">
        <v>214</v>
      </c>
      <c r="E19" s="559"/>
      <c r="F19" s="558" t="n">
        <v>52</v>
      </c>
      <c r="G19" s="560"/>
      <c r="H19" s="561"/>
      <c r="I19" s="558" t="n">
        <v>89</v>
      </c>
    </row>
    <row r="20" customFormat="false" ht="19.5" hidden="false" customHeight="true" outlineLevel="0" collapsed="false">
      <c r="A20" s="528" t="s">
        <v>214</v>
      </c>
      <c r="B20" s="530"/>
      <c r="C20" s="558" t="n">
        <v>16</v>
      </c>
      <c r="D20" s="528" t="s">
        <v>214</v>
      </c>
      <c r="E20" s="559"/>
      <c r="F20" s="558" t="n">
        <v>53</v>
      </c>
      <c r="G20" s="560"/>
      <c r="H20" s="561"/>
      <c r="I20" s="558" t="n">
        <v>90</v>
      </c>
    </row>
    <row r="21" customFormat="false" ht="19.5" hidden="false" customHeight="true" outlineLevel="0" collapsed="false">
      <c r="A21" s="528" t="s">
        <v>214</v>
      </c>
      <c r="B21" s="530"/>
      <c r="C21" s="558" t="n">
        <v>17</v>
      </c>
      <c r="D21" s="528" t="s">
        <v>214</v>
      </c>
      <c r="E21" s="559"/>
      <c r="F21" s="558" t="n">
        <v>54</v>
      </c>
      <c r="G21" s="562"/>
      <c r="H21" s="563"/>
      <c r="I21" s="564" t="n">
        <v>91</v>
      </c>
    </row>
    <row r="22" customFormat="false" ht="19.5" hidden="false" customHeight="true" outlineLevel="0" collapsed="false">
      <c r="A22" s="528" t="s">
        <v>214</v>
      </c>
      <c r="B22" s="530"/>
      <c r="C22" s="558" t="n">
        <v>18</v>
      </c>
      <c r="D22" s="528"/>
      <c r="E22" s="530"/>
      <c r="F22" s="558" t="n">
        <v>55</v>
      </c>
      <c r="G22" s="562"/>
      <c r="H22" s="563"/>
      <c r="I22" s="564" t="n">
        <v>92</v>
      </c>
    </row>
    <row r="23" customFormat="false" ht="19.5" hidden="false" customHeight="true" outlineLevel="0" collapsed="false">
      <c r="A23" s="528" t="s">
        <v>214</v>
      </c>
      <c r="B23" s="530"/>
      <c r="C23" s="558" t="n">
        <v>19</v>
      </c>
      <c r="D23" s="528" t="s">
        <v>214</v>
      </c>
      <c r="E23" s="559"/>
      <c r="F23" s="558" t="n">
        <v>56</v>
      </c>
      <c r="G23" s="562"/>
      <c r="H23" s="563"/>
      <c r="I23" s="564" t="n">
        <v>93</v>
      </c>
    </row>
    <row r="24" customFormat="false" ht="19.5" hidden="false" customHeight="true" outlineLevel="0" collapsed="false">
      <c r="A24" s="528" t="s">
        <v>214</v>
      </c>
      <c r="B24" s="530"/>
      <c r="C24" s="558" t="n">
        <v>20</v>
      </c>
      <c r="D24" s="528" t="s">
        <v>214</v>
      </c>
      <c r="E24" s="559"/>
      <c r="F24" s="558" t="n">
        <v>57</v>
      </c>
      <c r="G24" s="562"/>
      <c r="H24" s="563"/>
      <c r="I24" s="564" t="n">
        <v>94</v>
      </c>
    </row>
    <row r="25" customFormat="false" ht="19.5" hidden="false" customHeight="true" outlineLevel="0" collapsed="false">
      <c r="A25" s="528" t="s">
        <v>214</v>
      </c>
      <c r="B25" s="530"/>
      <c r="C25" s="558" t="n">
        <v>21</v>
      </c>
      <c r="D25" s="528" t="s">
        <v>214</v>
      </c>
      <c r="E25" s="559"/>
      <c r="F25" s="558" t="n">
        <v>58</v>
      </c>
      <c r="G25" s="565"/>
      <c r="H25" s="566"/>
      <c r="I25" s="567" t="n">
        <v>95</v>
      </c>
    </row>
    <row r="26" customFormat="false" ht="19.5" hidden="false" customHeight="true" outlineLevel="0" collapsed="false">
      <c r="A26" s="528" t="s">
        <v>214</v>
      </c>
      <c r="B26" s="530"/>
      <c r="C26" s="558" t="n">
        <v>22</v>
      </c>
      <c r="D26" s="528" t="s">
        <v>214</v>
      </c>
      <c r="E26" s="559"/>
      <c r="F26" s="558" t="n">
        <v>59</v>
      </c>
    </row>
    <row r="27" customFormat="false" ht="19.5" hidden="false" customHeight="true" outlineLevel="0" collapsed="false">
      <c r="A27" s="528" t="s">
        <v>214</v>
      </c>
      <c r="B27" s="530"/>
      <c r="C27" s="558" t="n">
        <v>23</v>
      </c>
      <c r="D27" s="528" t="s">
        <v>214</v>
      </c>
      <c r="E27" s="559"/>
      <c r="F27" s="558" t="n">
        <v>60</v>
      </c>
    </row>
    <row r="28" customFormat="false" ht="19.5" hidden="false" customHeight="true" outlineLevel="0" collapsed="false">
      <c r="A28" s="528" t="s">
        <v>214</v>
      </c>
      <c r="B28" s="530"/>
      <c r="C28" s="558" t="n">
        <v>24</v>
      </c>
      <c r="D28" s="528" t="s">
        <v>214</v>
      </c>
      <c r="E28" s="559"/>
      <c r="F28" s="558" t="n">
        <v>61</v>
      </c>
    </row>
    <row r="29" customFormat="false" ht="19.5" hidden="false" customHeight="true" outlineLevel="0" collapsed="false">
      <c r="A29" s="528" t="s">
        <v>214</v>
      </c>
      <c r="B29" s="530"/>
      <c r="C29" s="558" t="n">
        <v>25</v>
      </c>
      <c r="D29" s="528" t="s">
        <v>214</v>
      </c>
      <c r="E29" s="559"/>
      <c r="F29" s="558" t="n">
        <v>62</v>
      </c>
    </row>
    <row r="30" customFormat="false" ht="19.5" hidden="false" customHeight="true" outlineLevel="0" collapsed="false">
      <c r="A30" s="528" t="s">
        <v>214</v>
      </c>
      <c r="B30" s="530"/>
      <c r="C30" s="558" t="n">
        <v>26</v>
      </c>
      <c r="D30" s="528"/>
      <c r="E30" s="530"/>
      <c r="F30" s="558" t="n">
        <v>63</v>
      </c>
    </row>
    <row r="31" customFormat="false" ht="19.5" hidden="false" customHeight="true" outlineLevel="0" collapsed="false">
      <c r="A31" s="528" t="s">
        <v>214</v>
      </c>
      <c r="B31" s="530" t="s">
        <v>214</v>
      </c>
      <c r="C31" s="558" t="n">
        <v>27</v>
      </c>
      <c r="D31" s="528" t="s">
        <v>214</v>
      </c>
      <c r="E31" s="559"/>
      <c r="F31" s="558" t="n">
        <v>64</v>
      </c>
    </row>
    <row r="32" customFormat="false" ht="19.5" hidden="false" customHeight="true" outlineLevel="0" collapsed="false">
      <c r="A32" s="528" t="s">
        <v>214</v>
      </c>
      <c r="B32" s="530"/>
      <c r="C32" s="558" t="n">
        <v>28</v>
      </c>
      <c r="D32" s="528" t="s">
        <v>214</v>
      </c>
      <c r="E32" s="559"/>
      <c r="F32" s="558" t="n">
        <v>65</v>
      </c>
    </row>
    <row r="33" customFormat="false" ht="19.5" hidden="false" customHeight="true" outlineLevel="0" collapsed="false">
      <c r="A33" s="528" t="s">
        <v>214</v>
      </c>
      <c r="B33" s="530"/>
      <c r="C33" s="558" t="n">
        <v>29</v>
      </c>
      <c r="D33" s="528" t="s">
        <v>214</v>
      </c>
      <c r="E33" s="559"/>
      <c r="F33" s="558" t="n">
        <v>66</v>
      </c>
    </row>
    <row r="34" customFormat="false" ht="19.5" hidden="false" customHeight="true" outlineLevel="0" collapsed="false">
      <c r="A34" s="528" t="s">
        <v>214</v>
      </c>
      <c r="B34" s="530"/>
      <c r="C34" s="558" t="n">
        <v>30</v>
      </c>
      <c r="D34" s="528" t="s">
        <v>214</v>
      </c>
      <c r="E34" s="559"/>
      <c r="F34" s="558" t="n">
        <v>67</v>
      </c>
    </row>
    <row r="35" customFormat="false" ht="19.5" hidden="false" customHeight="true" outlineLevel="0" collapsed="false">
      <c r="A35" s="528" t="s">
        <v>214</v>
      </c>
      <c r="B35" s="530"/>
      <c r="C35" s="558" t="n">
        <v>31</v>
      </c>
      <c r="D35" s="528" t="s">
        <v>214</v>
      </c>
      <c r="E35" s="559"/>
      <c r="F35" s="558" t="n">
        <v>68</v>
      </c>
    </row>
    <row r="36" customFormat="false" ht="19.5" hidden="false" customHeight="true" outlineLevel="0" collapsed="false">
      <c r="A36" s="528" t="s">
        <v>214</v>
      </c>
      <c r="B36" s="530"/>
      <c r="C36" s="558" t="n">
        <v>32</v>
      </c>
      <c r="D36" s="528" t="s">
        <v>214</v>
      </c>
      <c r="E36" s="559"/>
      <c r="F36" s="558" t="n">
        <v>69</v>
      </c>
    </row>
    <row r="37" customFormat="false" ht="19.5" hidden="false" customHeight="true" outlineLevel="0" collapsed="false">
      <c r="A37" s="528" t="s">
        <v>214</v>
      </c>
      <c r="B37" s="530"/>
      <c r="C37" s="558" t="n">
        <v>33</v>
      </c>
      <c r="D37" s="528" t="s">
        <v>214</v>
      </c>
      <c r="E37" s="559"/>
      <c r="F37" s="558" t="n">
        <v>70</v>
      </c>
    </row>
    <row r="38" customFormat="false" ht="19.5" hidden="false" customHeight="true" outlineLevel="0" collapsed="false">
      <c r="A38" s="528"/>
      <c r="B38" s="530"/>
      <c r="C38" s="558" t="n">
        <v>34</v>
      </c>
      <c r="D38" s="528"/>
      <c r="E38" s="530"/>
      <c r="F38" s="558" t="n">
        <v>71</v>
      </c>
    </row>
    <row r="39" customFormat="false" ht="19.5" hidden="false" customHeight="true" outlineLevel="0" collapsed="false">
      <c r="A39" s="528"/>
      <c r="B39" s="530"/>
      <c r="C39" s="558" t="n">
        <v>35</v>
      </c>
      <c r="D39" s="528" t="s">
        <v>214</v>
      </c>
      <c r="E39" s="559"/>
      <c r="F39" s="558" t="n">
        <v>72</v>
      </c>
      <c r="G39" s="121"/>
      <c r="I39" s="515" t="s">
        <v>1629</v>
      </c>
    </row>
    <row r="40" customFormat="false" ht="19.5" hidden="false" customHeight="true" outlineLevel="0" collapsed="false">
      <c r="A40" s="528" t="s">
        <v>214</v>
      </c>
      <c r="B40" s="530"/>
      <c r="C40" s="558" t="n">
        <v>36</v>
      </c>
      <c r="D40" s="528" t="s">
        <v>214</v>
      </c>
      <c r="E40" s="559"/>
      <c r="F40" s="558" t="n">
        <v>73</v>
      </c>
      <c r="I40" s="517" t="s">
        <v>1630</v>
      </c>
    </row>
    <row r="41" customFormat="false" ht="19.5" hidden="false" customHeight="true" outlineLevel="0" collapsed="false">
      <c r="A41" s="534" t="s">
        <v>214</v>
      </c>
      <c r="B41" s="535"/>
      <c r="C41" s="568" t="n">
        <v>37</v>
      </c>
      <c r="D41" s="534" t="s">
        <v>214</v>
      </c>
      <c r="E41" s="569"/>
      <c r="F41" s="568" t="n">
        <v>74</v>
      </c>
      <c r="G41" s="546" t="s">
        <v>1636</v>
      </c>
      <c r="H41" s="547" t="s">
        <v>682</v>
      </c>
      <c r="I41" s="547"/>
    </row>
  </sheetData>
  <mergeCells count="3">
    <mergeCell ref="B1:C1"/>
    <mergeCell ref="H3:I3"/>
    <mergeCell ref="H41:I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7" activeCellId="0" sqref="J17"/>
    </sheetView>
  </sheetViews>
  <sheetFormatPr defaultColWidth="10.6796875" defaultRowHeight="14.25" customHeight="false" zeroHeight="false" outlineLevelRow="0" outlineLevelCol="0"/>
  <sheetData>
    <row r="1" customFormat="false" ht="17.9" hidden="false" customHeight="false" outlineLevel="0" collapsed="false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10" t="s">
        <v>8</v>
      </c>
      <c r="J1" s="7" t="s">
        <v>9</v>
      </c>
      <c r="K1" s="11" t="s">
        <v>10</v>
      </c>
      <c r="L1" s="12" t="s">
        <v>11</v>
      </c>
      <c r="M1" s="12" t="s">
        <v>12</v>
      </c>
      <c r="N1" s="15" t="s">
        <v>194</v>
      </c>
      <c r="O1" s="16" t="s">
        <v>205</v>
      </c>
      <c r="P1" s="17" t="s">
        <v>206</v>
      </c>
      <c r="Q1" s="10" t="s">
        <v>207</v>
      </c>
      <c r="R1" s="10" t="s">
        <v>208</v>
      </c>
      <c r="S1" s="18" t="s">
        <v>209</v>
      </c>
      <c r="T1" s="18" t="s">
        <v>210</v>
      </c>
    </row>
    <row r="2" customFormat="false" ht="35.05" hidden="false" customHeight="false" outlineLevel="0" collapsed="false">
      <c r="A2" s="26" t="n">
        <v>3510</v>
      </c>
      <c r="B2" s="21" t="s">
        <v>1083</v>
      </c>
      <c r="C2" s="21" t="s">
        <v>1637</v>
      </c>
      <c r="D2" s="34"/>
      <c r="E2" s="25" t="n">
        <v>45174</v>
      </c>
      <c r="F2" s="25" t="n">
        <v>45972</v>
      </c>
      <c r="G2" s="26" t="n">
        <v>570</v>
      </c>
      <c r="H2" s="27" t="n">
        <v>438.461538461539</v>
      </c>
      <c r="I2" s="27" t="n">
        <v>131.538461538462</v>
      </c>
      <c r="J2" s="35" t="s">
        <v>1638</v>
      </c>
      <c r="K2" s="36" t="n">
        <v>224100</v>
      </c>
      <c r="L2" s="36" t="n">
        <v>520000</v>
      </c>
      <c r="M2" s="53" t="n">
        <v>4561.40350877193</v>
      </c>
      <c r="N2" s="30"/>
      <c r="O2" s="30" t="n">
        <v>400000</v>
      </c>
      <c r="P2" s="36" t="n">
        <v>120000</v>
      </c>
      <c r="Q2" s="32" t="n">
        <v>87.6923076923077</v>
      </c>
      <c r="R2" s="32" t="n">
        <v>26.3076923076923</v>
      </c>
      <c r="S2" s="33" t="n">
        <v>21.9230769230769</v>
      </c>
      <c r="T2" s="33" t="n">
        <v>6.57692307692308</v>
      </c>
    </row>
  </sheetData>
  <printOptions headings="false" gridLines="false" gridLinesSet="true" horizontalCentered="false" verticalCentered="false"/>
  <pageMargins left="0.118055555555556" right="0.196527777777778" top="0.747916666666667" bottom="0.74791666666666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2025-04-06T20:06:05Z</dcterms:created>
  <dc:creator>Eduardo</dc:creator>
  <dc:description/>
  <dc:language>es-AR</dc:language>
  <cp:lastModifiedBy/>
  <cp:lastPrinted>2026-07-04T00:02:44Z</cp:lastPrinted>
  <dcterms:modified xsi:type="dcterms:W3CDTF">2026-07-05T16:13:05Z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